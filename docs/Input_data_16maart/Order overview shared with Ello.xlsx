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gunning" sheetId="1" r:id="rId5"/>
    <sheet state="visible" name="Revisie" sheetId="2" r:id="rId6"/>
    <sheet state="visible" name="RevInstructions" sheetId="3" r:id="rId7"/>
    <sheet state="visible" name="Vakanties" sheetId="4" r:id="rId8"/>
    <sheet state="visible" name="Developments" sheetId="5" r:id="rId9"/>
  </sheets>
  <definedNames>
    <definedName hidden="1" localSheetId="0" name="_xlnm._FilterDatabase">Vergunning!$A$2:$AC$898</definedName>
    <definedName hidden="1" localSheetId="1" name="_xlnm._FilterDatabase">Revisie!$A$2:$N$500</definedName>
    <definedName hidden="1" localSheetId="0" name="Z_2D6D124A_0D35_42E2_8675_70EE44B44DF1_.wvu.FilterData">Vergunning!$A$2:$AU$209</definedName>
  </definedNames>
  <calcPr/>
  <customWorkbookViews>
    <customWorkbookView activeSheetId="0" maximized="1" windowHeight="0" windowWidth="0" guid="{2D6D124A-0D35-42E2-8675-70EE44B44DF1}" name="3D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B: Boring
Z: Boogzinker
N: Nanodrill
W: Werk plan
P: Persingen
C: Calculation </t>
      </text>
    </comment>
    <comment authorId="0" ref="I2">
      <text>
        <t xml:space="preserve">B: Boring
Z: Boogzinker
N: Nanodrill
W: Werk plan
P: Persingen</t>
      </text>
    </comment>
    <comment authorId="0" ref="K2">
      <text>
        <t xml:space="preserve">W: Waterschap
P: Provincie
R: Rijkswaterstaat
S: Spoorboring (ProRail)</t>
      </text>
    </comment>
    <comment authorId="0" ref="M2">
      <text>
        <t xml:space="preserve">Blue: working on the KLIC check</t>
      </text>
    </comment>
    <comment authorId="0" ref="X2">
      <text>
        <t xml:space="preserve">Blue: waiting for the reply
Orange: sent "Kind reminder" </t>
      </text>
    </comment>
    <comment authorId="0" ref="Y2">
      <text>
        <t xml:space="preserve">Blue: waiting
Orange: sent "Kind reminder" </t>
      </text>
    </comment>
    <comment authorId="0" ref="Z2">
      <text>
        <t xml:space="preserve">Blue: waiting
Orange: sent "Kind reminder" </t>
      </text>
    </comment>
    <comment authorId="0" ref="AA2">
      <text>
        <t xml:space="preserve">Blue: waiting
Orange: sent "Kind reminder" </t>
      </text>
    </comment>
    <comment authorId="0" ref="AB2">
      <text>
        <t xml:space="preserve">Blue: waiting
Orange: sent "Kind reminder" </t>
      </text>
    </comment>
    <comment authorId="0" ref="AC2">
      <text>
        <t xml:space="preserve">Blue: waiting
Orange: sent "Kind reminder" </t>
      </text>
    </comment>
    <comment authorId="0" ref="X13">
      <text>
        <t xml:space="preserve">4-3-2026
r 5-3-2026
</t>
      </text>
    </comment>
    <comment authorId="0" ref="X14">
      <text>
        <t xml:space="preserve">4-3-2026
r 5-3-2026
</t>
      </text>
    </comment>
    <comment authorId="0" ref="X15">
      <text>
        <t xml:space="preserve">4-3-2026
r 5-3-2026
</t>
      </text>
    </comment>
    <comment authorId="0" ref="X16">
      <text>
        <t xml:space="preserve">4-3-2026
</t>
      </text>
    </comment>
    <comment authorId="0" ref="X18">
      <text>
        <t xml:space="preserve">4-3-2026
r 5-3-2026
</t>
      </text>
    </comment>
    <comment authorId="0" ref="X19">
      <text>
        <t xml:space="preserve">4-3-2026
r 5-3-2026
</t>
      </text>
    </comment>
    <comment authorId="0" ref="X20">
      <text>
        <t xml:space="preserve">3-3-2026
r 6-3-2026
</t>
      </text>
    </comment>
    <comment authorId="0" ref="X21">
      <text>
        <t xml:space="preserve">4-3-2026
r 5-3-2026</t>
      </text>
    </comment>
    <comment authorId="0" ref="X23">
      <text>
        <t xml:space="preserve">12-3-2026
</t>
      </text>
    </comment>
    <comment authorId="0" ref="Y23">
      <text>
        <t xml:space="preserve">12-3-2026
</t>
      </text>
    </comment>
    <comment authorId="0" ref="X25">
      <text>
        <t xml:space="preserve">24-2-2026 (2)
r 26-2-2026</t>
      </text>
    </comment>
    <comment authorId="0" ref="X26">
      <text>
        <t xml:space="preserve">3-3-2026</t>
      </text>
    </comment>
    <comment authorId="0" ref="X39">
      <text>
        <t xml:space="preserve">3-3-2026 (2 emails)
9-3-2026
r 9-3-2026
</t>
      </text>
    </comment>
    <comment authorId="0" ref="Y39">
      <text>
        <t xml:space="preserve">3-3-2026
</t>
      </text>
    </comment>
    <comment authorId="0" ref="Z39">
      <text>
        <t xml:space="preserve">5-3-2026
r 9-3-2026
</t>
      </text>
    </comment>
    <comment authorId="0" ref="X46">
      <text>
        <t xml:space="preserve">3-3-2026
r 4-3-2026</t>
      </text>
    </comment>
    <comment authorId="0" ref="X47">
      <text>
        <t xml:space="preserve">16-2-2026
23-2-2026
</t>
      </text>
    </comment>
    <comment authorId="0" ref="X49">
      <text>
        <t xml:space="preserve">10-2-2026
r 16-2-2026
</t>
      </text>
    </comment>
    <comment authorId="0" ref="X50">
      <text>
        <t xml:space="preserve">11-2-2026
r 12-2-2026</t>
      </text>
    </comment>
    <comment authorId="0" ref="Y50">
      <text>
        <t xml:space="preserve">11-2-2026
r 12-2-2026
</t>
      </text>
    </comment>
    <comment authorId="0" ref="X51">
      <text>
        <t xml:space="preserve">Kade
2-3-2026
</t>
      </text>
    </comment>
    <comment authorId="0" ref="X53">
      <text>
        <t xml:space="preserve">MLN 17-2-206
</t>
      </text>
    </comment>
    <comment authorId="0" ref="Y53">
      <text>
        <t xml:space="preserve">11-2-2026
r 17-2-2026
</t>
      </text>
    </comment>
    <comment authorId="0" ref="X54">
      <text>
        <t xml:space="preserve">17-2-2026
r 19-2-2026
</t>
      </text>
    </comment>
    <comment authorId="0" ref="X58">
      <text>
        <t xml:space="preserve">11-2-2026
r 12-2-2026</t>
      </text>
    </comment>
    <comment authorId="0" ref="Y58">
      <text>
        <t xml:space="preserve">11-2-2026
r 12-2-2026</t>
      </text>
    </comment>
    <comment authorId="0" ref="Z58">
      <text>
        <t xml:space="preserve">11-2-2026
r 11-2-2026</t>
      </text>
    </comment>
    <comment authorId="0" ref="X60">
      <text>
        <t xml:space="preserve">6-2-2026
r 9-2-2026</t>
      </text>
    </comment>
    <comment authorId="0" ref="Y60">
      <text>
        <t xml:space="preserve">6-2-2026
r 12-2-2026</t>
      </text>
    </comment>
    <comment authorId="0" ref="X61">
      <text>
        <t xml:space="preserve">r 11-2-2026</t>
      </text>
    </comment>
    <comment authorId="0" ref="Y61">
      <text>
        <t xml:space="preserve">11-2-2026
r 12-2-2026</t>
      </text>
    </comment>
    <comment authorId="0" ref="Z61">
      <text>
        <t xml:space="preserve">11-2-2026
r 12-2-2026</t>
      </text>
    </comment>
    <comment authorId="0" ref="AA61">
      <text>
        <t xml:space="preserve">11-2-2026
</t>
      </text>
    </comment>
    <comment authorId="0" ref="X62">
      <text>
        <t xml:space="preserve">11-2-2026
r 13-2-2026
</t>
      </text>
    </comment>
    <comment authorId="0" ref="Y62">
      <text>
        <t xml:space="preserve">11-2-2026
r 17-2-2026</t>
      </text>
    </comment>
    <comment authorId="0" ref="X65">
      <text>
        <t xml:space="preserve">11-2-2026
r 12-2-2026</t>
      </text>
    </comment>
    <comment authorId="0" ref="X66">
      <text>
        <t xml:space="preserve">11-2-2026
r 18-2-2026</t>
      </text>
    </comment>
    <comment authorId="0" ref="Y66">
      <text>
        <t xml:space="preserve">22-2
2-3
6-3</t>
      </text>
    </comment>
    <comment authorId="0" ref="X67">
      <text>
        <t xml:space="preserve">10-2-2026
18-2-2026
19-2-2026 (info)
r 19-2-2026
</t>
      </text>
    </comment>
    <comment authorId="0" ref="X69">
      <text>
        <t xml:space="preserve">30-1-2026
5-2-2026
</t>
      </text>
    </comment>
    <comment authorId="0" ref="X70">
      <text>
        <t xml:space="preserve">2-2-2026
r 2-2-2026
</t>
      </text>
    </comment>
    <comment authorId="0" ref="Y70">
      <text>
        <t xml:space="preserve">2-2-2026
r 2-2-2026
</t>
      </text>
    </comment>
    <comment authorId="0" ref="X72">
      <text>
        <t xml:space="preserve">31-1-2026
r 2-2-2026
</t>
      </text>
    </comment>
    <comment authorId="0" ref="Y72">
      <text>
        <t xml:space="preserve">30-1-2026
r 3-2-2026
</t>
      </text>
    </comment>
    <comment authorId="0" ref="X74">
      <text>
        <t xml:space="preserve">31-12-2025
r 31-12-2025
</t>
      </text>
    </comment>
    <comment authorId="0" ref="Y74">
      <text>
        <t xml:space="preserve">31-12-2025
r 2-1-2026</t>
      </text>
    </comment>
    <comment authorId="0" ref="X75">
      <text>
        <t xml:space="preserve">31-1-2026
r 2-2-2026
</t>
      </text>
    </comment>
    <comment authorId="0" ref="Y75">
      <text>
        <t xml:space="preserve">30-1-2026
r 3-2-2026
</t>
      </text>
    </comment>
    <comment authorId="0" ref="M76">
      <text>
        <t xml:space="preserve">oud KLIC 25O0090056</t>
      </text>
    </comment>
    <comment authorId="0" ref="X77">
      <text>
        <t xml:space="preserve">30-1-2026
r 2-2-2026</t>
      </text>
    </comment>
    <comment authorId="0" ref="X78">
      <text>
        <t xml:space="preserve">2-2-2026
9-2-2026
</t>
      </text>
    </comment>
    <comment authorId="0" ref="X80">
      <text>
        <t xml:space="preserve">30-1-2026
5-2-2026
16-2-2026
r 17-2-2026</t>
      </text>
    </comment>
    <comment authorId="0" ref="Y80">
      <text>
        <t xml:space="preserve">30-1-2026
5-2-2026
r 6-2-2026
</t>
      </text>
    </comment>
    <comment authorId="0" ref="X81">
      <text>
        <t xml:space="preserve">2-2-2026
r 2-2-2026
</t>
      </text>
    </comment>
    <comment authorId="0" ref="Y81">
      <text>
        <t xml:space="preserve">2-2-2026
r 2-2-2026</t>
      </text>
    </comment>
    <comment authorId="0" ref="Z81">
      <text>
        <t xml:space="preserve">2-2-2026
9-2-2026
r 11-2-2026
</t>
      </text>
    </comment>
    <comment authorId="0" ref="X82">
      <text>
        <t xml:space="preserve">2-2-2026
10-2-2026
r 12-2-2026
</t>
      </text>
    </comment>
    <comment authorId="0" ref="X84">
      <text>
        <t xml:space="preserve">4-2-2026
r 5-2-2026
</t>
      </text>
    </comment>
    <comment authorId="0" ref="X88">
      <text>
        <t xml:space="preserve">r 26-1-2026</t>
      </text>
    </comment>
    <comment authorId="0" ref="Y88">
      <text>
        <t xml:space="preserve">26-1-2026
r 26-1-2026</t>
      </text>
    </comment>
    <comment authorId="0" ref="Z88">
      <text>
        <t xml:space="preserve">26-1-2026
r 30-1-2026</t>
      </text>
    </comment>
    <comment authorId="0" ref="X90">
      <text>
        <t xml:space="preserve">diverse mails
</t>
      </text>
    </comment>
    <comment authorId="0" ref="X92">
      <text>
        <t xml:space="preserve">22-1-2026
r 22-1-2026</t>
      </text>
    </comment>
    <comment authorId="0" ref="X93">
      <text>
        <t xml:space="preserve">20-1-2026
r 21-1-2026
</t>
      </text>
    </comment>
    <comment authorId="0" ref="Y93">
      <text>
        <t xml:space="preserve">20-1-2026
27-1-2026
3-2-2026
r 9-2-2026
</t>
      </text>
    </comment>
    <comment authorId="0" ref="X94">
      <text>
        <t xml:space="preserve">21-1-2026
r 23-1-2026</t>
      </text>
    </comment>
    <comment authorId="0" ref="X99">
      <text>
        <t xml:space="preserve">21-1-2026
27-1-2026
r 30-1-2026</t>
      </text>
    </comment>
    <comment authorId="0" ref="X100">
      <text>
        <t xml:space="preserve">21-1-2026
r 23-1-2026</t>
      </text>
    </comment>
    <comment authorId="0" ref="Y100">
      <text>
        <t xml:space="preserve">21-1-2026
r 21-1-2026</t>
      </text>
    </comment>
    <comment authorId="0" ref="X102">
      <text>
        <t xml:space="preserve">28-1-2026
r 28-1-2026</t>
      </text>
    </comment>
    <comment authorId="0" ref="Y102">
      <text>
        <t xml:space="preserve">28-1-2026
r 3-2-2026</t>
      </text>
    </comment>
    <comment authorId="0" ref="X103">
      <text>
        <t xml:space="preserve">14-1-2026
r 19-1-2026</t>
      </text>
    </comment>
    <comment authorId="0" ref="Y103">
      <text>
        <t xml:space="preserve">MLN kade en brug 5-2-2026</t>
      </text>
    </comment>
    <comment authorId="0" ref="X104">
      <text>
        <t xml:space="preserve">14-1-2026
21-1-2026
r 22-1-2026</t>
      </text>
    </comment>
    <comment authorId="0" ref="X105">
      <text>
        <t xml:space="preserve">14-1-2026
r 15-1-2026
</t>
      </text>
    </comment>
    <comment authorId="0" ref="X107">
      <text>
        <t xml:space="preserve">13-1-2026
r 14-1-2026</t>
      </text>
    </comment>
    <comment authorId="0" ref="X108">
      <text>
        <t xml:space="preserve">19-1-2026
r 19-1-2026
</t>
      </text>
    </comment>
    <comment authorId="0" ref="X110">
      <text>
        <t xml:space="preserve">22-1-2026
r 27-1-2026</t>
      </text>
    </comment>
    <comment authorId="0" ref="X113">
      <text>
        <t xml:space="preserve">8-1-2026
r 8-1-2026</t>
      </text>
    </comment>
    <comment authorId="0" ref="Y113">
      <text>
        <t xml:space="preserve">8-1-2026
r 8-1-2026</t>
      </text>
    </comment>
    <comment authorId="0" ref="Z113">
      <text>
        <t xml:space="preserve">8-1-2026
r 8-1-2026
</t>
      </text>
    </comment>
    <comment authorId="0" ref="X116">
      <text>
        <t xml:space="preserve">30-12-2025
r 30-12-2025
</t>
      </text>
    </comment>
    <comment authorId="0" ref="X120">
      <text>
        <t xml:space="preserve">31-12-2025
r 31-12-2025
</t>
      </text>
    </comment>
    <comment authorId="0" ref="X122">
      <text>
        <t xml:space="preserve">31-12-2025
r 7-1-2026</t>
      </text>
    </comment>
    <comment authorId="0" ref="Y122">
      <text>
        <t xml:space="preserve">31-12-2025
r 6-1-2026
</t>
      </text>
    </comment>
    <comment authorId="0" ref="X123">
      <text>
        <t xml:space="preserve">30-12-2025
r 5-1-2026</t>
      </text>
    </comment>
    <comment authorId="0" ref="X125">
      <text>
        <t xml:space="preserve">31-12-2025
r 5-1-2026
</t>
      </text>
    </comment>
    <comment authorId="0" ref="Y125">
      <text>
        <t xml:space="preserve">31-12-2025
r 2-1-2026
</t>
      </text>
    </comment>
    <comment authorId="0" ref="Z125">
      <text>
        <t xml:space="preserve">31-12-2025
r 31-12-2025
</t>
      </text>
    </comment>
    <comment authorId="0" ref="X128">
      <text>
        <t xml:space="preserve">30-12-2025
r 31-12-2025</t>
      </text>
    </comment>
    <comment authorId="0" ref="X129">
      <text>
        <t xml:space="preserve">14-1-2026
r 20-1-2026</t>
      </text>
    </comment>
    <comment authorId="0" ref="Y129">
      <text>
        <t xml:space="preserve">14-1-2026
20-1-2026 (2x)
2-2-2026 (2x)
r 5-2-2026</t>
      </text>
    </comment>
    <comment authorId="0" ref="X130">
      <text>
        <t xml:space="preserve">3-2-2026
r 3-2-2026
</t>
      </text>
    </comment>
    <comment authorId="0" ref="Y130">
      <text>
        <t xml:space="preserve">3-2-2026
r 4-2-2026
</t>
      </text>
    </comment>
    <comment authorId="0" ref="Z130">
      <text>
        <t xml:space="preserve">3-2-2026
</t>
      </text>
    </comment>
    <comment authorId="0" ref="X132">
      <text>
        <t xml:space="preserve">30-12-2025
r 5-1-2026
</t>
      </text>
    </comment>
    <comment authorId="0" ref="Y132">
      <text>
        <t xml:space="preserve">30-12-2025
r 31-12-2025
</t>
      </text>
    </comment>
    <comment authorId="0" ref="Z132">
      <text>
        <t xml:space="preserve">30-12-2025
r 31-12-2025</t>
      </text>
    </comment>
    <comment authorId="0" ref="X135">
      <text>
        <t xml:space="preserve">29-12-2025
r 29-12-2025</t>
      </text>
    </comment>
    <comment authorId="0" ref="Y135">
      <text>
        <t xml:space="preserve">13-1-2026
r 16-1-2026</t>
      </text>
    </comment>
    <comment authorId="0" ref="X136">
      <text>
        <t xml:space="preserve">29-12-2025
r 30-12-2025</t>
      </text>
    </comment>
    <comment authorId="0" ref="X138">
      <text>
        <t xml:space="preserve">28-12-2025
29-12-2025 (2 emails)
r 29-12-2025</t>
      </text>
    </comment>
    <comment authorId="0" ref="Y138">
      <text>
        <t xml:space="preserve">25-1-2026
r 27-1-2026</t>
      </text>
    </comment>
    <comment authorId="0" ref="X139">
      <text>
        <t xml:space="preserve">24-12-2025
r 24-12-2025
</t>
      </text>
    </comment>
    <comment authorId="0" ref="Y139">
      <text>
        <t xml:space="preserve">24-12-2025
r 24-12-2025
</t>
      </text>
    </comment>
    <comment authorId="0" ref="Z139">
      <text>
        <t xml:space="preserve">16-2-2026
r 16-2-2026
</t>
      </text>
    </comment>
    <comment authorId="0" ref="X140">
      <text>
        <t xml:space="preserve">8-12-2025
r 9-12-2025
</t>
      </text>
    </comment>
    <comment authorId="0" ref="X141">
      <text>
        <t xml:space="preserve">23-12-2025
r 30-12-2025</t>
      </text>
    </comment>
    <comment authorId="0" ref="Y141">
      <text>
        <t xml:space="preserve">23-12-2025
r 24-12-2025</t>
      </text>
    </comment>
    <comment authorId="0" ref="X142">
      <text>
        <t xml:space="preserve">MLN 18-12
13-1-2026
r 14-1-2026</t>
      </text>
    </comment>
    <comment authorId="0" ref="Y142">
      <text>
        <t xml:space="preserve">MLN 14-01-2026
r 19-1-2026</t>
      </text>
    </comment>
    <comment authorId="0" ref="X143">
      <text>
        <t xml:space="preserve">19-12-2025
r 28-12-2025</t>
      </text>
    </comment>
    <comment authorId="0" ref="Y143">
      <text>
        <t xml:space="preserve">19-12-2025
r 19-12-2025</t>
      </text>
    </comment>
    <comment authorId="0" ref="Z143">
      <text>
        <t xml:space="preserve">19-12-2025
r 29-12-2025</t>
      </text>
    </comment>
    <comment authorId="0" ref="AA143">
      <text>
        <t xml:space="preserve">19-12-2025
r 19-12-2025</t>
      </text>
    </comment>
    <comment authorId="0" ref="AB143">
      <text>
        <t xml:space="preserve">19-12-2025
19-12-2025: We hebben uw mail intern doorgestuurd  voor verdere afhandeling. Er wordt hierover nog contact met u opgenomen.
r 6-1-2026
</t>
      </text>
    </comment>
    <comment authorId="0" ref="AC143">
      <text>
        <t xml:space="preserve">19-12-2025
r 19-12-2025</t>
      </text>
    </comment>
    <comment authorId="0" ref="X148">
      <text>
        <t xml:space="preserve">23-12-2025
r 23-12-2025
</t>
      </text>
    </comment>
    <comment authorId="0" ref="Y148">
      <text>
        <t xml:space="preserve">23-12-2025
r 24-12-2025</t>
      </text>
    </comment>
    <comment authorId="0" ref="X149">
      <text>
        <t xml:space="preserve">3-12-2025
r 3-12-2025</t>
      </text>
    </comment>
    <comment authorId="0" ref="Y149">
      <text>
        <t xml:space="preserve">3-12-2025
r 5-12-2025
</t>
      </text>
    </comment>
    <comment authorId="0" ref="X150">
      <text>
        <t xml:space="preserve">16-12-2025
</t>
      </text>
    </comment>
    <comment authorId="0" ref="X151">
      <text>
        <t xml:space="preserve">9-12-2025
r 10-12-2025
r 16-12-2025
r 22-12-2025</t>
      </text>
    </comment>
    <comment authorId="0" ref="X153">
      <text>
        <t xml:space="preserve">28-11-2025
r 1-12-2025
</t>
      </text>
    </comment>
    <comment authorId="0" ref="X154">
      <text>
        <t xml:space="preserve">19-12-2025
r 22-12-2025
</t>
      </text>
    </comment>
    <comment authorId="0" ref="X156">
      <text>
        <t xml:space="preserve">30-11-2025
r 1-12-2025
</t>
      </text>
    </comment>
    <comment authorId="0" ref="Y156">
      <text>
        <t xml:space="preserve">30-11-2025
r 1-12-2025
</t>
      </text>
    </comment>
    <comment authorId="0" ref="X158">
      <text>
        <t xml:space="preserve">23-12-2025
r 23-12-2025
</t>
      </text>
    </comment>
    <comment authorId="0" ref="X159">
      <text>
        <t xml:space="preserve">10-12-2025
r 15-12-2025
</t>
      </text>
    </comment>
    <comment authorId="0" ref="Y159">
      <text>
        <t xml:space="preserve">10-12-2025
r 11-12-2025
</t>
      </text>
    </comment>
    <comment authorId="0" ref="Z159">
      <text>
        <t xml:space="preserve">10-12-2025
r 16-12-2025</t>
      </text>
    </comment>
    <comment authorId="0" ref="AA159">
      <text>
        <t xml:space="preserve">10-12-2025
19-12-2025
r 6-1-2026
</t>
      </text>
    </comment>
    <comment authorId="0" ref="AB159">
      <text>
        <t xml:space="preserve">10-12-2025
19-12-2025
</t>
      </text>
    </comment>
    <comment authorId="0" ref="AC159">
      <text>
        <t xml:space="preserve">10-12-2025
19-12-2025
r 22-12-2025</t>
      </text>
    </comment>
    <comment authorId="0" ref="X162">
      <text>
        <t xml:space="preserve">9-12-2025
r 16-12-2025
</t>
      </text>
    </comment>
    <comment authorId="0" ref="X163">
      <text>
        <t xml:space="preserve">12-12-2025
19-12-2025
22-12-2025
r 23-12-2024
</t>
      </text>
    </comment>
    <comment authorId="0" ref="X164">
      <text>
        <t xml:space="preserve">MLN 30-12
r 31-12-2025
</t>
      </text>
    </comment>
    <comment authorId="0" ref="X166">
      <text>
        <t xml:space="preserve">12-12-2025
r 12-12-2025</t>
      </text>
    </comment>
    <comment authorId="0" ref="Y166">
      <text>
        <t xml:space="preserve">12-12-2025
r 16-12-2025</t>
      </text>
    </comment>
    <comment authorId="0" ref="Z166">
      <text>
        <t xml:space="preserve">12-12-2025
r 19-12-2025
r 6-1-2026
</t>
      </text>
    </comment>
    <comment authorId="0" ref="AA166">
      <text>
        <t xml:space="preserve">12-12-2025
r 12-12-2025</t>
      </text>
    </comment>
    <comment authorId="0" ref="AB166">
      <text>
        <t xml:space="preserve">12-12-2025
19-12-2025</t>
      </text>
    </comment>
    <comment authorId="0" ref="X167">
      <text>
        <t xml:space="preserve">10-12-2025
r 15-12-2025</t>
      </text>
    </comment>
    <comment authorId="0" ref="X170">
      <text>
        <t xml:space="preserve">23-12-2025
r 23-12-2025
</t>
      </text>
    </comment>
    <comment authorId="0" ref="M171">
      <text>
        <t xml:space="preserve">old KLIC 25O0179891</t>
      </text>
    </comment>
    <comment authorId="0" ref="X171">
      <text>
        <t xml:space="preserve">16-2-2026
r 17-2-2026
</t>
      </text>
    </comment>
    <comment authorId="0" ref="Y171">
      <text>
        <t xml:space="preserve">16-2-2026
r 17-2-2026
</t>
      </text>
    </comment>
    <comment authorId="0" ref="Z171">
      <text>
        <t xml:space="preserve">16-2-2026
r 20-2-2026
</t>
      </text>
    </comment>
    <comment authorId="0" ref="AA171">
      <text>
        <t xml:space="preserve">16-2-2026
</t>
      </text>
    </comment>
    <comment authorId="0" ref="AB171">
      <text>
        <t xml:space="preserve">16-2-2026
r 17-2-2026
</t>
      </text>
    </comment>
    <comment authorId="0" ref="X173">
      <text>
        <t xml:space="preserve">10-12-2025
r 10-12-2025</t>
      </text>
    </comment>
    <comment authorId="0" ref="Y173">
      <text>
        <t xml:space="preserve">MLN 30-12
r 6-1-2025
</t>
      </text>
    </comment>
    <comment authorId="0" ref="Z173">
      <text>
        <t xml:space="preserve">23-2-2026
25-2-2026</t>
      </text>
    </comment>
    <comment authorId="0" ref="X175">
      <text>
        <t xml:space="preserve">1-12-2025
r 2-12-2025
</t>
      </text>
    </comment>
    <comment authorId="0" ref="X177">
      <text>
        <t xml:space="preserve">13-3-2026
</t>
      </text>
    </comment>
    <comment authorId="0" ref="X178">
      <text>
        <t xml:space="preserve">29-1-2026
r 3-2-2026
</t>
      </text>
    </comment>
    <comment authorId="0" ref="X181">
      <text>
        <t xml:space="preserve">29-11-2025
r 4-12-2025</t>
      </text>
    </comment>
    <comment authorId="0" ref="Y181">
      <text>
        <t xml:space="preserve">5-12-2025
8-12-2025
r 18-12-2025
</t>
      </text>
    </comment>
    <comment authorId="0" ref="X188">
      <text>
        <t xml:space="preserve">9-12-2025
r 10-12-2025
</t>
      </text>
    </comment>
    <comment authorId="0" ref="M193">
      <text>
        <t xml:space="preserve">new KLIC 25O0174271</t>
      </text>
    </comment>
    <comment authorId="0" ref="X195">
      <text>
        <t xml:space="preserve">30-11-2025
r 4-12-2025
</t>
      </text>
    </comment>
    <comment authorId="0" ref="M197">
      <text>
        <t xml:space="preserve">Old KLIC 25O0174227</t>
      </text>
    </comment>
    <comment authorId="0" ref="X197">
      <text>
        <t xml:space="preserve">18-12-2025
r 5-1-2026
</t>
      </text>
    </comment>
    <comment authorId="0" ref="X198">
      <text>
        <t xml:space="preserve">20-11-2025
r 21-11-2025
</t>
      </text>
    </comment>
    <comment authorId="0" ref="X202">
      <text>
        <t xml:space="preserve">19-11-2025
r 25-11-2025</t>
      </text>
    </comment>
    <comment authorId="0" ref="X207">
      <text>
        <t xml:space="preserve">19-11-2025
r 20-11-2025</t>
      </text>
    </comment>
    <comment authorId="0" ref="X208">
      <text>
        <t xml:space="preserve">19-11-2025
r 20-11-2025</t>
      </text>
    </comment>
    <comment authorId="0" ref="X210">
      <text>
        <t xml:space="preserve">18-11-2025
r 24-11-2025</t>
      </text>
    </comment>
    <comment authorId="0" ref="X214">
      <text>
        <t xml:space="preserve">12-11-2025</t>
      </text>
    </comment>
    <comment authorId="0" ref="X215">
      <text>
        <t xml:space="preserve">18-11-2025
r 20-11-2025</t>
      </text>
    </comment>
    <comment authorId="0" ref="X216">
      <text>
        <t xml:space="preserve">19-11-2025
r 20-11-2025</t>
      </text>
    </comment>
    <comment authorId="0" ref="X217">
      <text>
        <t xml:space="preserve">19-11-2025
r 24-11-2025</t>
      </text>
    </comment>
    <comment authorId="0" ref="Y217">
      <text>
        <t xml:space="preserve">19-11-2025
r 20-11-2025 (De 2 kruisende mantelbuizen liggen er pas sinds dit jaar. Ik heb bij de projectmanager opgevraagd of dit gestuurde boringen zijn of dat ze gelegd zijn.)
3-12-2025</t>
      </text>
    </comment>
    <comment authorId="0" ref="Z217">
      <text>
        <t xml:space="preserve">19-11-2025
r 20-11-2025</t>
      </text>
    </comment>
    <comment authorId="0" ref="X221">
      <text>
        <t xml:space="preserve">MLN 11-11
r 12-11-2025</t>
      </text>
    </comment>
    <comment authorId="0" ref="Y221">
      <text>
        <t xml:space="preserve">13-11-2025
r 13-11-2025
</t>
      </text>
    </comment>
    <comment authorId="0" ref="X222">
      <text>
        <t xml:space="preserve">17-11-2025
r 17-11-2025
</t>
      </text>
    </comment>
    <comment authorId="0" ref="Y222">
      <text>
        <t xml:space="preserve">17-11-2025
r 19-11-2025</t>
      </text>
    </comment>
    <comment authorId="0" ref="X226">
      <text>
        <t xml:space="preserve">17-11-2025
r 18-11-2025</t>
      </text>
    </comment>
    <comment authorId="0" ref="X228">
      <text>
        <t xml:space="preserve">1-11-2025
r 3-11-2025
</t>
      </text>
    </comment>
    <comment authorId="0" ref="X229">
      <text>
        <t xml:space="preserve">29-10-2025
r 31-10-2025
</t>
      </text>
    </comment>
    <comment authorId="0" ref="X230">
      <text>
        <t xml:space="preserve">28-10-2025
r 30-10-2025
</t>
      </text>
    </comment>
    <comment authorId="0" ref="X235">
      <text>
        <t xml:space="preserve">27-10-2025
r 27-10-2025</t>
      </text>
    </comment>
    <comment authorId="0" ref="X236">
      <text>
        <t xml:space="preserve">27-11-2025
r 2-12-2025</t>
      </text>
    </comment>
    <comment authorId="0" ref="X238">
      <text>
        <t xml:space="preserve">27-10-2025
r 28-10-2025</t>
      </text>
    </comment>
    <comment authorId="0" ref="Y238">
      <text>
        <t xml:space="preserve">27-10-2025
r 4-11-2025</t>
      </text>
    </comment>
    <comment authorId="0" ref="Z238">
      <text>
        <t xml:space="preserve">27-10-2025
r 27-10-2025</t>
      </text>
    </comment>
    <comment authorId="0" ref="AA238">
      <text>
        <t xml:space="preserve">27-10-2025
r 30-10-2025
</t>
      </text>
    </comment>
    <comment authorId="0" ref="X243">
      <text>
        <t xml:space="preserve">27-10-2025
r 28-10-2025</t>
      </text>
    </comment>
    <comment authorId="0" ref="X244">
      <text>
        <t xml:space="preserve">27-10-2025
14-11-2025
5-2-2026</t>
      </text>
    </comment>
    <comment authorId="0" ref="Y244">
      <text>
        <t xml:space="preserve">27-10-2025
r 27-10-2025
</t>
      </text>
    </comment>
    <comment authorId="0" ref="X245">
      <text>
        <t xml:space="preserve">5-3-2025
11-3-2025
r 11-3-2025</t>
      </text>
    </comment>
    <comment authorId="0" ref="X246">
      <text>
        <t xml:space="preserve">27-10-2025
r 30-10-2025</t>
      </text>
    </comment>
    <comment authorId="0" ref="Y246">
      <text>
        <t xml:space="preserve">27-10-2025
r 27-10-2025</t>
      </text>
    </comment>
    <comment authorId="0" ref="X247">
      <text>
        <t xml:space="preserve">25-10-2025
r 29-10-2025
</t>
      </text>
    </comment>
    <comment authorId="0" ref="Y247">
      <text>
        <t xml:space="preserve">25-10-2025
r 27-10-2025
</t>
      </text>
    </comment>
    <comment authorId="0" ref="X248">
      <text>
        <t xml:space="preserve">25-10-2025
r 28-10-2025</t>
      </text>
    </comment>
    <comment authorId="0" ref="Y248">
      <text>
        <t xml:space="preserve">25-10-2025
r 4-11-2025</t>
      </text>
    </comment>
    <comment authorId="0" ref="Z248">
      <text>
        <t xml:space="preserve">25-10-2025
r 27-10-2025
</t>
      </text>
    </comment>
    <comment authorId="0" ref="X249">
      <text>
        <t xml:space="preserve">25-10-2025
r 28-10-2025</t>
      </text>
    </comment>
    <comment authorId="0" ref="Y249">
      <text>
        <t xml:space="preserve">25-10-2025
r 27-10-2025
</t>
      </text>
    </comment>
    <comment authorId="0" ref="Z249">
      <text>
        <t xml:space="preserve">14-11-2025
r 16-11-2025</t>
      </text>
    </comment>
    <comment authorId="0" ref="AA249">
      <text>
        <t xml:space="preserve">14-11-2025
r 18-11-2025
18-11-2025
r 19-11-2025</t>
      </text>
    </comment>
    <comment authorId="0" ref="AB249">
      <text>
        <t xml:space="preserve">14-11-2025
r 16-11-2025</t>
      </text>
    </comment>
    <comment authorId="0" ref="X250">
      <text>
        <t xml:space="preserve">25-10-2025
r 28-10-2025</t>
      </text>
    </comment>
    <comment authorId="0" ref="Y250">
      <text>
        <t xml:space="preserve">25-10-2025
r 28-10-2025</t>
      </text>
    </comment>
    <comment authorId="0" ref="Z250">
      <text>
        <t xml:space="preserve">25-10-2025
3-11-2025
28-11-2025</t>
      </text>
    </comment>
    <comment authorId="0" ref="AA250">
      <text>
        <t xml:space="preserve">25-10-2025
r 28-10-2025
</t>
      </text>
    </comment>
    <comment authorId="0" ref="X251">
      <text>
        <t xml:space="preserve">25-10-2025
r 27-10-2025
</t>
      </text>
    </comment>
    <comment authorId="0" ref="X252">
      <text>
        <t xml:space="preserve">24-10-2025
14-11-2025
r 18-11-2025</t>
      </text>
    </comment>
    <comment authorId="0" ref="Y252">
      <text>
        <t xml:space="preserve">24-10-2025
r 28-10-2025
r 3-11-2025</t>
      </text>
    </comment>
    <comment authorId="0" ref="Z252">
      <text>
        <t xml:space="preserve">24-10-2025
r 27-10-2025</t>
      </text>
    </comment>
    <comment authorId="0" ref="AA252">
      <text>
        <t xml:space="preserve">24-10-2025
r 27-10-2025</t>
      </text>
    </comment>
    <comment authorId="0" ref="AB252">
      <text>
        <t xml:space="preserve">24-10-2025
r 27-10-2025</t>
      </text>
    </comment>
    <comment authorId="0" ref="AC252">
      <text>
        <t xml:space="preserve">24-10-2025</t>
      </text>
    </comment>
    <comment authorId="0" ref="X254">
      <text>
        <t xml:space="preserve">27-10-2025
r 31-10-2025</t>
      </text>
    </comment>
    <comment authorId="0" ref="X255">
      <text>
        <t xml:space="preserve">27-10-2025
r 31-10-2025</t>
      </text>
    </comment>
    <comment authorId="0" ref="X256">
      <text>
        <t xml:space="preserve">24-10-2025
r 24-10-2025
</t>
      </text>
    </comment>
    <comment authorId="0" ref="Y256">
      <text>
        <t xml:space="preserve">24-10-2025
r 24-10-2025</t>
      </text>
    </comment>
    <comment authorId="0" ref="Z256">
      <text>
        <t xml:space="preserve">24-10-2025
r 24-10-2025
</t>
      </text>
    </comment>
    <comment authorId="0" ref="AA256">
      <text>
        <t xml:space="preserve">r 29-10-2025</t>
      </text>
    </comment>
    <comment authorId="0" ref="X257">
      <text>
        <t xml:space="preserve">27-10-2025
r 27-10-2025
</t>
      </text>
    </comment>
    <comment authorId="0" ref="X258">
      <text>
        <t xml:space="preserve">Ziggo
23-10-2025
r 24-10-2025
EXA
25-11-2025
r 26-11-2025</t>
      </text>
    </comment>
    <comment authorId="0" ref="Y258">
      <text>
        <t xml:space="preserve">23-10-2025
r 23-10-2025</t>
      </text>
    </comment>
    <comment authorId="0" ref="Z258">
      <text>
        <t xml:space="preserve">23-10-2025
r 28-10-2025</t>
      </text>
    </comment>
    <comment authorId="0" ref="AA258">
      <text>
        <t xml:space="preserve">23-10-2025
r 27-10-2025</t>
      </text>
    </comment>
    <comment authorId="0" ref="AB258">
      <text>
        <t xml:space="preserve">23-10-2025
r 4-11-2025</t>
      </text>
    </comment>
    <comment authorId="0" ref="AC258">
      <text>
        <t xml:space="preserve">23-10-2025 MLN
14-11-2025
r 17-11-2025</t>
      </text>
    </comment>
    <comment authorId="0" ref="X259">
      <text>
        <t xml:space="preserve">25-10-2025
25-10-2025 info
13-11-2025
</t>
      </text>
    </comment>
    <comment authorId="0" ref="X262">
      <text>
        <t xml:space="preserve">27-10-2025
r 28-10-2025</t>
      </text>
    </comment>
    <comment authorId="0" ref="X264">
      <text>
        <t xml:space="preserve">27-10-2025
r 28-10-2025</t>
      </text>
    </comment>
    <comment authorId="0" ref="X265">
      <text>
        <t xml:space="preserve">27-10-2025
r 28-10-2025</t>
      </text>
    </comment>
    <comment authorId="0" ref="X268">
      <text>
        <t xml:space="preserve">25-10-2025
25-10-2025 info
14-11-2025
r 17-11-2025
</t>
      </text>
    </comment>
    <comment authorId="0" ref="X269">
      <text>
        <t xml:space="preserve">25-10-2025
r 28-10-2025</t>
      </text>
    </comment>
    <comment authorId="0" ref="X270">
      <text>
        <t xml:space="preserve">23-10-2025
r 29-10-2025
</t>
      </text>
    </comment>
    <comment authorId="0" ref="X273">
      <text>
        <t xml:space="preserve">27-10-2025
r 29-10-2025</t>
      </text>
    </comment>
    <comment authorId="0" ref="X275">
      <text>
        <t xml:space="preserve">23-10-2025
r 24-10-2025
</t>
      </text>
    </comment>
    <comment authorId="0" ref="Y275">
      <text>
        <t xml:space="preserve">23-10-2025
r 23-10-2025</t>
      </text>
    </comment>
    <comment authorId="0" ref="Z275">
      <text>
        <t xml:space="preserve">23-10-2025
r 28-10-2025</t>
      </text>
    </comment>
    <comment authorId="0" ref="AA275">
      <text>
        <t xml:space="preserve">23-10-2025
r 27-10-2025</t>
      </text>
    </comment>
    <comment authorId="0" ref="AB275">
      <text>
        <t xml:space="preserve">23-10-2025
r 4-11-2025</t>
      </text>
    </comment>
    <comment authorId="0" ref="AC275">
      <text>
        <t xml:space="preserve">23-10-2025 MLN
14-11-2025
r 17-11-2025</t>
      </text>
    </comment>
    <comment authorId="0" ref="X276">
      <text>
        <t xml:space="preserve">23-10-2025
r 30-10-2025</t>
      </text>
    </comment>
    <comment authorId="0" ref="Y276">
      <text>
        <t xml:space="preserve">r 29-10-2025</t>
      </text>
    </comment>
    <comment authorId="0" ref="Z276">
      <text>
        <t xml:space="preserve">18-12-2025
r 18-12-2025</t>
      </text>
    </comment>
    <comment authorId="0" ref="X277">
      <text>
        <t xml:space="preserve">KLIC 25O0153580
23-10-2025
r 30-10-2025</t>
      </text>
    </comment>
    <comment authorId="0" ref="Y277">
      <text>
        <t xml:space="preserve">KLIC 25O0153580
r 29-10-2025</t>
      </text>
    </comment>
    <comment authorId="0" ref="Z277">
      <text>
        <t xml:space="preserve">KLIC 25O0153580
18-12-2025
r 18-12-2025</t>
      </text>
    </comment>
    <comment authorId="0" ref="X278">
      <text>
        <t xml:space="preserve">23-10-2025
r 28-10-2025
</t>
      </text>
    </comment>
    <comment authorId="0" ref="Y278">
      <text>
        <t xml:space="preserve">23-10-2025
r 29-10-2025
</t>
      </text>
    </comment>
    <comment authorId="0" ref="Z278">
      <text>
        <t xml:space="preserve">r 29-10-2025</t>
      </text>
    </comment>
    <comment authorId="0" ref="X279">
      <text>
        <t xml:space="preserve">23-10-2025
r 28-10-2025</t>
      </text>
    </comment>
    <comment authorId="0" ref="Y279">
      <text>
        <t xml:space="preserve">23-10-2025
r 27-10-2025
</t>
      </text>
    </comment>
    <comment authorId="0" ref="X280">
      <text>
        <t xml:space="preserve">24-10-2025
13-11-2025
</t>
      </text>
    </comment>
    <comment authorId="0" ref="X281">
      <text>
        <t xml:space="preserve">23-10-2025
r 28-10-2025</t>
      </text>
    </comment>
    <comment authorId="0" ref="Y281">
      <text>
        <t xml:space="preserve">23-10-2025
r 27-10-2025</t>
      </text>
    </comment>
    <comment authorId="0" ref="Z281">
      <text>
        <t xml:space="preserve">r 29-10-2025</t>
      </text>
    </comment>
    <comment authorId="0" ref="X282">
      <text>
        <t xml:space="preserve">23-10-2025
r 27-10-2025</t>
      </text>
    </comment>
    <comment authorId="0" ref="Y282">
      <text>
        <t xml:space="preserve">r 29-10-2025</t>
      </text>
    </comment>
    <comment authorId="0" ref="X283">
      <text>
        <t xml:space="preserve">24-10-2025
13-11-2025
</t>
      </text>
    </comment>
    <comment authorId="0" ref="Y283">
      <text>
        <t xml:space="preserve">24-10-2025
r 28-10-2025</t>
      </text>
    </comment>
    <comment authorId="0" ref="Z283">
      <text>
        <t xml:space="preserve">24-10-2025
13-11-2025
</t>
      </text>
    </comment>
    <comment authorId="0" ref="AA283">
      <text>
        <t xml:space="preserve">24-10-2025
r 27-10-2025
</t>
      </text>
    </comment>
    <comment authorId="0" ref="AB283">
      <text>
        <t xml:space="preserve">r 29-10-2025</t>
      </text>
    </comment>
    <comment authorId="0" ref="X284">
      <text>
        <t xml:space="preserve">24-10-2025
r 27-10-2025</t>
      </text>
    </comment>
    <comment authorId="0" ref="Y284">
      <text>
        <t xml:space="preserve">24-10-2025
r 27-10-2025</t>
      </text>
    </comment>
    <comment authorId="0" ref="Z284">
      <text>
        <t xml:space="preserve">24-10-2025
14-11-2025
r 16-11-2025</t>
      </text>
    </comment>
    <comment authorId="0" ref="AA284">
      <text>
        <t xml:space="preserve">r 29-10-2025</t>
      </text>
    </comment>
    <comment authorId="0" ref="X286">
      <text>
        <t xml:space="preserve">22-10-2025
r 29-10-2025</t>
      </text>
    </comment>
    <comment authorId="0" ref="Y286">
      <text>
        <t xml:space="preserve">22-10-2025</t>
      </text>
    </comment>
    <comment authorId="0" ref="X287">
      <text>
        <t xml:space="preserve">25-10-2025
r 27-10-2025</t>
      </text>
    </comment>
    <comment authorId="0" ref="X288">
      <text>
        <t xml:space="preserve">22-10-2025
r 23-10-2025
</t>
      </text>
    </comment>
    <comment authorId="0" ref="X291">
      <text>
        <t xml:space="preserve">29-10-2025
r 30-10-2025</t>
      </text>
    </comment>
    <comment authorId="0" ref="X295">
      <text>
        <t xml:space="preserve">22-10-2025
r 22-10-2025
</t>
      </text>
    </comment>
    <comment authorId="0" ref="X296">
      <text>
        <t xml:space="preserve">22-10-2025
r 22-10-2025
</t>
      </text>
    </comment>
    <comment authorId="0" ref="Y296">
      <text>
        <t xml:space="preserve">22-10-2025
r 24-10-2025
</t>
      </text>
    </comment>
    <comment authorId="0" ref="X297">
      <text>
        <t xml:space="preserve">22-10-2025
r 22-10-2025
r 3-11-2025
</t>
      </text>
    </comment>
    <comment authorId="0" ref="Y297">
      <text>
        <t xml:space="preserve">22-10-2025
r 23-10-2025
(email: antwoord met gevraagde informatie Vlieland)
</t>
      </text>
    </comment>
    <comment authorId="0" ref="X299">
      <text>
        <t xml:space="preserve">14-10-2025
r 14-10-2025
</t>
      </text>
    </comment>
    <comment authorId="0" ref="X300">
      <text>
        <t xml:space="preserve">27-10-2025
</t>
      </text>
    </comment>
    <comment authorId="0" ref="X301">
      <text>
        <t xml:space="preserve">14-10-2025
r 16-10-2025
</t>
      </text>
    </comment>
    <comment authorId="0" ref="Y301">
      <text>
        <t xml:space="preserve">14-10-2025
21-10-2025
r 22-10-2025
</t>
      </text>
    </comment>
    <comment authorId="0" ref="Z301">
      <text>
        <t xml:space="preserve">14-10-2025
r 16-10-2025
</t>
      </text>
    </comment>
    <comment authorId="0" ref="X303">
      <text>
        <t xml:space="preserve">13-10-2025</t>
      </text>
    </comment>
    <comment authorId="0" ref="X304">
      <text>
        <t xml:space="preserve">14-10-2025
r 22-10-2025</t>
      </text>
    </comment>
    <comment authorId="0" ref="X305">
      <text>
        <t xml:space="preserve">13-10-2025
r 13-10-2025</t>
      </text>
    </comment>
    <comment authorId="0" ref="M306">
      <text>
        <t xml:space="preserve">Old KLIC 25O0147076</t>
      </text>
    </comment>
    <comment authorId="0" ref="X306">
      <text>
        <t xml:space="preserve">20-10-2025
r 22-10-2025
</t>
      </text>
    </comment>
    <comment authorId="0" ref="X310">
      <text>
        <t xml:space="preserve">13-10-2025
r 13-10-2025
</t>
      </text>
    </comment>
    <comment authorId="0" ref="X311">
      <text>
        <t xml:space="preserve">13-10-2025
r 14-10-2025
</t>
      </text>
    </comment>
    <comment authorId="0" ref="Y311">
      <text>
        <t xml:space="preserve">13-10-2025
r 14-10-2025</t>
      </text>
    </comment>
    <comment authorId="0" ref="X313">
      <text>
        <t xml:space="preserve">11-10-2025
r 15-10-2025</t>
      </text>
    </comment>
    <comment authorId="0" ref="X314">
      <text>
        <t xml:space="preserve">13-10-2025
r 14-10-2025
</t>
      </text>
    </comment>
    <comment authorId="0" ref="X319">
      <text>
        <t xml:space="preserve">10-10-2025
r 16-10-2025
</t>
      </text>
    </comment>
    <comment authorId="0" ref="Y319">
      <text>
        <t xml:space="preserve">10-10-2025
r 10-10-2025</t>
      </text>
    </comment>
    <comment authorId="0" ref="Z319">
      <text>
        <t xml:space="preserve">14-10-2025
r 21-10-2025
</t>
      </text>
    </comment>
    <comment authorId="0" ref="X320">
      <text>
        <t xml:space="preserve">9-10-2025
9-10-2025 Gem. info
r 13-10-2025
r 23-10-2025
</t>
      </text>
    </comment>
    <comment authorId="0" ref="X326">
      <text>
        <t xml:space="preserve">1-10-2025
R 2-10-2025
</t>
      </text>
    </comment>
    <comment authorId="0" ref="X327">
      <text>
        <t xml:space="preserve">9-10-2025
r 9-10-2025
</t>
      </text>
    </comment>
    <comment authorId="0" ref="X328">
      <text>
        <t xml:space="preserve">9-10-2025
r 9-10-2025
</t>
      </text>
    </comment>
    <comment authorId="0" ref="X329">
      <text>
        <t xml:space="preserve">1-10-2025
6-10-2025 door sturen
r 7-10-2025
</t>
      </text>
    </comment>
    <comment authorId="0" ref="M331">
      <text>
        <t xml:space="preserve">old KLIC 25O0124337</t>
      </text>
    </comment>
    <comment authorId="0" ref="X331">
      <text>
        <t xml:space="preserve">29-8-2025
r 3-9-2025
</t>
      </text>
    </comment>
    <comment authorId="0" ref="X333">
      <text>
        <t xml:space="preserve">30-9-2025
r 1-10-2025</t>
      </text>
    </comment>
    <comment authorId="0" ref="Y333">
      <text>
        <t xml:space="preserve">30-9-2025
r 2-10-2025
</t>
      </text>
    </comment>
    <comment authorId="0" ref="X339">
      <text>
        <t xml:space="preserve">26-9-2025
r 29-9-2025
</t>
      </text>
    </comment>
    <comment authorId="0" ref="X340">
      <text>
        <t xml:space="preserve">30-9-2025
r 1-10-2025
</t>
      </text>
    </comment>
    <comment authorId="0" ref="X341">
      <text>
        <t xml:space="preserve">30-9-2025
r 2-10-2025
</t>
      </text>
    </comment>
    <comment authorId="0" ref="X342">
      <text>
        <t xml:space="preserve">26-9-2025
r 29-9-2025
</t>
      </text>
    </comment>
    <comment authorId="0" ref="X346">
      <text>
        <t xml:space="preserve">25-9-2025
r 25-9-2025
</t>
      </text>
    </comment>
    <comment authorId="0" ref="X348">
      <text>
        <t xml:space="preserve">24-9-2025
r 30-9-2025</t>
      </text>
    </comment>
    <comment authorId="0" ref="M350">
      <text>
        <t xml:space="preserve">old KLIC 25O0033409</t>
      </text>
    </comment>
    <comment authorId="0" ref="X350">
      <text>
        <t xml:space="preserve">28-2-2025
r 3-3-2025</t>
      </text>
    </comment>
    <comment authorId="0" ref="X351">
      <text>
        <t xml:space="preserve">24-9-2025
r 24-9-2025</t>
      </text>
    </comment>
    <comment authorId="0" ref="X354">
      <text>
        <t xml:space="preserve">MLN 27-sep-2025
r 27-9-2025
</t>
      </text>
    </comment>
    <comment authorId="0" ref="Y354">
      <text>
        <t xml:space="preserve">MLN 27-sep-2025
r 29-9-2025</t>
      </text>
    </comment>
    <comment authorId="0" ref="Z354">
      <text>
        <t xml:space="preserve">MLN 27-sep-2025
r 29-9-2025</t>
      </text>
    </comment>
    <comment authorId="0" ref="X358">
      <text>
        <t xml:space="preserve">30-9-2025
</t>
      </text>
    </comment>
    <comment authorId="0" ref="X359">
      <text>
        <t xml:space="preserve">24-9-2025
r 26-9-2025
</t>
      </text>
    </comment>
    <comment authorId="0" ref="Y359">
      <text>
        <t xml:space="preserve">24-9-2025
25-9-2025 door sturen
</t>
      </text>
    </comment>
    <comment authorId="0" ref="X362">
      <text>
        <t xml:space="preserve">15-9-2025
22-9-2025
</t>
      </text>
    </comment>
    <comment authorId="0" ref="Y362">
      <text>
        <t xml:space="preserve">15-9-2025
22-9-2025
</t>
      </text>
    </comment>
    <comment authorId="0" ref="M364">
      <text>
        <t xml:space="preserve">old KLIC 25O0162497</t>
      </text>
    </comment>
    <comment authorId="0" ref="M365">
      <text>
        <t xml:space="preserve">old KLIC 25O0162497</t>
      </text>
    </comment>
    <comment authorId="0" ref="X367">
      <text>
        <t xml:space="preserve">30-9-2025
r 1-10-2025</t>
      </text>
    </comment>
    <comment authorId="0" ref="Y367">
      <text>
        <t xml:space="preserve">30-9-2025
r 30-9-2025</t>
      </text>
    </comment>
    <comment authorId="0" ref="Z367">
      <text>
        <t xml:space="preserve">30-9-2025
r 6-10-2025
</t>
      </text>
    </comment>
    <comment authorId="0" ref="X368">
      <text>
        <t xml:space="preserve">29-8-2025
7-8-2025
r 19-8-2025
</t>
      </text>
    </comment>
    <comment authorId="0" ref="Y368">
      <text>
        <t xml:space="preserve">29-7-2025
r 30-7-2025
</t>
      </text>
    </comment>
    <comment authorId="0" ref="Z368">
      <text>
        <t xml:space="preserve">29-7-2025
r 29-7-2025
</t>
      </text>
    </comment>
    <comment authorId="0" ref="X369">
      <text>
        <t xml:space="preserve">29-7-2025
7-8-2025
19-8-2025
14-1-2026
r 15-1-2026
</t>
      </text>
    </comment>
    <comment authorId="0" ref="X370">
      <text>
        <t xml:space="preserve">29-7-2025
7-8-2025
11-8-2025 (Gem.)
18-8-2025
r 19-8-2025
19-8-2025
21-8-2025</t>
      </text>
    </comment>
    <comment authorId="0" ref="Y370">
      <text>
        <t xml:space="preserve">29-7-2025
29-7-2025
7-8-2025
r 8-8-2025</t>
      </text>
    </comment>
    <comment authorId="0" ref="X371">
      <text>
        <t xml:space="preserve">24-7-2025
r 25-7-2025
</t>
      </text>
    </comment>
    <comment authorId="0" ref="Y371">
      <text>
        <t xml:space="preserve">24-7-2025
28-7-2025
r 28-7-2025
</t>
      </text>
    </comment>
    <comment authorId="0" ref="X372">
      <text>
        <t xml:space="preserve">22-7-2025
r 23-7-2025
</t>
      </text>
    </comment>
    <comment authorId="0" ref="Y372">
      <text>
        <t xml:space="preserve">22-7-2025
r 23-7-2025
</t>
      </text>
    </comment>
    <comment authorId="0" ref="Z372">
      <text>
        <t xml:space="preserve">22-7-2025
r 23-7-2025
</t>
      </text>
    </comment>
    <comment authorId="0" ref="X373">
      <text>
        <t xml:space="preserve">22-7-2025
r 23-7-2025
</t>
      </text>
    </comment>
    <comment authorId="0" ref="Y373">
      <text>
        <t xml:space="preserve">22-7-2025
r 23-7-2025
</t>
      </text>
    </comment>
    <comment authorId="0" ref="Z373">
      <text>
        <t xml:space="preserve">22-7-2025
r 23-7-2025
</t>
      </text>
    </comment>
    <comment authorId="0" ref="AA373">
      <text>
        <t xml:space="preserve">23-7-2025
28-7-2025 (forward to collega...)
11-8-2025 (Pax Peter Wesselink )
11-8-2025 (Chris de Boer)
r 12-8-2025
</t>
      </text>
    </comment>
    <comment authorId="0" ref="X374">
      <text>
        <t xml:space="preserve">22-7-2025
r 23-7-2025
</t>
      </text>
    </comment>
    <comment authorId="0" ref="X375">
      <text>
        <t xml:space="preserve">30-12-2025
r 6-1-2026</t>
      </text>
    </comment>
    <comment authorId="0" ref="Y375">
      <text>
        <t xml:space="preserve">30-12-2025
r 31-12-2025</t>
      </text>
    </comment>
    <comment authorId="0" ref="Z375">
      <text>
        <t xml:space="preserve">30-12-2025
r 31-12-2025
16-1-2026
r 16-1-2026</t>
      </text>
    </comment>
    <comment authorId="0" ref="X376">
      <text>
        <t xml:space="preserve">16-12-2025
r 16-12-2025
</t>
      </text>
    </comment>
    <comment authorId="0" ref="X377">
      <text>
        <t xml:space="preserve">21-7-2025
r 22-7-2025</t>
      </text>
    </comment>
    <comment authorId="0" ref="Y377">
      <text>
        <t xml:space="preserve">21-7-2025
r 22-7-2025
</t>
      </text>
    </comment>
    <comment authorId="0" ref="Z377">
      <text>
        <t xml:space="preserve">21-7-2025
r 22-7-2025</t>
      </text>
    </comment>
    <comment authorId="0" ref="X378">
      <text>
        <t xml:space="preserve">21-7-2025
r 22-7-2025
</t>
      </text>
    </comment>
    <comment authorId="0" ref="X379">
      <text>
        <t xml:space="preserve">21-7-2025
r 22-7-2025
</t>
      </text>
    </comment>
    <comment authorId="0" ref="Y379">
      <text>
        <t xml:space="preserve">21-7-2025
r 22-7-2025
</t>
      </text>
    </comment>
    <comment authorId="0" ref="Z379">
      <text>
        <t xml:space="preserve">21-7-2025
r 22-7-2025
2-9-2025 (-02)
r 2-9-2025
</t>
      </text>
    </comment>
    <comment authorId="0" ref="X380">
      <text>
        <t xml:space="preserve">21-7-2025
r 22-7-2025
</t>
      </text>
    </comment>
    <comment authorId="0" ref="X381">
      <text>
        <t xml:space="preserve">21-7-2025
r 22-7-2025
</t>
      </text>
    </comment>
    <comment authorId="0" ref="Y381">
      <text>
        <t xml:space="preserve">21-7-2025
r 22-7-2025
11-8-2025 (new line)
r 12-8-2025
</t>
      </text>
    </comment>
    <comment authorId="0" ref="Z381">
      <text>
        <t xml:space="preserve">21-7-2025
r 23-7-2025</t>
      </text>
    </comment>
    <comment authorId="0" ref="X382">
      <text>
        <t xml:space="preserve">21-7-2025
r 23-7-2025
</t>
      </text>
    </comment>
    <comment authorId="0" ref="Y382">
      <text>
        <t xml:space="preserve">21-7-2025
r 23-7-2025</t>
      </text>
    </comment>
    <comment authorId="0" ref="Z382">
      <text>
        <t xml:space="preserve">21-7-2025
r 22-7-2025
</t>
      </text>
    </comment>
    <comment authorId="0" ref="X383">
      <text>
        <t xml:space="preserve">21-7-2025
r 22-7-2025
</t>
      </text>
    </comment>
    <comment authorId="0" ref="Y383">
      <text>
        <t xml:space="preserve">21-7-2025
r 23-7-2025</t>
      </text>
    </comment>
    <comment authorId="0" ref="Z383">
      <text>
        <t xml:space="preserve">21-7-2025
22-7-2025 (forward to collega...)
11-8-2025 (Pax Peter Wesselink )
11-8-2025 (Chris de Boer)
r 12-8-2025</t>
      </text>
    </comment>
    <comment authorId="0" ref="AA383">
      <text>
        <t xml:space="preserve">21-7-2025
r 22-7-2025</t>
      </text>
    </comment>
    <comment authorId="0" ref="AB383">
      <text>
        <t xml:space="preserve">21-7-2025
r 22-7-2025</t>
      </text>
    </comment>
    <comment authorId="0" ref="X384">
      <text>
        <t xml:space="preserve">18-7-2025
28-7-2025
18-8-2025
27-8-2025
16-9-2025
16-9-2025 Gem.
r 17-9-2025
</t>
      </text>
    </comment>
    <comment authorId="0" ref="Y384">
      <text>
        <t xml:space="preserve">18-7-2025
r 21-7-2025
</t>
      </text>
    </comment>
    <comment authorId="0" ref="Z384">
      <text>
        <t xml:space="preserve">18-7-2025
r21-7-2025
</t>
      </text>
    </comment>
    <comment authorId="0" ref="X385">
      <text>
        <t xml:space="preserve">11-7-2025
r 11-7-2025
</t>
      </text>
    </comment>
    <comment authorId="0" ref="X388">
      <text>
        <t xml:space="preserve">10-7-2025
r 11-7-2025</t>
      </text>
    </comment>
    <comment authorId="0" ref="Y388">
      <text>
        <t xml:space="preserve">10-7-2025
r 11-7-2025
</t>
      </text>
    </comment>
    <comment authorId="0" ref="X389">
      <text>
        <t xml:space="preserve">21-7-2025
r 22-7-2025</t>
      </text>
    </comment>
    <comment authorId="0" ref="X390">
      <text>
        <t xml:space="preserve">10-7-2025
r 11-7-2025
</t>
      </text>
    </comment>
    <comment authorId="0" ref="Y390">
      <text>
        <t xml:space="preserve">10-7-2025
r 17-7-2025
MLN damwnanden 18-jul
r22-7-2025
</t>
      </text>
    </comment>
    <comment authorId="0" ref="X391">
      <text>
        <t xml:space="preserve">10-7-2025
r 11-7-2025</t>
      </text>
    </comment>
    <comment authorId="0" ref="X392">
      <text>
        <t xml:space="preserve">9-7-2025
r 10-7-2025
</t>
      </text>
    </comment>
    <comment authorId="0" ref="X393">
      <text>
        <t xml:space="preserve">4-7-2025
r 7-7-2025</t>
      </text>
    </comment>
    <comment authorId="0" ref="X395">
      <text>
        <t xml:space="preserve">26-6-2025
3-7-2025
14-7-2025
r 17-7-2025
r 21-7-2025
</t>
      </text>
    </comment>
    <comment authorId="0" ref="X396">
      <text>
        <t xml:space="preserve">25-6-2025
r 26-6-2025</t>
      </text>
    </comment>
    <comment authorId="0" ref="X397">
      <text>
        <t xml:space="preserve">25-6-2025
3-7-2025
</t>
      </text>
    </comment>
    <comment authorId="0" ref="X398">
      <text>
        <t xml:space="preserve">8-10-2025
r 9-10-2025</t>
      </text>
    </comment>
    <comment authorId="0" ref="X399">
      <text>
        <t xml:space="preserve">19-6-2025
r 19-6-2025
</t>
      </text>
    </comment>
    <comment authorId="0" ref="Y399">
      <text>
        <t xml:space="preserve">19-6-2025
25-6-2025
r 26-6-2025
</t>
      </text>
    </comment>
    <comment authorId="0" ref="X400">
      <text>
        <t xml:space="preserve">19-6-2025
r 19-6-2025
</t>
      </text>
    </comment>
    <comment authorId="0" ref="Y400">
      <text>
        <t xml:space="preserve">MLN 3-7
r 4-7
</t>
      </text>
    </comment>
    <comment authorId="0" ref="Z400">
      <text>
        <t xml:space="preserve">8-10-2025
r 9-10-2025
</t>
      </text>
    </comment>
    <comment authorId="0" ref="X401">
      <text>
        <t xml:space="preserve">19-6-2025
r 19-6-2025
</t>
      </text>
    </comment>
    <comment authorId="0" ref="Y401">
      <text>
        <t xml:space="preserve">19-6-2025
r 20-6-2025
</t>
      </text>
    </comment>
    <comment authorId="0" ref="Z401">
      <text>
        <t xml:space="preserve">MLN 19-jul-25
r 22-7-2025
</t>
      </text>
    </comment>
    <comment authorId="0" ref="X402">
      <text>
        <t xml:space="preserve">7-7-2025
r 7-7-2025
</t>
      </text>
    </comment>
    <comment authorId="0" ref="X404">
      <text>
        <t xml:space="preserve">19-6-2025
r 19-6-2025
r 20-6-2025</t>
      </text>
    </comment>
    <comment authorId="0" ref="X405">
      <text>
        <t xml:space="preserve">19-6-2025
r 26-3-2025</t>
      </text>
    </comment>
    <comment authorId="0" ref="Y405">
      <text>
        <t xml:space="preserve">19-6-2025
r 24-6-2025
MLN 02-10-2025</t>
      </text>
    </comment>
    <comment authorId="0" ref="Z405">
      <text>
        <t xml:space="preserve">MLN 02-10-25 EV tav 05 en 07</t>
      </text>
    </comment>
    <comment authorId="0" ref="M406">
      <text>
        <t xml:space="preserve">oude KLIC 25O0090054</t>
      </text>
    </comment>
    <comment authorId="0" ref="X406">
      <text>
        <t xml:space="preserve">19-6-2025
r 19-6-2025
r 20-6-2025
</t>
      </text>
    </comment>
    <comment authorId="0" ref="Y406">
      <text>
        <t xml:space="preserve">19-6-2025
r 20-6-2025
</t>
      </text>
    </comment>
    <comment authorId="0" ref="X407">
      <text>
        <t xml:space="preserve">19-6-2025
r 19-6-2025
</t>
      </text>
    </comment>
    <comment authorId="0" ref="Y407">
      <text>
        <t xml:space="preserve">19-6-2025
r 20-6-2025</t>
      </text>
    </comment>
    <comment authorId="0" ref="Z407">
      <text>
        <t xml:space="preserve">19-6-2025
r 19-6-2025
</t>
      </text>
    </comment>
    <comment authorId="0" ref="X410">
      <text>
        <t xml:space="preserve">30-5-2025
r 3-6-2025</t>
      </text>
    </comment>
    <comment authorId="0" ref="X412">
      <text>
        <t xml:space="preserve">24-5-2025
13-6-2025
r 13-6-2025
r 16-6-2025
r 23-6-2025
</t>
      </text>
    </comment>
    <comment authorId="0" ref="Y412">
      <text>
        <t xml:space="preserve">24-5-2025
r 27-5-2025
</t>
      </text>
    </comment>
    <comment authorId="0" ref="Z412">
      <text>
        <t xml:space="preserve">24-5-2025
r 26-5-2025
</t>
      </text>
    </comment>
    <comment authorId="0" ref="AA412">
      <text>
        <t xml:space="preserve">12-6-2025
r 13-6-2025</t>
      </text>
    </comment>
    <comment authorId="0" ref="X416">
      <text>
        <t xml:space="preserve">23-5-2025
r 27-5-2025</t>
      </text>
    </comment>
    <comment authorId="0" ref="M417">
      <text>
        <t xml:space="preserve">old KLIC 25O0023679</t>
      </text>
    </comment>
    <comment authorId="0" ref="X417">
      <text>
        <t xml:space="preserve">15-5-2025
26-5-2025
r 30-5-2025
</t>
      </text>
    </comment>
    <comment authorId="0" ref="Y417">
      <text>
        <t xml:space="preserve">15-5-2025
r 15-5-2025
MLN15-5-2025
r 16-5-2025
</t>
      </text>
    </comment>
    <comment authorId="0" ref="X418">
      <text>
        <t xml:space="preserve">12-5-2025
r 13-5-2025
</t>
      </text>
    </comment>
    <comment authorId="0" ref="Y418">
      <text>
        <t xml:space="preserve">12-5-2025
r 13-5-2025</t>
      </text>
    </comment>
    <comment authorId="0" ref="Z418">
      <text>
        <t xml:space="preserve">12-5-2025</t>
      </text>
    </comment>
    <comment authorId="0" ref="AA418">
      <text>
        <t xml:space="preserve">12-5-2025
r 13-5-2025</t>
      </text>
    </comment>
    <comment authorId="0" ref="X420">
      <text>
        <t xml:space="preserve">8-5-2025
r 9-5-2025</t>
      </text>
    </comment>
    <comment authorId="0" ref="Y420">
      <text>
        <t xml:space="preserve">8-5-2025
</t>
      </text>
    </comment>
    <comment authorId="0" ref="Z420">
      <text>
        <t xml:space="preserve">8-5-2025
r 9-5-2025
</t>
      </text>
    </comment>
    <comment authorId="0" ref="X423">
      <text>
        <t xml:space="preserve">11-5-2025
r 12-5-2025</t>
      </text>
    </comment>
    <comment authorId="0" ref="Y423">
      <text>
        <t xml:space="preserve">11-5-2025
12-5-2025
r 12-5-2025</t>
      </text>
    </comment>
    <comment authorId="0" ref="Z423">
      <text>
        <t xml:space="preserve">11-5-2025
r 12-5-2025</t>
      </text>
    </comment>
    <comment authorId="0" ref="AA423">
      <text>
        <t xml:space="preserve">11-5-2025
r 30-5-2025</t>
      </text>
    </comment>
    <comment authorId="0" ref="AB423">
      <text>
        <t xml:space="preserve">11-5-2025
r 12-5-2025</t>
      </text>
    </comment>
    <comment authorId="0" ref="AC423">
      <text>
        <t xml:space="preserve">11-5-2025</t>
      </text>
    </comment>
    <comment authorId="0" ref="X424">
      <text>
        <t xml:space="preserve">11-5-2025
26-5-2025
r 30-5-2025</t>
      </text>
    </comment>
    <comment authorId="0" ref="X426">
      <text>
        <t xml:space="preserve">29-4-2025
r 30-4-2025</t>
      </text>
    </comment>
    <comment authorId="0" ref="X429">
      <text>
        <t xml:space="preserve">24-4-2025
r 25-4-2025</t>
      </text>
    </comment>
    <comment authorId="0" ref="X431">
      <text>
        <t xml:space="preserve">14-4-2025
23-4-2025
r 23-4-2025
(moest even wachten op de info van een collega ivm een project dat nog niet verwerkt was)</t>
      </text>
    </comment>
    <comment authorId="0" ref="X432">
      <text>
        <t xml:space="preserve">17-4-2025
r 17-4-2025
</t>
      </text>
    </comment>
    <comment authorId="0" ref="X433">
      <text>
        <t xml:space="preserve">14-4-2025
r 14-4-2025
</t>
      </text>
    </comment>
    <comment authorId="0" ref="Y433">
      <text>
        <t xml:space="preserve">14-4-2025
r 14-4-2025
</t>
      </text>
    </comment>
    <comment authorId="0" ref="Z433">
      <text>
        <t xml:space="preserve">14-4-2025
r 14-4-2025
</t>
      </text>
    </comment>
    <comment authorId="0" ref="AA433">
      <text>
        <t xml:space="preserve">14-4-2025
r 14-4-2025
</t>
      </text>
    </comment>
    <comment authorId="0" ref="AB433">
      <text>
        <t xml:space="preserve">14-4-2025
r 14-4-2025</t>
      </text>
    </comment>
    <comment authorId="0" ref="X435">
      <text>
        <t xml:space="preserve">9-4-2025
r 11-4-2025
</t>
      </text>
    </comment>
    <comment authorId="0" ref="Y435">
      <text>
        <t xml:space="preserve">9-4-2025
r 10-4-2025
</t>
      </text>
    </comment>
    <comment authorId="0" ref="Z435">
      <text>
        <t xml:space="preserve">9-4-2025
r 10-4-2025
</t>
      </text>
    </comment>
    <comment authorId="0" ref="AA435">
      <text>
        <t xml:space="preserve">9-4-2025
r 11-4-2025
</t>
      </text>
    </comment>
    <comment authorId="0" ref="M436">
      <text>
        <t xml:space="preserve">oude KLIC 25O0050900</t>
      </text>
    </comment>
    <comment authorId="0" ref="X437">
      <text>
        <t xml:space="preserve">31-3-2025 (info)
r 1-4-2025
</t>
      </text>
    </comment>
    <comment authorId="0" ref="Y437">
      <text>
        <t xml:space="preserve">31-3-2025
r 2-4-2025</t>
      </text>
    </comment>
    <comment authorId="0" ref="Z437">
      <text>
        <t xml:space="preserve">31-3-2025
r 2-4-2025</t>
      </text>
    </comment>
    <comment authorId="0" ref="AA437">
      <text>
        <t xml:space="preserve">1-4-2025
r 1-4-2025</t>
      </text>
    </comment>
    <comment authorId="0" ref="X438">
      <text>
        <t xml:space="preserve">31-3-2025
r 1-4-2025
</t>
      </text>
    </comment>
    <comment authorId="0" ref="Y438">
      <text>
        <t xml:space="preserve">31-3-2025
r 2-4-2025
</t>
      </text>
    </comment>
    <comment authorId="0" ref="Z438">
      <text>
        <t xml:space="preserve">13-12-2025
r 15-12-2025</t>
      </text>
    </comment>
    <comment authorId="0" ref="X439">
      <text>
        <t xml:space="preserve">31-3-2025
r 1-4-2025
</t>
      </text>
    </comment>
    <comment authorId="0" ref="Y439">
      <text>
        <t xml:space="preserve">31-3-2025
r 2-4-2025
</t>
      </text>
    </comment>
    <comment authorId="0" ref="X440">
      <text>
        <t xml:space="preserve">28-3-2025
2-4-2025
3-4-2025
r 3-4-2025
</t>
      </text>
    </comment>
    <comment authorId="0" ref="X441">
      <text>
        <t xml:space="preserve">26-3-2025
r 26-3-2025
</t>
      </text>
    </comment>
    <comment authorId="0" ref="X443">
      <text>
        <t xml:space="preserve">25-3-2025
r 25-3-2025
</t>
      </text>
    </comment>
    <comment authorId="0" ref="Y443">
      <text>
        <t xml:space="preserve">25-3-2025
r 25-3-2025</t>
      </text>
    </comment>
    <comment authorId="0" ref="M445">
      <text>
        <t xml:space="preserve">old KLIC 24O0050515
</t>
      </text>
    </comment>
    <comment authorId="0" ref="X446">
      <text>
        <t xml:space="preserve">17-3-2025
r 18-3-2025</t>
      </text>
    </comment>
    <comment authorId="0" ref="Y446">
      <text>
        <t xml:space="preserve">17-3-2025
r 19-3-2025
</t>
      </text>
    </comment>
    <comment authorId="0" ref="Z446">
      <text>
        <t xml:space="preserve">18-3-2025
26-3-2025 (Gem.)
2-4-2025 (Gem.)
3-4-2025 (doorgestuurd naar Mark)
r 4-4-2025</t>
      </text>
    </comment>
    <comment authorId="0" ref="AA446">
      <text>
        <t xml:space="preserve">17-3-2025
r 18-3-2025</t>
      </text>
    </comment>
    <comment authorId="0" ref="X447">
      <text>
        <t xml:space="preserve">17-3-2025
r 18-3-2025</t>
      </text>
    </comment>
    <comment authorId="0" ref="Y447">
      <text>
        <t xml:space="preserve">17-3-2025
r 19-3-2025
</t>
      </text>
    </comment>
    <comment authorId="0" ref="Z447">
      <text>
        <t xml:space="preserve">18-3-2025
26-3-2025 (Gem.)
2-4-2025 (Gem.)
3-4-2025 (doorgestuurd naar Mark)
r 4-4-2025</t>
      </text>
    </comment>
    <comment authorId="0" ref="AA447">
      <text>
        <t xml:space="preserve">17-3-2025
r 18-3-2025</t>
      </text>
    </comment>
    <comment authorId="0" ref="X451">
      <text>
        <t xml:space="preserve">12-3-2025
25-3-2025
2-4-2025
r 2-4-2025
2-4-2025: MLN aan Michael Hummel 
r 9-4-2025
</t>
      </text>
    </comment>
    <comment authorId="0" ref="Y451">
      <text>
        <t xml:space="preserve">17-9-2025
</t>
      </text>
    </comment>
    <comment authorId="0" ref="X452">
      <text>
        <t xml:space="preserve">16-4-2025
r 22-4-2025</t>
      </text>
    </comment>
    <comment authorId="0" ref="X456">
      <text>
        <t xml:space="preserve">28-2-2025
r 3-3-2025
</t>
      </text>
    </comment>
    <comment authorId="0" ref="Y456">
      <text>
        <t xml:space="preserve">28-2-2025
r 3-3-2025</t>
      </text>
    </comment>
    <comment authorId="0" ref="X459">
      <text>
        <t xml:space="preserve">23-2-2025
r 3-3-2025
</t>
      </text>
    </comment>
    <comment authorId="0" ref="Y459">
      <text>
        <t xml:space="preserve">25-2-2025
r 26-2-2025</t>
      </text>
    </comment>
    <comment authorId="0" ref="X463">
      <text>
        <t xml:space="preserve">6-2-2025
r 12-2-2025</t>
      </text>
    </comment>
    <comment authorId="0" ref="X465">
      <text>
        <t xml:space="preserve">5-2-2025
r 12-2-2025</t>
      </text>
    </comment>
    <comment authorId="0" ref="X466">
      <text>
        <t xml:space="preserve">30-1-2025
r 3-2-2025
</t>
      </text>
    </comment>
    <comment authorId="0" ref="Y466">
      <text>
        <t xml:space="preserve">30-1-2025
r 30-1-2025
</t>
      </text>
    </comment>
    <comment authorId="0" ref="Z466">
      <text>
        <t xml:space="preserve">31-1-2025
r 7-2-2025</t>
      </text>
    </comment>
    <comment authorId="0" ref="AA466">
      <text>
        <t xml:space="preserve">30-1-2025
r 30-1-2025
</t>
      </text>
    </comment>
    <comment authorId="0" ref="X467">
      <text>
        <t xml:space="preserve">28-1-2025
r 29-1-2025
12-2-2025
r 26-2-2025</t>
      </text>
    </comment>
    <comment authorId="0" ref="Y467">
      <text>
        <t xml:space="preserve">28-1-2025
r 28-1-2025
</t>
      </text>
    </comment>
    <comment authorId="0" ref="X468">
      <text>
        <t xml:space="preserve">22-1-2025
r 22-1-2025
</t>
      </text>
    </comment>
    <comment authorId="0" ref="X471">
      <text>
        <t xml:space="preserve">9-1-2025
r 9-1-2025
</t>
      </text>
    </comment>
    <comment authorId="0" ref="Y471">
      <text>
        <t xml:space="preserve">9-1-2025
r 9-1-2025
</t>
      </text>
    </comment>
    <comment authorId="0" ref="Z471">
      <text>
        <t xml:space="preserve">9-1-2025
r 10-1-2025
</t>
      </text>
    </comment>
    <comment authorId="0" ref="X472">
      <text>
        <t xml:space="preserve">27-12-2024
7-1-2025
r 10-1-2025
</t>
      </text>
    </comment>
    <comment authorId="0" ref="X477">
      <text>
        <t xml:space="preserve">27-12-2024
r 30-12-2024
</t>
      </text>
    </comment>
    <comment authorId="0" ref="X478">
      <text>
        <t xml:space="preserve">27-12-2024
r 30-12-2024
</t>
      </text>
    </comment>
    <comment authorId="0" ref="X480">
      <text>
        <t xml:space="preserve">23-12-2024
6-1-2024
</t>
      </text>
    </comment>
    <comment authorId="0" ref="Y480">
      <text>
        <t xml:space="preserve">23-12-2024
r 30-12-2024
</t>
      </text>
    </comment>
    <comment authorId="0" ref="Z480">
      <text>
        <t xml:space="preserve">23-12-2024
r 30-12-2024
</t>
      </text>
    </comment>
    <comment authorId="0" ref="AA480">
      <text>
        <t xml:space="preserve">23-12-2024
6-1-2024
r 6-1-2024
</t>
      </text>
    </comment>
    <comment authorId="0" ref="AB480">
      <text>
        <t xml:space="preserve">23-12-2024
r 23-12-2024
</t>
      </text>
    </comment>
    <comment authorId="0" ref="AC480">
      <text>
        <t xml:space="preserve">23-12-2024
r 24-12-2024
</t>
      </text>
    </comment>
    <comment authorId="0" ref="X483">
      <text>
        <t xml:space="preserve">13-12-2024
16-12-2024
r 18-12-2024
</t>
      </text>
    </comment>
    <comment authorId="0" ref="Y483">
      <text>
        <t xml:space="preserve">13-12-2024
r 13-12-2024
</t>
      </text>
    </comment>
    <comment authorId="0" ref="X485">
      <text>
        <t xml:space="preserve">11-12-2024
r 12-12-2024
</t>
      </text>
    </comment>
    <comment authorId="0" ref="Y485">
      <text>
        <t xml:space="preserve">11-12-2024
r 12-12-2024
</t>
      </text>
    </comment>
    <comment authorId="0" ref="X492">
      <text>
        <t xml:space="preserve">6-11-2024
r 7-11-2024 + 8-11-2024
</t>
      </text>
    </comment>
    <comment authorId="0" ref="Y492">
      <text>
        <t xml:space="preserve">6-11-2024
</t>
      </text>
    </comment>
    <comment authorId="0" ref="Z492">
      <text>
        <t xml:space="preserve">6-11-2024
r 7-11-2024
</t>
      </text>
    </comment>
    <comment authorId="0" ref="AA492">
      <text>
        <t xml:space="preserve">6-11-2024
r 7-11-2024
</t>
      </text>
    </comment>
    <comment authorId="0" ref="AB492">
      <text>
        <t xml:space="preserve">6-11-2024
r 8-11-2024
</t>
      </text>
    </comment>
    <comment authorId="0" ref="X493">
      <text>
        <t xml:space="preserve">6-11-2024
r 7-11-2024
</t>
      </text>
    </comment>
    <comment authorId="0" ref="X495">
      <text>
        <t xml:space="preserve">24-10-2024
r 25-10-2024
</t>
      </text>
    </comment>
    <comment authorId="0" ref="X497">
      <text>
        <t xml:space="preserve">21-10-2021
28-10-2024
</t>
      </text>
    </comment>
    <comment authorId="0" ref="M498">
      <text>
        <t xml:space="preserve">Oud KLIC 24O0149947</t>
      </text>
    </comment>
    <comment authorId="0" ref="X499">
      <text>
        <t xml:space="preserve">19-10-2024
28-10-2024
r 28-10-2024
</t>
      </text>
    </comment>
    <comment authorId="0" ref="X500">
      <text>
        <t xml:space="preserve">14-10-2024
r 14-10-2024
</t>
      </text>
    </comment>
    <comment authorId="0" ref="X501">
      <text>
        <t xml:space="preserve">9-10-2024
r 10-10-2024
</t>
      </text>
    </comment>
    <comment authorId="0" ref="X504">
      <text>
        <t xml:space="preserve">24-9-2024
r 25-9-2024
</t>
      </text>
    </comment>
    <comment authorId="0" ref="X507">
      <text>
        <t xml:space="preserve">17-9-2024
r 18-9-2024
</t>
      </text>
    </comment>
    <comment authorId="0" ref="X509">
      <text>
        <t xml:space="preserve">17-9-2024
r 18-9-2024
</t>
      </text>
    </comment>
    <comment authorId="0" ref="Y509">
      <text>
        <t xml:space="preserve">17-9-2024
r 179-2024
</t>
      </text>
    </comment>
    <comment authorId="0" ref="X511">
      <text>
        <t xml:space="preserve">13-9-2024
r 16-9-2024
</t>
      </text>
    </comment>
    <comment authorId="0" ref="Y511">
      <text>
        <t xml:space="preserve">13-9-2024
r 18-9-2024
</t>
      </text>
    </comment>
    <comment authorId="0" ref="X512">
      <text>
        <t xml:space="preserve">5-9-2024
r 5-9-2024
</t>
      </text>
    </comment>
    <comment authorId="0" ref="Y512">
      <text>
        <t xml:space="preserve">5-9-2024
r 5-9-2024
</t>
      </text>
    </comment>
    <comment authorId="0" ref="Z512">
      <text>
        <t xml:space="preserve">5-9-2024
r 5-9-2024
</t>
      </text>
    </comment>
    <comment authorId="0" ref="AA512">
      <text>
        <t xml:space="preserve">5-9-2024
r 5-9-2024
</t>
      </text>
    </comment>
    <comment authorId="0" ref="AB512">
      <text>
        <t xml:space="preserve">5-9-2024
r 5-9-2024</t>
      </text>
    </comment>
    <comment authorId="0" ref="AC512">
      <text>
        <t xml:space="preserve">5-9-2024
r 5-9-2024
</t>
      </text>
    </comment>
    <comment authorId="0" ref="X513">
      <text>
        <t xml:space="preserve">4-9-2024
r 5-9-2024
</t>
      </text>
    </comment>
    <comment authorId="0" ref="Y513">
      <text>
        <t xml:space="preserve">4-9-2024
r 6-9-2024
</t>
      </text>
    </comment>
    <comment authorId="0" ref="Z513">
      <text>
        <t xml:space="preserve">4-9-2024
r 5-9-2024
</t>
      </text>
    </comment>
    <comment authorId="0" ref="X515">
      <text>
        <t xml:space="preserve">26-8-2024
r 27-8-2024
</t>
      </text>
    </comment>
    <comment authorId="0" ref="X516">
      <text>
        <t xml:space="preserve">27-8-2024
r 30-8-2024
</t>
      </text>
    </comment>
    <comment authorId="0" ref="Y516">
      <text>
        <t xml:space="preserve">27-8-2024
r 28-8-2024
</t>
      </text>
    </comment>
    <comment authorId="0" ref="Z516">
      <text>
        <t xml:space="preserve">27-8-2024
r 28-8-2024
</t>
      </text>
    </comment>
    <comment authorId="0" ref="X517">
      <text>
        <t xml:space="preserve">22-8-2024
r 26-8-2024
</t>
      </text>
    </comment>
    <comment authorId="0" ref="Y517">
      <text>
        <t xml:space="preserve">22-8-2024
r 23-8-2024</t>
      </text>
    </comment>
    <comment authorId="0" ref="X518">
      <text>
        <t xml:space="preserve">13-8-2024
r 14-8-2024
</t>
      </text>
    </comment>
    <comment authorId="0" ref="Y518">
      <text>
        <t xml:space="preserve">13-8-2024
r 13-8-2024
</t>
      </text>
    </comment>
    <comment authorId="0" ref="M519">
      <text>
        <t xml:space="preserve">old KLIC 24O0111831
</t>
      </text>
    </comment>
    <comment authorId="0" ref="X519">
      <text>
        <t xml:space="preserve">13-8-2024
r 14-8-2024
data
gas LD
water
</t>
      </text>
    </comment>
    <comment authorId="0" ref="Y519">
      <text>
        <t xml:space="preserve">13-8-2024
</t>
      </text>
    </comment>
    <comment authorId="0" ref="Z519">
      <text>
        <t xml:space="preserve">13-8-2024
26-8-2024</t>
      </text>
    </comment>
    <comment authorId="0" ref="AA519">
      <text>
        <t xml:space="preserve">13-8-2024
r 15-8-2024</t>
      </text>
    </comment>
    <comment authorId="0" ref="AB519">
      <text>
        <t xml:space="preserve">13-8-2024
r 14-8-2024
</t>
      </text>
    </comment>
    <comment authorId="0" ref="M520">
      <text>
        <t xml:space="preserve">old KLIC 24O0111825</t>
      </text>
    </comment>
    <comment authorId="0" ref="X520">
      <text>
        <t xml:space="preserve">13-8-2024
r 15-8-2024</t>
      </text>
    </comment>
    <comment authorId="0" ref="X521">
      <text>
        <t xml:space="preserve">29-7-2024
6-8-2024
r 7-8-2024
</t>
      </text>
    </comment>
    <comment authorId="0" ref="X522">
      <text>
        <t xml:space="preserve">29-7-2024
r 29-7-2024
</t>
      </text>
    </comment>
    <comment authorId="0" ref="X523">
      <text>
        <t xml:space="preserve">29-7-2024
r 30-7-2024
</t>
      </text>
    </comment>
    <comment authorId="0" ref="X524">
      <text>
        <t xml:space="preserve">29-7-2024
r 29-7-2024
</t>
      </text>
    </comment>
    <comment authorId="0" ref="X526">
      <text>
        <t xml:space="preserve">19-7-2024
24-7-2024
r 30-7-2024
</t>
      </text>
    </comment>
    <comment authorId="0" ref="X527">
      <text>
        <t xml:space="preserve">19-7-2024
24-7-2024 +1 email to their main website
r 25-7-2024
</t>
      </text>
    </comment>
    <comment authorId="0" ref="X529">
      <text>
        <t xml:space="preserve">15-7-2024
24-7-2024 (2 emails)
r 1-8-2024
</t>
      </text>
    </comment>
    <comment authorId="0" ref="Y529">
      <text>
        <t xml:space="preserve">15-7-2024
r 16-7-2024
</t>
      </text>
    </comment>
    <comment authorId="0" ref="Z529">
      <text>
        <t xml:space="preserve">15-7-2024
r 17-7-2024
</t>
      </text>
    </comment>
    <comment authorId="0" ref="X530">
      <text>
        <t xml:space="preserve">15-7-2024
24-7-2024 (2 emails)
r 1-8-2024
</t>
      </text>
    </comment>
    <comment authorId="0" ref="Y530">
      <text>
        <t xml:space="preserve">15-7-2024
r 16-7-2024
</t>
      </text>
    </comment>
    <comment authorId="0" ref="Z530">
      <text>
        <t xml:space="preserve">15-7-2024
r 17-7-2024
</t>
      </text>
    </comment>
    <comment authorId="0" ref="X533">
      <text>
        <t xml:space="preserve">5-7-2024
r 5-7-2024
</t>
      </text>
    </comment>
    <comment authorId="0" ref="Y533">
      <text>
        <t xml:space="preserve">5-7-2024
10-7-2024
r 11-7-2024
</t>
      </text>
    </comment>
    <comment authorId="0" ref="Z533">
      <text>
        <t xml:space="preserve">5-7-2024
r 8-7-2024
</t>
      </text>
    </comment>
    <comment authorId="0" ref="AA533">
      <text>
        <t xml:space="preserve">5-7-2024
10-7-2024
r 10-7-2024
</t>
      </text>
    </comment>
    <comment authorId="0" ref="X534">
      <text>
        <t xml:space="preserve">25-6-2024
r 1-7-2024
</t>
      </text>
    </comment>
    <comment authorId="0" ref="X536">
      <text>
        <t xml:space="preserve">25-6-2024
r 1-7-2024
</t>
      </text>
    </comment>
    <comment authorId="0" ref="Y536">
      <text>
        <t xml:space="preserve">25-6-2024
r 27-6-2024</t>
      </text>
    </comment>
    <comment authorId="0" ref="Z536">
      <text>
        <t xml:space="preserve">3-10-2024
r 8-10-2024</t>
      </text>
    </comment>
    <comment authorId="0" ref="X538">
      <text>
        <t xml:space="preserve">20-6-2024
26-6-2024
r 1-7-2024
</t>
      </text>
    </comment>
    <comment authorId="0" ref="Y538">
      <text>
        <t xml:space="preserve">20-6-2024
r 24-6-2024</t>
      </text>
    </comment>
    <comment authorId="0" ref="X541">
      <text>
        <t xml:space="preserve">13-6-2024
recieved call 13-6-2024 
There is no start date yet. They are still working on it.
</t>
      </text>
    </comment>
    <comment authorId="0" ref="X542">
      <text>
        <t xml:space="preserve">13-6-2024
recieved call 13-6-2024 
There is no start date yet. They are still working on it.
</t>
      </text>
    </comment>
    <comment authorId="0" ref="X543">
      <text>
        <t xml:space="preserve">13-6-2024
r 17-6-2024
</t>
      </text>
    </comment>
    <comment authorId="0" ref="Y543">
      <text>
        <t xml:space="preserve">13-6-2024
r 13-6-2024
</t>
      </text>
    </comment>
    <comment authorId="0" ref="M545">
      <text>
        <t xml:space="preserve">oud KLIC: 24O0081866</t>
      </text>
    </comment>
    <comment authorId="0" ref="X546">
      <text>
        <t xml:space="preserve">18-6-2024
r 25-6-2024
</t>
      </text>
    </comment>
    <comment authorId="0" ref="X547">
      <text>
        <t xml:space="preserve">18-6-2024
r 25-6-2024
</t>
      </text>
    </comment>
    <comment authorId="0" ref="M548">
      <text>
        <t xml:space="preserve">Uw toegangscode is: 7v8R9DCcE8zb</t>
      </text>
    </comment>
    <comment authorId="0" ref="X548">
      <text>
        <t xml:space="preserve">7-6-2024
"Liander schadepreventie gesproken. Waarschijnlijk is het een tekenfout."
"Kun je het ontwerp uitwerken met deze noot bij die MS: MS Liander waarschijnlijk foutief in KLIC: Liander te bevestigen"
</t>
      </text>
    </comment>
    <comment authorId="0" ref="X549">
      <text>
        <t xml:space="preserve">30-5-2024
r 30-5-2024
</t>
      </text>
    </comment>
    <comment authorId="0" ref="Y549">
      <text>
        <t xml:space="preserve">30-5-2024
r 30-5-2024
</t>
      </text>
    </comment>
    <comment authorId="0" ref="X552">
      <text>
        <t xml:space="preserve">22-5-2024
r 4-62024
</t>
      </text>
    </comment>
    <comment authorId="0" ref="Y552">
      <text>
        <t xml:space="preserve">22-5-2024
r 27-5-2024
</t>
      </text>
    </comment>
    <comment authorId="0" ref="Z552">
      <text>
        <t xml:space="preserve">22-5-2024
r 23-5-2024
</t>
      </text>
    </comment>
    <comment authorId="0" ref="X557">
      <text>
        <t xml:space="preserve">14-5-2024
r 17-5-2024
</t>
      </text>
    </comment>
    <comment authorId="0" ref="X558">
      <text>
        <t xml:space="preserve">13-5-2024
17-5-2024
1-7-2024
</t>
      </text>
    </comment>
    <comment authorId="0" ref="X559">
      <text>
        <t xml:space="preserve">25-4-2024
r 25-4-2024
</t>
      </text>
    </comment>
    <comment authorId="0" ref="Y559">
      <text>
        <t xml:space="preserve">25-4-2024
r 24-4-2024
</t>
      </text>
    </comment>
    <comment authorId="0" ref="X560">
      <text>
        <t xml:space="preserve">23-4-2024
r 23-4-2024
</t>
      </text>
    </comment>
    <comment authorId="0" ref="Y562">
      <text>
        <t xml:space="preserve">9-4-2024
r 17-4-2024
</t>
      </text>
    </comment>
    <comment authorId="0" ref="X564">
      <text>
        <t xml:space="preserve">21-6-2024
r 21-6-2024
</t>
      </text>
    </comment>
    <comment authorId="0" ref="X565">
      <text>
        <t xml:space="preserve">21-6-2024
r 21-6-2024
</t>
      </text>
    </comment>
    <comment authorId="0" ref="Y565">
      <text>
        <t xml:space="preserve">21-6-2024</t>
      </text>
    </comment>
    <comment authorId="0" ref="Y566">
      <text>
        <t xml:space="preserve">9-4-2024
r 11-4-2024
</t>
      </text>
    </comment>
    <comment authorId="0" ref="Z567">
      <text>
        <t xml:space="preserve">9-4-2024
r 11-4-2024
</t>
      </text>
    </comment>
    <comment authorId="0" ref="AA567">
      <text>
        <t xml:space="preserve">25-4-2024
r 26-4-2024
het profiel is niet leesbaar.
</t>
      </text>
    </comment>
    <comment authorId="0" ref="X572">
      <text>
        <t xml:space="preserve">17-4-2024
r 18-4-2024
</t>
      </text>
    </comment>
    <comment authorId="0" ref="Y572">
      <text>
        <t xml:space="preserve">18-4-2024
19-4-2024
23-4-2024
r 26-4-2024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3">
      <text>
        <t xml:space="preserve">LI-AAM      10 (done) 01-10
LI-AAN       8 (done) 11-18
LI-AAP       19 (done )19-37
MR-AAH    1 (done) 38
MR-AAJ     11  (done) 39-49
MR-AAK     13 (done) 50-62
=62
</t>
      </text>
    </comment>
    <comment authorId="0" ref="G93">
      <text>
        <t xml:space="preserve">DEEL1
BEU-AAG       13 (done)
BEU-AAH       2 (done)
EDE-OOST     1 (done)
EW-AAH        15 (done)
IN-AAE           21 (done)
KRKAB-AAD  1 (done)
KRKAB-AAE  1 (done)
ZOE-AAC       9 (done)
= 63</t>
      </text>
    </comment>
    <comment authorId="0" ref="I93">
      <text>
        <t xml:space="preserve">DEEL1
BEU-AAG       13 (done)
BEU-AAH       2 (done)
EDE-OOST     1 (done)
EW-AAH        15 (done)
IN-AAE           21 (done)
KRKAB-AAD  1 (done)
KRKAB-AAE  1 (done)
ZOE-AAC       9 (done)
= 63</t>
      </text>
    </comment>
  </commentList>
</comments>
</file>

<file path=xl/sharedStrings.xml><?xml version="1.0" encoding="utf-8"?>
<sst xmlns="http://schemas.openxmlformats.org/spreadsheetml/2006/main" count="6094" uniqueCount="2548">
  <si>
    <t xml:space="preserve"> </t>
  </si>
  <si>
    <t>Date</t>
  </si>
  <si>
    <t>Order name</t>
  </si>
  <si>
    <t xml:space="preserve">Client </t>
  </si>
  <si>
    <t>Status</t>
  </si>
  <si>
    <t>Date requested</t>
  </si>
  <si>
    <t>Date of delivery</t>
  </si>
  <si>
    <t>Type1</t>
  </si>
  <si>
    <t>Amt</t>
  </si>
  <si>
    <t>Type2</t>
  </si>
  <si>
    <t>Permit required</t>
  </si>
  <si>
    <t>Note</t>
  </si>
  <si>
    <t xml:space="preserve">KLIC </t>
  </si>
  <si>
    <t>Google Maps</t>
  </si>
  <si>
    <t>PDOK</t>
  </si>
  <si>
    <t xml:space="preserve">Waterkering </t>
  </si>
  <si>
    <t>Oppervlaktewater</t>
  </si>
  <si>
    <t>Peil</t>
  </si>
  <si>
    <t>EV1</t>
  </si>
  <si>
    <t>EV2</t>
  </si>
  <si>
    <t>EV3</t>
  </si>
  <si>
    <t>EV4</t>
  </si>
  <si>
    <t>EV5</t>
  </si>
  <si>
    <t>Email1</t>
  </si>
  <si>
    <t>Email2</t>
  </si>
  <si>
    <t>Email3</t>
  </si>
  <si>
    <t>Email4</t>
  </si>
  <si>
    <t>Email5</t>
  </si>
  <si>
    <t>Email6</t>
  </si>
  <si>
    <t>HS26V009 Nijbroek, Middendijk</t>
  </si>
  <si>
    <t>HS</t>
  </si>
  <si>
    <t>Order received</t>
  </si>
  <si>
    <t>B</t>
  </si>
  <si>
    <t>-</t>
  </si>
  <si>
    <t>Middendijk 63, 7397 ND Nijbroek</t>
  </si>
  <si>
    <t>https://app.pdok.nl/viewer/#x=200980.04&amp;y=479221.02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</si>
  <si>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https://open-geodata-portaal-valleienveluwe.hub.arcgis.com/apps/e75d12ac1ccb47daa53c1b53916be4e9/explore</t>
  </si>
  <si>
    <t>TM26V231 Olst, Middelerstraat</t>
  </si>
  <si>
    <t>TM</t>
  </si>
  <si>
    <t>N</t>
  </si>
  <si>
    <t>Middelerstraat 4, 8121 RP Olst</t>
  </si>
  <si>
    <t>https://app.pdok.nl/viewer/#x=206389.45&amp;y=485230.08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</si>
  <si>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https://wdodelta.maps.arcgis.com/apps/instant/basic/index.html?appid=b84164114b70469ca1ba12d662946309</t>
  </si>
  <si>
    <t>3D26V823 Nieuwer Ter Aa, Doude van Troostwijkstraat</t>
  </si>
  <si>
    <t>3D</t>
  </si>
  <si>
    <t>https://www.google.com/maps/place/52%C2%B011'23.1%22N+4%C2%B059'00.3%22E/@52.1897657,4.9832368,205m/data=!3m1!1e3!4m4!3m3!8m2!3d52.18974!4d4.983414?entry=ttu&amp;g_ep=EgoyMDI2MDMwOS4wIKXMDSoASAFQAw%3D%3D</t>
  </si>
  <si>
    <t>https://app.pdok.nl/viewer/#x=127413.19&amp;y=466914.35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</si>
  <si>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https://maps.waternet.nl/portal/apps/experiencebuilder/experience/?id=36500ca8332b489182bf9ab83427cbc1</t>
  </si>
  <si>
    <t>TM26V230 Markelo, W. Göttelaan N753</t>
  </si>
  <si>
    <t>P</t>
  </si>
  <si>
    <t>https://www.google.com/maps/place/52%C2%B014'07.5%22N+6%C2%B030'24.9%22E/@52.2358099,6.5060574,345m/data=!3m1!1e3!4m4!3m3!8m2!3d52.235419!4d6.506905?entry=ttu&amp;g_ep=EgoyMDI2MDMwOS4wIKXMDSoASAFQAw%3D%3D</t>
  </si>
  <si>
    <t>https://app.pdok.nl/viewer/#x=231507.84&amp;y=472475.85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</si>
  <si>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https://wrij.maps.arcgis.com/apps/instant/sidebar/index.html?appid=51e2324fc55148c795406bb1aa8c6579</t>
  </si>
  <si>
    <t>KB26V414 Bunschoten-Spakenburg, Voltaweg</t>
  </si>
  <si>
    <t>KB</t>
  </si>
  <si>
    <t>Z</t>
  </si>
  <si>
    <t>Voltaweg 29, 3752 LN Bunschoten-Spakenburg</t>
  </si>
  <si>
    <t>https://app.pdok.nl/viewer/#x=153142.62&amp;y=471369.94&amp;z=13.5599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</si>
  <si>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VG26V403 Boskoop, Omloop</t>
  </si>
  <si>
    <t>VG</t>
  </si>
  <si>
    <t>Omloop 28, 2771 NL Boskoop</t>
  </si>
  <si>
    <t>https://app.pdok.nl/viewer/#x=106746.94&amp;y=453764.21&amp;z=13.0346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</si>
  <si>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https://rijnland.maps.arcgis.com/apps/instant/sidebar/index.html?appid=2b214417eea74ae9a56119c251ffa960</t>
  </si>
  <si>
    <t>https://rijnland.maps.arcgis.com/apps/instant/sidebar/index.html?appid=f0fd839278474fe7841a12800fcc3e39</t>
  </si>
  <si>
    <t>https://rijnland.maps.arcgis.com/apps/instant/sidebar/index.html?appid=5469a9663c5e4643b10efe6da9a15ae2</t>
  </si>
  <si>
    <t>KB26V413 Ressen, Bouwlustlaan</t>
  </si>
  <si>
    <t>Bouwlustlaan 3, 6684 DM Ressen</t>
  </si>
  <si>
    <t>https://app.pdok.nl/viewer/#x=187546.86&amp;y=433731.28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</si>
  <si>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https://experience.arcgis.com/experience/ff9e6ee747524d3cbce7712338ad0e89/page/Pagina-1</t>
  </si>
  <si>
    <t>https://experience.arcgis.com/experience/c58cad477757430f9ad8c6c1673058fc/page/Pagina-1</t>
  </si>
  <si>
    <t>https://wsrl.maps.arcgis.com/apps/instant/sidebar/index.html?appid=cbf893b541074183a43c4653524c3359</t>
  </si>
  <si>
    <t>VB26V401 Kerklaan, Kortenhoef</t>
  </si>
  <si>
    <t>VB</t>
  </si>
  <si>
    <t>Kerklaan 93, 1241 CL Kortenhoef</t>
  </si>
  <si>
    <t>https://app.pdok.nl/viewer/#x=136227.00&amp;y=472546.00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</si>
  <si>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3D26V821 Noordbeemster, Purmerenderweg</t>
  </si>
  <si>
    <t>Purmerenderweg 14, 1463 DA Noordbeemster</t>
  </si>
  <si>
    <t>https://app.pdok.nl/viewer/#x=127208.37&amp;y=509463.36&amp;z=12.4657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</si>
  <si>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https://kaarten.hhnk.nl/portal/apps/webappviewer/index.html?id=d2de3caed0ba442290991e1f5b404e1a</t>
  </si>
  <si>
    <t>https://kaarten.hhnk.nl/portal/apps/experiencebuilder/experience/?id=44d528c37de546e9846eb2bcaebee084</t>
  </si>
  <si>
    <t>3D26V820 Amsterdam, Piet Heinkade</t>
  </si>
  <si>
    <t>Piet Heinkade 193, 1019 HC Amsterdam</t>
  </si>
  <si>
    <t>https://app.pdok.nl/viewer/#x=123153.56&amp;y=487818.19&amp;z=11.9322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</si>
  <si>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BT26V204 Zwolle, Gasthuisdijk</t>
  </si>
  <si>
    <t>BT</t>
  </si>
  <si>
    <t>In progress</t>
  </si>
  <si>
    <t>26O0036029</t>
  </si>
  <si>
    <t>Gasthuisdijk 16, 8041 AG Zwolle</t>
  </si>
  <si>
    <t>https://app.pdok.nl/viewer/#x=201580.88&amp;y=503621.84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</si>
  <si>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Nederlandse Gasunie Oost</t>
  </si>
  <si>
    <t>3D26V819 Ermelo, Buitenbrinkweg</t>
  </si>
  <si>
    <t>Done</t>
  </si>
  <si>
    <t xml:space="preserve">Duiker in Google map &amp; HDD Liander MS; I think it is too risky here </t>
  </si>
  <si>
    <t>26O0036028</t>
  </si>
  <si>
    <t>Buitenbrinkweg 28, 3853 LX Ermelo</t>
  </si>
  <si>
    <t>https://app.pdok.nl/viewer/#x=168362.60&amp;y=480806.70&amp;z=14.3793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</si>
  <si>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https://www.vallei-veluwe.nl/actueel/actuele-thema/geodata/</t>
  </si>
  <si>
    <t>Gem. Ermelo</t>
  </si>
  <si>
    <t>TM26V229 Nijmegen, Aquilastraat</t>
  </si>
  <si>
    <t>26O0036024</t>
  </si>
  <si>
    <t>Aquilastraat 7, 6515 DV Nijmegen</t>
  </si>
  <si>
    <t>https://app.pdok.nl/viewer/#x=186801.46&amp;y=431884.67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</si>
  <si>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Nijmegen</t>
  </si>
  <si>
    <t>KB26V412 Blokzijl, Marknesserweg N333</t>
  </si>
  <si>
    <t>26O0036027</t>
  </si>
  <si>
    <t>Marknesserweg 1, 8356 VP Blokzijl</t>
  </si>
  <si>
    <t>https://app.pdok.nl/viewer/#x=193339.62&amp;y=526774.14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</si>
  <si>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https://experience.arcgis.com/experience/f3a714b052e04bb8afe63840ba9b7243/</t>
  </si>
  <si>
    <t>Gem. Steenwijkerland</t>
  </si>
  <si>
    <t>3D26V818 Nijkerk</t>
  </si>
  <si>
    <t>Cancelled</t>
  </si>
  <si>
    <t>Cancelled indeed</t>
  </si>
  <si>
    <t>26O0036025</t>
  </si>
  <si>
    <t>https://www.google.com/maps/@52.2260445,5.4612253,820m/data=!3m1!1e3!4m6!1m2!10m1!1e1!11m2!2ss7K7QXsb15GsPSjQBcSdKA!3e3?entry=ttu&amp;g_ep=EgoyMDI2MDIyNS4wIKXMDSoASAFQAw%3D%3D</t>
  </si>
  <si>
    <t>https://app.pdok.nl/viewer/#x=160026.16&amp;y=470877.61&amp;z=12.4197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</si>
  <si>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https://open-geodata-portaal-valleienveluwe.hub.arcgis.com/</t>
  </si>
  <si>
    <t>https://open-geodata-portaal-valleienveluwe.hub.arcgis.com/datasets/e8367b7d29fb44bf9b875541ca1d0c53_0/explore</t>
  </si>
  <si>
    <t>KB26V411 Amsterdam, Duinluststraat</t>
  </si>
  <si>
    <t>26O0036022</t>
  </si>
  <si>
    <t>Duinluststraat 34, 1024 WC Amsterdam</t>
  </si>
  <si>
    <t>https://app.pdok.nl/viewer/#x=125389.82&amp;y=489818.77&amp;z=15.0000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</si>
  <si>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Vattenfall Warmte</t>
  </si>
  <si>
    <t>HS26V007 Rotterdam, Cromme Meth</t>
  </si>
  <si>
    <t>26O0036023</t>
  </si>
  <si>
    <t>Cromme Meth 111, 3191 TG Hoogvliet Rotterdam</t>
  </si>
  <si>
    <t>https://app.pdok.nl/viewer/#x=84360.65&amp;y=431138.20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</si>
  <si>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https://wshd.maps.arcgis.com/apps/instant/sidebar/index.html?appid=e9fc292e4b9446068b8fcc1b938df522</t>
  </si>
  <si>
    <t>https://opendata-wshd.hub.arcgis.com/</t>
  </si>
  <si>
    <t>Rijkswaterstaat West-Nederland Zuid</t>
  </si>
  <si>
    <t>TM26V228 Velp, Rozendaalselaan</t>
  </si>
  <si>
    <t>25O0089460</t>
  </si>
  <si>
    <t>Rozendaalselaan 61, 6881 LB Velp</t>
  </si>
  <si>
    <t>https://app.pdok.nl/viewer/#x=194945.89&amp;y=445910.50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</si>
  <si>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https://wrij.maps.arcgis.com/apps/instant/sidebar/index.html?appid=bfd392c53e014c3aafc0cb588efd8a52</t>
  </si>
  <si>
    <t>Gem. Rheden</t>
  </si>
  <si>
    <t>TM26V227 Haaksbergen, Huttenweg</t>
  </si>
  <si>
    <t>26O0036019</t>
  </si>
  <si>
    <t>https://www.google.com/maps/place/52%C2%B008'33.9%22N+6%C2%B044'53.7%22E/@52.1430449,6.7481019,145m/data=!3m1!1e3!4m4!3m3!8m2!3d52.142759!4d6.74825?entry=ttu&amp;g_ep=EgoyMDI2MDIyNS4wIKXMDSoASAFQAw%3D%3D</t>
  </si>
  <si>
    <t>https://app.pdok.nl/viewer/#x=248175.84&amp;y=462505.12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</si>
  <si>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Haaksbergen</t>
  </si>
  <si>
    <t>HS26V006 Ridderkerk, Stadhouderslaan</t>
  </si>
  <si>
    <t>26O0036020</t>
  </si>
  <si>
    <t>https://www.google.com/maps/place/51%C2%B052'56.6%22N+4%C2%B036'11.9%22E/@51.8824563,4.6032386,174m/data=!3m1!1e3!4m4!3m3!8m2!3d51.882391!4d4.60331?entry=ttu&amp;g_ep=EgoyMDI2MDIyNS4wIKXMDSoASAFQAw%3D%3D</t>
  </si>
  <si>
    <t>https://app.pdok.nl/viewer/#x=101025.71&amp;y=432954.23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</si>
  <si>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3D26V822 Velsen-Noord (HDD29)</t>
  </si>
  <si>
    <t>PRIO</t>
  </si>
  <si>
    <t>26O0042028</t>
  </si>
  <si>
    <t>https://maps.app.goo.gl/8wENoY5De2L9auXX9</t>
  </si>
  <si>
    <t>https://app.pdok.nl/viewer/#x=105511.94&amp;y=498316.78&amp;z=11.3735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</si>
  <si>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Nederlandse Gasunie West</t>
  </si>
  <si>
    <t>Tennet: HS</t>
  </si>
  <si>
    <t>Tennet HS+DATA</t>
  </si>
  <si>
    <t>3D26V822 Velsen-Noord (BZ2)</t>
  </si>
  <si>
    <t>26O0042030</t>
  </si>
  <si>
    <t>Liander: GHD</t>
  </si>
  <si>
    <t>PWN</t>
  </si>
  <si>
    <t>3D26V817 Aalsmeer, Oosteinderweg</t>
  </si>
  <si>
    <t>W</t>
  </si>
  <si>
    <t>24O0176133</t>
  </si>
  <si>
    <t>Oosteinderweg 250, 1432 BB Aalsmeer</t>
  </si>
  <si>
    <t>https://app.pdok.nl/viewer/#x=114015.65&amp;y=477072.98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</si>
  <si>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Aalsmeer</t>
  </si>
  <si>
    <t>KB26V410 Wommels, Van Sminialeane</t>
  </si>
  <si>
    <t>26O0036017</t>
  </si>
  <si>
    <t>Van Sminialeane 49, 8731 BD Wommels</t>
  </si>
  <si>
    <t>https://app.pdok.nl/viewer/#x=169601.37&amp;y=568629.68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</si>
  <si>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https://gis.wetterskipfryslan.nl/portal/apps/webappviewer/index.html?id=e942646b322249bda805f71286708296&amp;extent=113105.9124%2C531949.8273%2C241020.5683%2C615566.7945%2C28992</t>
  </si>
  <si>
    <t>Gem. Súdwest-Fryslân</t>
  </si>
  <si>
    <t>HS26V005 Rotterdam, Ringvaartweg</t>
  </si>
  <si>
    <t>26O0036018</t>
  </si>
  <si>
    <t>Ringvaartweg 214, 3065 AH Rotterdam</t>
  </si>
  <si>
    <t>https://app.pdok.nl/viewer/#x=98222.85&amp;y=438108.44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</si>
  <si>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https://experience.arcgis.com/experience/9373fa4978604e8f91eb234b64e1d79e/page/De-dijken/</t>
  </si>
  <si>
    <t>https://experience.arcgis.com/experience/e4162895d005481ba26c8530c09b7f62</t>
  </si>
  <si>
    <t>RD25V346 Hoofddorp, Van Heuven Goedhartlaan</t>
  </si>
  <si>
    <t>RD</t>
  </si>
  <si>
    <t>25O0179907</t>
  </si>
  <si>
    <t>https://maps.app.goo.gl/R3GqLdPV2bwRuUCu8</t>
  </si>
  <si>
    <t>https://app.pdok.nl/viewer/#x=108715.14&amp;y=479015.11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</si>
  <si>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MM26V103 Zwaagdijk-West, Zwaagdijk</t>
  </si>
  <si>
    <t>MM</t>
  </si>
  <si>
    <t>26O0036016</t>
  </si>
  <si>
    <t>Zwaagdijk 425, 1685 PD Zwaagdijk</t>
  </si>
  <si>
    <t>https://app.pdok.nl/viewer/#x=132389.00&amp;y=520753.00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</si>
  <si>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GHD+GLD+HS</t>
  </si>
  <si>
    <t>MM26V102 Schermerhorn, Oostmijzerdijk</t>
  </si>
  <si>
    <t>26O0036014</t>
  </si>
  <si>
    <t>Oostmijzerdijk 7, 1636 WC Schermerhorn</t>
  </si>
  <si>
    <t>https://app.pdok.nl/viewer/#x=121640.10&amp;y=512764.53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</si>
  <si>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RD26V405 Den Hoorn, Pontweg N501 (HDD3)</t>
  </si>
  <si>
    <t>Delivered</t>
  </si>
  <si>
    <t>26O0033415</t>
  </si>
  <si>
    <t>https://maps.app.goo.gl/fTLHC4kJXLU7kfND9</t>
  </si>
  <si>
    <t>https://app.pdok.nl/viewer/#x=114689.24&amp;y=559084.66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</si>
  <si>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https://kaarten.hhnk.nl/portal/apps/experiencebuilder/experience/?id=51ae36990bf448248b105c8fbc9fbeb3</t>
  </si>
  <si>
    <t>PWN: water</t>
  </si>
  <si>
    <t>RD26V405 Den Hoorn, Pontweg N501</t>
  </si>
  <si>
    <t>26O0032681</t>
  </si>
  <si>
    <t>https://maps.app.goo.gl/zvLhQ7kQkeih7L6XA</t>
  </si>
  <si>
    <t>https://app.pdok.nl/viewer/#x=115146.30&amp;y=559576.77&amp;z=12.9535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</si>
  <si>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HS</t>
  </si>
  <si>
    <t>TI26V201 Zuidwolde, Leeuwenveenseweg</t>
  </si>
  <si>
    <t>TI</t>
  </si>
  <si>
    <t>concept -01</t>
  </si>
  <si>
    <t>26O0035648</t>
  </si>
  <si>
    <t>https://maps.app.goo.gl/dQgoUJtxJQ7yMYgL9</t>
  </si>
  <si>
    <t>https://app.pdok.nl/viewer/#x=222790.47&amp;y=523275.98&amp;z=11.4746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</si>
  <si>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https://www.wdodelta.nl/kaarten</t>
  </si>
  <si>
    <t>Nederlandse Aardolie Maatschappij B.V.</t>
  </si>
  <si>
    <t>QG26V305 Haarlem, Roordastraat</t>
  </si>
  <si>
    <t>QG</t>
  </si>
  <si>
    <t>Waiting for approval</t>
  </si>
  <si>
    <t>26O0035644</t>
  </si>
  <si>
    <t>Roordastraat 28, 2035 SE Haarlem</t>
  </si>
  <si>
    <t>https://app.pdok.nl/viewer/#x=105351.68&amp;y=486658.89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</si>
  <si>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GLD</t>
  </si>
  <si>
    <t>3D26V816 Moerdijk, Moerdijkseweg</t>
  </si>
  <si>
    <t>26O0035626</t>
  </si>
  <si>
    <t>https://maps.app.goo.gl/UnixcpdXzXnYcRek6</t>
  </si>
  <si>
    <t>https://app.pdok.nl/viewer/#x=104738.57&amp;y=410817.56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</si>
  <si>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https://geoportaal.brabantsedelta.nl/portal/apps/instant/basic/index.html?appid=1b1bc9e528d549569835253f2c42b240</t>
  </si>
  <si>
    <t>TM26V226 Amsterdam, J.M. Den Uylstraat</t>
  </si>
  <si>
    <t>26O0035627</t>
  </si>
  <si>
    <t>J.M. Den Uylstraat 78, 1067 WD Amsterdam</t>
  </si>
  <si>
    <t>https://app.pdok.nl/viewer/#x=114344.00&amp;y=488394.00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</si>
  <si>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TM26V225 Ommen, Hammerweg</t>
  </si>
  <si>
    <t>26O0035631</t>
  </si>
  <si>
    <t>Hammerweg 57, 7731 AJ Ommen</t>
  </si>
  <si>
    <t>https://app.pdok.nl/viewer/#x=225351.00&amp;y=501616.00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</si>
  <si>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https://vechtstromen.maps.arcgis.com/apps/webappviewer/index.html?id=157236e98867443696757e2091ebc25a</t>
  </si>
  <si>
    <t>BT26V203 Haren, Westerveen</t>
  </si>
  <si>
    <t>26O0035633</t>
  </si>
  <si>
    <t>Westerveen 18, 9751 HW Haren</t>
  </si>
  <si>
    <t>https://app.pdok.nl/viewer/#x=238038.94&amp;y=575149.10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</si>
  <si>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https://opendata.hunzeenaas.nl/opendataportaal/srv/dut/catalog.search#/map</t>
  </si>
  <si>
    <t>Waterbedrijf Groningen: data+water</t>
  </si>
  <si>
    <t>TM26V224 Maasbommel, Wolderweg</t>
  </si>
  <si>
    <t>9--3</t>
  </si>
  <si>
    <t>Sorry, was hier vergeten de juiste lijn aan te wijzen .</t>
  </si>
  <si>
    <t>25O0052025</t>
  </si>
  <si>
    <t>Wolderweg 6, 6627 KH Maasbommel</t>
  </si>
  <si>
    <t>https://app.pdok.nl/viewer/#x=163546.00&amp;y=428652.00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</si>
  <si>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West Maas en Waal</t>
  </si>
  <si>
    <t>Vitens</t>
  </si>
  <si>
    <t>Liander gas LD</t>
  </si>
  <si>
    <t>KB26V408 Warffum, Oostervalge N363</t>
  </si>
  <si>
    <t>C</t>
  </si>
  <si>
    <t>26O0023294</t>
  </si>
  <si>
    <t>Oostervalge, 9989 EK Warffum</t>
  </si>
  <si>
    <t>https://app.pdok.nl/viewer/#x=233532.12&amp;y=602066.13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</si>
  <si>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https://noorderzijlvest.maps.arcgis.com/apps/mapviewer/index.html?webmap=1576324c8de14bf180c17743e24584cc</t>
  </si>
  <si>
    <t>MT26V202 Groot-Ammers, Peppelweg</t>
  </si>
  <si>
    <t>MT</t>
  </si>
  <si>
    <t>extra ontwerp-03 nano</t>
  </si>
  <si>
    <t>26O0035391</t>
  </si>
  <si>
    <t>https://maps.app.goo.gl/LX6otbevqcRdVvkp9</t>
  </si>
  <si>
    <t>https://app.pdok.nl/viewer/#x=119838.92&amp;y=436909.28&amp;z=14.3590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</si>
  <si>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Oasen (water)</t>
  </si>
  <si>
    <t>QG26V304 IJmuiden, Planetenweg</t>
  </si>
  <si>
    <t>26O0035623</t>
  </si>
  <si>
    <t>Planetenweg 276, 1974 BN IJmuiden</t>
  </si>
  <si>
    <t>https://app.pdok.nl/viewer/#x=101326.48&amp;y=496315.93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</si>
  <si>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EN26V201 Leidschendam, Oostvlietweg</t>
  </si>
  <si>
    <t>EN</t>
  </si>
  <si>
    <t>waterkering (-01&amp;-02&amp;03). HDD's, nano's (3) en boogboringen</t>
  </si>
  <si>
    <t>26O0035597</t>
  </si>
  <si>
    <t>https://maps.app.goo.gl/bqhJNb4AQ5pqJq3y7</t>
  </si>
  <si>
    <t>https://app.pdok.nl/viewer/#x=90731.90&amp;y=459096.91&amp;z=10.2825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</si>
  <si>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Dunea</t>
  </si>
  <si>
    <t>PZ26V201 Rotterdam, Toepad</t>
  </si>
  <si>
    <t>PZ</t>
  </si>
  <si>
    <t>PRIO (CONCEPT)</t>
  </si>
  <si>
    <t>26O0019035</t>
  </si>
  <si>
    <t>https://maps.app.goo.gl/Yq98TJpZ7AJzpVSt7</t>
  </si>
  <si>
    <t>https://app.pdok.nl/viewer/#x=96331.30&amp;y=436330.74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</si>
  <si>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https://experience.arcgis.com/experience/9373fa4978604e8f91eb234b64e1d79e/page/De-dijken/#data_s=id%3Awidget_12_output_config_0%3A0</t>
  </si>
  <si>
    <t>https://experience.arcgis.com/experience/e4162895d005481ba26c8530c09b7f62#data_s=id%3Awidget_6_output_config_20%3A0%2Cid%3AdataSource_7-195a35cd307-layer-19-195a35cd9cb-layer-21%3A41617</t>
  </si>
  <si>
    <t>KB26V409 Ruinen, Defensieweg</t>
  </si>
  <si>
    <t>26O0032593</t>
  </si>
  <si>
    <t>https://maps.app.goo.gl/KoZ7WMhLDNrfL1GU8</t>
  </si>
  <si>
    <t>https://app.pdok.nl/viewer/#x=224350.97&amp;y=531115.11&amp;z=11.6707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</si>
  <si>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https://experience.arcgis.com/experience/9269f566d1f04b38ad9712b9b9bf34fd</t>
  </si>
  <si>
    <t>TM26V223 Echteld, Broekdijksestraat</t>
  </si>
  <si>
    <t>25O0170048</t>
  </si>
  <si>
    <t>Broekdijksestraat 3, 4054 NJ Echteld</t>
  </si>
  <si>
    <t>https://app.pdok.nl/viewer/#x=160686.85&amp;y=436640.97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</si>
  <si>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LS</t>
  </si>
  <si>
    <t>3D26V815 Ermelo, Harderwijkerweg</t>
  </si>
  <si>
    <t>Rioolgegevens nog te bevestigen: PRIO Concept uitwerken, blauwe streep toevoegen aan PE100 SDR11</t>
  </si>
  <si>
    <t>26O0025949</t>
  </si>
  <si>
    <t>Harderwijkerweg 201, 3852 AC Ermelo</t>
  </si>
  <si>
    <t>https://app.pdok.nl/viewer/#x=170951.00&amp;y=481855.00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</si>
  <si>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TM26V222 Ede, Somapad</t>
  </si>
  <si>
    <t>26O0025950</t>
  </si>
  <si>
    <t>Somapad 24, 6713 LA Ede</t>
  </si>
  <si>
    <t>https://app.pdok.nl/viewer/#x=173517.08&amp;y=449270.45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</si>
  <si>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Verizon: data</t>
  </si>
  <si>
    <t>BT26V202 Nijverdal, Kerkstraat</t>
  </si>
  <si>
    <t>SPOED</t>
  </si>
  <si>
    <t>26O0023430</t>
  </si>
  <si>
    <t>Kerkstraat 54, 7442 EE Nijverdal</t>
  </si>
  <si>
    <t>https://app.pdok.nl/viewer/#x=228941.64&amp;y=486461.81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</si>
  <si>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KPN</t>
  </si>
  <si>
    <t>TM26V221 Almere, Grote Markt</t>
  </si>
  <si>
    <t>26O0023429</t>
  </si>
  <si>
    <t>Grote Markt 2, 1315 JG Almere</t>
  </si>
  <si>
    <t>https://app.pdok.nl/viewer/#x=143432.53&amp;y=487133.46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</si>
  <si>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https://experience.arcgis.com/experience/f3a714b052e04bb8afe63840ba9b7243/#data_s=id%3Awidget_18_output_config_default_geocode_1_0%3A0</t>
  </si>
  <si>
    <t>Gem. Almere: ROD</t>
  </si>
  <si>
    <t>Gem. Almere</t>
  </si>
  <si>
    <t>Vattenfall Warmte N.V.</t>
  </si>
  <si>
    <t>3D26V814 Volendam</t>
  </si>
  <si>
    <t xml:space="preserve">Gemeente om gegevens kadeconstructie </t>
  </si>
  <si>
    <t>26O0023400</t>
  </si>
  <si>
    <t>https://maps.app.goo.gl/UZkvwUUN7PR7oRhR7</t>
  </si>
  <si>
    <t>https://app.pdok.nl/viewer/#x=131811.61&amp;y=501094.79&amp;z=12.1449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</si>
  <si>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Gem.Volendam</t>
  </si>
  <si>
    <t>MT26V201 Bergschenhoek, Dorsvloerweg</t>
  </si>
  <si>
    <t>26O0023317</t>
  </si>
  <si>
    <t>Dorsvloerweg 2, 2661 MN Bergschenhoek</t>
  </si>
  <si>
    <t>https://app.pdok.nl/viewer/#x=94710.56&amp;y=444156.01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</si>
  <si>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TM26V220 Medemblik, Almereweg N240</t>
  </si>
  <si>
    <t>Lukt het met de mail van Ahmed?</t>
  </si>
  <si>
    <t>26O0023321</t>
  </si>
  <si>
    <t>Almereweg 25, 1671 ND Medemblik</t>
  </si>
  <si>
    <t>https://app.pdok.nl/viewer/#x=134994.56&amp;y=530382.34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</si>
  <si>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Art Of Automation Glasvezel: data</t>
  </si>
  <si>
    <t>Hoogheemraadschap Hollands</t>
  </si>
  <si>
    <t>Tennet HS</t>
  </si>
  <si>
    <t>3D26V813 Haarlemmerliede, Haarlemmerstraatweg</t>
  </si>
  <si>
    <t>26O0021318</t>
  </si>
  <si>
    <t>https://www.google.com/maps/search/52.383486,+4.688480?entry=tts&amp;g_ep=EgoyMDI2MDIwMy4wIPu8ASoASAFQAw%3D%3D&amp;skid=3460d6c8-2752-4eea-b66c-4d759d19b890</t>
  </si>
  <si>
    <t>https://app.pdok.nl/viewer/#x=107473.33&amp;y=488636.72&amp;z=12.3381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</si>
  <si>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</t>
  </si>
  <si>
    <t>3D26V812 Zaandam, Hoofdtocht</t>
  </si>
  <si>
    <t>26O0023313</t>
  </si>
  <si>
    <t>Hoofdtocht 1, 1507 CE Zaandam</t>
  </si>
  <si>
    <t>https://app.pdok.nl/viewer/#x=115319.74&amp;y=493424.77&amp;z=12.1211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</si>
  <si>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gas HD+HS</t>
  </si>
  <si>
    <t>TM26V219 Amsterdam, Osdorperweg</t>
  </si>
  <si>
    <t xml:space="preserve">Jordy: het lijkt handig om hem tussen de huizen in langs de weg in te treden, stukje parallel aan de weg de grond in en met een bocht richting de huizen. </t>
  </si>
  <si>
    <t>26O0023315</t>
  </si>
  <si>
    <t>Osdorperweg 640, 1067 SZ Amsterdam</t>
  </si>
  <si>
    <t>https://app.pdok.nl/viewer/#x=113621.00&amp;y=487045.00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</si>
  <si>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Waternet: OVG</t>
  </si>
  <si>
    <t>RD26V404 MECGRSB7 Amsterdam, Velserweg</t>
  </si>
  <si>
    <t>S</t>
  </si>
  <si>
    <t xml:space="preserve">Zie de lijn in rev.1 MLN </t>
  </si>
  <si>
    <t>26O0019969</t>
  </si>
  <si>
    <t>Velserweg 24, 1014 AH Amsterdam</t>
  </si>
  <si>
    <t>https://app.pdok.nl/viewer/#x=118121.00&amp;y=488854.00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</si>
  <si>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GVB: data+OVG</t>
  </si>
  <si>
    <t>Liander: GHD+HS</t>
  </si>
  <si>
    <t>Waternet: ROD+RVV+water</t>
  </si>
  <si>
    <t>TM26V218 Huissen, Karstraat</t>
  </si>
  <si>
    <t>26O0023304</t>
  </si>
  <si>
    <t>Karstraat 32, 6851 GH Huissen</t>
  </si>
  <si>
    <t>https://app.pdok.nl/viewer/#x=192457.24&amp;y=437516.12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</si>
  <si>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gas LD</t>
  </si>
  <si>
    <t>Liander MS</t>
  </si>
  <si>
    <t>Gem. Lingewaard</t>
  </si>
  <si>
    <t>QG26V303 Muiden, Laan Der Artillerie</t>
  </si>
  <si>
    <t>same line as QG25V203 Muiden, Laan Der Artillerie</t>
  </si>
  <si>
    <t>26O0023292</t>
  </si>
  <si>
    <t>Laan Der Artillerie 41, 1398 HJ Muiden</t>
  </si>
  <si>
    <t>https://app.pdok.nl/viewer/#x=132589.84&amp;y=483000.14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</si>
  <si>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TM26V217 Naarden, Godelindeweg</t>
  </si>
  <si>
    <t>26O0020592</t>
  </si>
  <si>
    <t>Godelindeweg 11, 1411 GG Naarden</t>
  </si>
  <si>
    <t>https://app.pdok.nl/viewer/#x=139598.14&amp;y=477732.34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</si>
  <si>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Ziggo</t>
  </si>
  <si>
    <t>Odido</t>
  </si>
  <si>
    <t>de machine op het water</t>
  </si>
  <si>
    <t>Waterbedrijf Groningen: water</t>
  </si>
  <si>
    <t>Waterschap Noorderzijlvest</t>
  </si>
  <si>
    <t>Eurofiber</t>
  </si>
  <si>
    <t>DELTA Fiber</t>
  </si>
  <si>
    <t>Rodin</t>
  </si>
  <si>
    <t>TM26V216 Deventer, Marsmangaarde</t>
  </si>
  <si>
    <t>26O0023328</t>
  </si>
  <si>
    <t>Marsmangaarde 116, 7414 XE Deventer</t>
  </si>
  <si>
    <t>https://app.pdok.nl/viewer/#x=206436.64&amp;y=476719.28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</si>
  <si>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Enexis LS</t>
  </si>
  <si>
    <t>Gem. Deventer</t>
  </si>
  <si>
    <t>TM26V214 Tuitjenhorn, Kalverdijkerlaantje</t>
  </si>
  <si>
    <t>26O0023281</t>
  </si>
  <si>
    <t>Kalverdijkerlaantje 9a, 1747 GE Tuitjenhorn</t>
  </si>
  <si>
    <t>https://app.pdok.nl/viewer/#x=112728.28&amp;y=527952.61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</si>
  <si>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TM26V213 Bentelo, Suetersweg</t>
  </si>
  <si>
    <t>26O0023284</t>
  </si>
  <si>
    <t>Suetersweg 5, 7497 MZ Bentelo</t>
  </si>
  <si>
    <t>https://app.pdok.nl/viewer/#x=244156.82&amp;y=471900.64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</si>
  <si>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KB26V407 Haarlem, Belgiëlaan</t>
  </si>
  <si>
    <t>Tv4 is niet op de lijn</t>
  </si>
  <si>
    <t>26O0023287</t>
  </si>
  <si>
    <t>Belgiëlaan 3, 2034 AV Haarlem</t>
  </si>
  <si>
    <t>https://app.pdok.nl/viewer/#x=104191.46&amp;y=486604.88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</si>
  <si>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gas HD</t>
  </si>
  <si>
    <t>Waternet</t>
  </si>
  <si>
    <t>HS26V004 Ezinge, Nieuwestreek</t>
  </si>
  <si>
    <t>Telefonisch doorgekregen van Gert Lange dat de damwand niet diep zit. max 5 m</t>
  </si>
  <si>
    <t>26O0023273</t>
  </si>
  <si>
    <t>Nieuwestreek 7, 9891 AA Ezinge</t>
  </si>
  <si>
    <t>https://app.pdok.nl/viewer/#x=225341.00&amp;y=591812.00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</si>
  <si>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Waterbedrijf Groningen: LS</t>
  </si>
  <si>
    <t>Gem. Westerkwartier</t>
  </si>
  <si>
    <t>Gem. HetHogeland</t>
  </si>
  <si>
    <t>TM26V215 Wageningen, Bevrijdingsstraat</t>
  </si>
  <si>
    <t>-02-rev.1</t>
  </si>
  <si>
    <t>25O0159343</t>
  </si>
  <si>
    <t>Bevrijdingsstraat 30a, 6703 AA Wageningen</t>
  </si>
  <si>
    <t>https://app.pdok.nl/viewer/#x=174295.00&amp;y=442258.00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</si>
  <si>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Wageningen</t>
  </si>
  <si>
    <t>TM26V212 Lemelerveld, Nieuwstraat</t>
  </si>
  <si>
    <t>26O0016791</t>
  </si>
  <si>
    <t>Nieuwstraat 17, 8151 BB Lemelerveld</t>
  </si>
  <si>
    <t>https://app.pdok.nl/viewer/#x=219882.49&amp;y=495233.15&amp;z=14.5644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</si>
  <si>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TM26V211 Hazerswoude-Dorp, Voorweg</t>
  </si>
  <si>
    <t>26O0016490</t>
  </si>
  <si>
    <t>Voorweg 14A, 2391 AB Hazerswoude-Dorp</t>
  </si>
  <si>
    <t>https://app.pdok.nl/viewer/#x=101163.00&amp;y=456632.60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</si>
  <si>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Alphen aan den Rijn WION</t>
  </si>
  <si>
    <t>KB26V406 Amsterdam, Overschiestraat</t>
  </si>
  <si>
    <t>Iets Zuidelijker, om waterleiding vrij te kunnen graven ///  Bt Nederland bij uittredegat: HDD?</t>
  </si>
  <si>
    <t>26O0016792</t>
  </si>
  <si>
    <t>Overschiestraat 59A, 1062 XD Amsterdam</t>
  </si>
  <si>
    <t>https://app.pdok.nl/viewer/#x=117703.00&amp;y=484458.00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</si>
  <si>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GVB: data</t>
  </si>
  <si>
    <t>Waternet: RVV+water</t>
  </si>
  <si>
    <t>Bt Nederland</t>
  </si>
  <si>
    <t>3D26V810 Velsen-Noord, Verkeersplein Noord N197 (HDD25)</t>
  </si>
  <si>
    <t>CONCEPT uitwerken</t>
  </si>
  <si>
    <t>26O0025951</t>
  </si>
  <si>
    <t>Concordiastraat 101, 1951 AH Velsen-Noord</t>
  </si>
  <si>
    <t>https://app.pdok.nl/viewer/#x=104962.82&amp;y=497978.23&amp;z=12.4385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</si>
  <si>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3D26V810 Velsen-Noord, Verkeersplein Noord N197 (HDD24, 28)</t>
  </si>
  <si>
    <t>-28: Hemelwater bij uittrede &amp; &lt;3m onder N197 bij uittredepunt</t>
  </si>
  <si>
    <t>25O0185752</t>
  </si>
  <si>
    <t>https://www.google.com/maps/place/52%C2%B028'27.0%22N+4%C2%B039'21.9%22E/@52.4741667,4.6560833,686m/data=!3m2!1e3!4b1!4m4!3m3!8m2!3d52.4741667!4d4.6560833?entry=ttu&amp;g_ep=EgoyMDI2MDEyNy4wIKXMDSoASAFQAw%3D%3D</t>
  </si>
  <si>
    <t>https://app.pdok.nl/viewer/#x=105251.73&amp;y=498758.86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</si>
  <si>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 xml:space="preserve">Tennet: HS </t>
  </si>
  <si>
    <t>Rijkswaterstaat</t>
  </si>
  <si>
    <t>3D26V810 Velsen-Noord, Verkeersplein Noord N197 (HDD21)</t>
  </si>
  <si>
    <t>25O0185751</t>
  </si>
  <si>
    <t>https://maps.app.goo.gl/XgJoCXLJjSRRRNL86</t>
  </si>
  <si>
    <t>https://app.pdok.nl/viewer/#x=105358.40&amp;y=498952.94&amp;z=12.0908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</si>
  <si>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YourXS Infra: data</t>
  </si>
  <si>
    <t>3D26V810 Velsen-Noord, Verkeersplein Noord N197 (HDD18-20)</t>
  </si>
  <si>
    <t>Pls 1xHDD 2x160: HDD20-rev.1 langer , uittrede in klinkers /// -19 HOLD</t>
  </si>
  <si>
    <t>https://maps.app.goo.gl/7XSjcyF6JfNNxAHx9</t>
  </si>
  <si>
    <t>Tennet HS (-18, -19, -20)</t>
  </si>
  <si>
    <t>Liander LS (-19)</t>
  </si>
  <si>
    <t>3D26V810 Velsen-Noord, Verkeersplein Noord N197 (HDD17, 19, 26)</t>
  </si>
  <si>
    <t>-26 graag 2.25 mlanger. And add the equipment. pls see also -0 and -26</t>
  </si>
  <si>
    <t>26O0016155</t>
  </si>
  <si>
    <t>3D26V809 Velsen-Noord, Noordersluisweg (HDD5, 6)</t>
  </si>
  <si>
    <t>HDD5 is done /// A new klic for both, but elaborate HDD5 only. HDD6 will follow-up later (3D25V661-0)</t>
  </si>
  <si>
    <t>26O0019989</t>
  </si>
  <si>
    <t>https://maps.app.goo.gl/mDJ8iwhjkG5LPkMk6</t>
  </si>
  <si>
    <t>https://app.pdok.nl/viewer/#x=103386.45&amp;y=498331.67&amp;z=13.3952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</si>
  <si>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 xml:space="preserve">Crown Van Gelder International </t>
  </si>
  <si>
    <t>Prinses Amaliawindpark (HS) + Tata Steel (BGI+HS) + Tennet (HS+LHS)</t>
  </si>
  <si>
    <t>TM26V210 Huizen, Naarderstraat</t>
  </si>
  <si>
    <t>25G0717469</t>
  </si>
  <si>
    <t>Naarderstraat 305, 1272 NK Huizen</t>
  </si>
  <si>
    <t>https://app.pdok.nl/viewer/#x=141846.60&amp;y=478398.78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</si>
  <si>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Huizen</t>
  </si>
  <si>
    <t>TM26V209 Amsterdam, Radarweg</t>
  </si>
  <si>
    <t>Boring in beperkingengebied ProRail</t>
  </si>
  <si>
    <t>26O0016790</t>
  </si>
  <si>
    <t>https://maps.app.goo.gl/DCzX5dfLYpJk7EPBA</t>
  </si>
  <si>
    <t>https://app.pdok.nl/viewer/#x=117672.63&amp;y=490823.84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</si>
  <si>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AEB Amsterdam: HS</t>
  </si>
  <si>
    <t>Eweka Internet Services</t>
  </si>
  <si>
    <t>3D26V809 Velsen-Noord, Noordersluisweg (HDD22, 23)</t>
  </si>
  <si>
    <t>Graag ook de werkplannen voorbereiden</t>
  </si>
  <si>
    <t>26O0016154</t>
  </si>
  <si>
    <t>https://maps.app.goo.gl/WTYFV3wpyEzeLi8F9</t>
  </si>
  <si>
    <t>CONCEPTs uitwerken. Minder diep zelfde in/uitttrede. Druklijnen toevoegen.</t>
  </si>
  <si>
    <t>Prinses Amaliawindpark</t>
  </si>
  <si>
    <t>Tata + Tennet</t>
  </si>
  <si>
    <t>Vattenfall Power Generation</t>
  </si>
  <si>
    <t>Tata: LS</t>
  </si>
  <si>
    <t>3D26V808 Heerhugowaard, Altonstraat</t>
  </si>
  <si>
    <t>Ole gemaild voer perceel en sloot. Dit gaat om 1x HDD voor ons, onder de kas door</t>
  </si>
  <si>
    <t>26O0016789</t>
  </si>
  <si>
    <t>https://maps.app.goo.gl/MCVqCxVc3xFTNxCK8</t>
  </si>
  <si>
    <t>https://app.pdok.nl/viewer/#x=117716.03&amp;y=524095.06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</si>
  <si>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HVC: data+warmte</t>
  </si>
  <si>
    <t>Liander gas HD</t>
  </si>
  <si>
    <t>HVC</t>
  </si>
  <si>
    <t>Gem. Dijk en Waard</t>
  </si>
  <si>
    <t>Relined</t>
  </si>
  <si>
    <t>VG26V402 Roelofarendsveen, Bukkersweg</t>
  </si>
  <si>
    <t>Erg lange boogzinker. Martin voorgelegd</t>
  </si>
  <si>
    <t>26O0016787</t>
  </si>
  <si>
    <t>Bukkersweg 1, 2371 HZ Roelofarendsveen</t>
  </si>
  <si>
    <t>https://app.pdok.nl/viewer/#x=102307.12&amp;y=467497.33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</si>
  <si>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Kaag en Braassem</t>
  </si>
  <si>
    <t>QG26V302 Zwaanshoek, Spieringweg</t>
  </si>
  <si>
    <t>26O0016788</t>
  </si>
  <si>
    <t>Spieringweg 1222, 2136 LR Zwaanshoek</t>
  </si>
  <si>
    <t>https://app.pdok.nl/viewer/#x=101722.88&amp;y=479528.11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</si>
  <si>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3D26V811 Rozenburg, Rozenburgdreef N201</t>
  </si>
  <si>
    <t>2x HDD Fase 2</t>
  </si>
  <si>
    <t>26O0019345</t>
  </si>
  <si>
    <t>https://www.google.com/maps/search/52.276520,+4.730452?entry=tts&amp;g_ep=EgoyMDI2MDIwMS4wIPu8ASoASAFQAw%3D%3D&amp;skid=71296e15-fe5e-4939-9fdc-a1b9c6e60d60</t>
  </si>
  <si>
    <t>https://app.pdok.nl/viewer/#x=110233.31&amp;y=476632.36&amp;z=12.3333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</si>
  <si>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Rijnland</t>
  </si>
  <si>
    <t>3D26V807 Velserbroek, Rijksweg</t>
  </si>
  <si>
    <t>Gertjan: ...Kun je deze tekening misschien volgende week opleveren?</t>
  </si>
  <si>
    <t>26O0015111</t>
  </si>
  <si>
    <t>Rijksweg 289, 1991 AA Velserbroek</t>
  </si>
  <si>
    <t>https://app.pdok.nl/viewer/#x=105049.00&amp;y=495099.70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</si>
  <si>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TM26V207 Ommen, Rotbrinksweg</t>
  </si>
  <si>
    <t>not sure about the location for -01</t>
  </si>
  <si>
    <t>25O0029305</t>
  </si>
  <si>
    <t>Rotbrinksweg 10, 7731 TC Ommen</t>
  </si>
  <si>
    <t>https://app.pdok.nl/viewer/#x=225173.51&amp;y=505081.48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</si>
  <si>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DELTA Fiber: data</t>
  </si>
  <si>
    <t>TM26V206 Winsum, Schouwerzijlsterweg</t>
  </si>
  <si>
    <t>26O0012555</t>
  </si>
  <si>
    <t>Schouwerzijlsterweg 1, 9951 TG Winsum</t>
  </si>
  <si>
    <t>https://app.pdok.nl/viewer/#x=229887.86&amp;y=594620.37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</si>
  <si>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https://noorderzijlvest.maps.arcgis.com/apps/mapviewer/index.html?webmap=75bbdaca80be4378b404d26c4bce099b</t>
  </si>
  <si>
    <t>SPOED (kruising N361)</t>
  </si>
  <si>
    <t>Waterbedrijf Groningen</t>
  </si>
  <si>
    <t>Waterschap Noorderzijvest</t>
  </si>
  <si>
    <t>Rodin Fiber</t>
  </si>
  <si>
    <t>3D26V806 Landsmeer, Noordeinde</t>
  </si>
  <si>
    <t>SPOED (CONCEPT uitwerken)</t>
  </si>
  <si>
    <t>26O0010654</t>
  </si>
  <si>
    <t>Noordeinde 16, 1121 AD Landsmeer</t>
  </si>
  <si>
    <t>https://app.pdok.nl/viewer/#x=122824.08&amp;y=495109.64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</si>
  <si>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VG26V401 Alphen aan den Rijn, Paradijslaan</t>
  </si>
  <si>
    <t>26O0016786</t>
  </si>
  <si>
    <t>Paradijslaan 34, 2405 CC Alphen aan den Rijn</t>
  </si>
  <si>
    <t>https://app.pdok.nl/viewer/#x=105258.39&amp;y=460255.80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</si>
  <si>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https://www.rijnland.net/regels-op-een-rij/legger/</t>
  </si>
  <si>
    <t>Gemeente</t>
  </si>
  <si>
    <t>KB26V405 Follega, Straatweg</t>
  </si>
  <si>
    <t>nieuw opdrachtgever</t>
  </si>
  <si>
    <t>26O0016785</t>
  </si>
  <si>
    <t>Straatweg 19, 8535 WG Follega</t>
  </si>
  <si>
    <t>https://app.pdok.nl/viewer/#x=178355.39&amp;y=543423.69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</si>
  <si>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https://gis.wetterskipfryslan.nl/portal/apps/experiencebuilder/experience/?id=a0e444b2c8874407bc63d3f81d61367c</t>
  </si>
  <si>
    <t>QG26V301 's-Graveland, Zuidereinde</t>
  </si>
  <si>
    <t>26O0010793</t>
  </si>
  <si>
    <t>Zuidereinde 15, 1243 KJ 's-Graveland</t>
  </si>
  <si>
    <t>https://app.pdok.nl/viewer/#x=136932.00&amp;y=471801.00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</si>
  <si>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Wijdemeren</t>
  </si>
  <si>
    <t>3D26V805 Harderwijk, Fokko Kortlanglaan</t>
  </si>
  <si>
    <t>26O0009805</t>
  </si>
  <si>
    <t>https://www.google.com/maps/place/52%C2%B019'32.9%22N+5%C2%B037'14.7%22E/@52.3258803,5.6208933,172m/data=!3m1!1e3!4m4!3m3!8m2!3d52.325795!4d5.620735?entry=ttu&amp;g_ep=EgoyMDI2MDExMy4wIKXMDSoASAFQAw%3D%3D</t>
  </si>
  <si>
    <t>https://app.pdok.nl/viewer/#x=170904.51&amp;y=482011.03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</si>
  <si>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GHD+GLD</t>
  </si>
  <si>
    <t>Liander LS</t>
  </si>
  <si>
    <t>HS26V003 Heeg, De Skatting</t>
  </si>
  <si>
    <t>rev.1 SPOED</t>
  </si>
  <si>
    <t>26O0010523</t>
  </si>
  <si>
    <t>De Skatting 75, 8621 BV Heeg</t>
  </si>
  <si>
    <t>https://app.pdok.nl/viewer/#x=169739.00&amp;y=553554.00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</si>
  <si>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TM26V205 Amsterdam, Nieuwe Hemweg</t>
  </si>
  <si>
    <t>26O0010524</t>
  </si>
  <si>
    <t>Nieuwe Hemweg 203, 1041 AL Amsterdam</t>
  </si>
  <si>
    <t>https://app.pdok.nl/viewer/#x=116862.18&amp;y=492381.01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</si>
  <si>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3D26V804 Nieuw-Vennep, Venneperweg</t>
  </si>
  <si>
    <t>rev.1 meer afstand van waterleiding /// SPOED</t>
  </si>
  <si>
    <t>26O0010516</t>
  </si>
  <si>
    <t>Venneperweg 885, 2152 MC Nieuw-Vennep</t>
  </si>
  <si>
    <t>https://app.pdok.nl/viewer/#x=102051.41&amp;y=476856.25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</si>
  <si>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RD26V403 Amsterdam, Burgemeester de Vlugtlaan</t>
  </si>
  <si>
    <t>rev.2</t>
  </si>
  <si>
    <t>26O0015117</t>
  </si>
  <si>
    <t>https://maps.app.goo.gl/aKdXSJ3utSTL8CueA</t>
  </si>
  <si>
    <t>https://app.pdok.nl/viewer/#x=116808.00&amp;y=488242.13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</si>
  <si>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Waternet: RVV</t>
  </si>
  <si>
    <t>HS26V002 Indijk, Nummer</t>
  </si>
  <si>
    <t>rev.1 is done /// PRIO (Smallebruge)</t>
  </si>
  <si>
    <t>26O0009774</t>
  </si>
  <si>
    <t>Nummer 58, 8553 MT Indijk</t>
  </si>
  <si>
    <t>https://app.pdok.nl/viewer/#x=170703.78&amp;y=551587.17&amp;z=13.1614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</si>
  <si>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https://www.wetterskipfryslan.nl/kaarten/leggerkaart</t>
  </si>
  <si>
    <t>https://www.wetterskipfryslan.nl/over-ons/voldoende/uitleg-over-peilbeheer-en-peilbesluiten</t>
  </si>
  <si>
    <t>HS26V001 Rotterdam-Capelle ad IJssel (04)</t>
  </si>
  <si>
    <t>26O0006611</t>
  </si>
  <si>
    <t>https://maps.app.goo.gl/H2oawD78U5ULw77L6</t>
  </si>
  <si>
    <t>https://app.pdok.nl/viewer/#x=100298.26&amp;y=439322.03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</si>
  <si>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https://experience.arcgis.com/experience/e4162895d005481ba26c8530c09b7f62#data_s=id%3Awidget_6_output_config_20%3A0</t>
  </si>
  <si>
    <t>https://opendata-hhsk.hub.arcgis.com/</t>
  </si>
  <si>
    <t>Evides: water</t>
  </si>
  <si>
    <t>Gem. Capelle aan den IJssel</t>
  </si>
  <si>
    <t>HS26V001 Rotterdam-Capelle ad IJssel (02-03)</t>
  </si>
  <si>
    <t>26O0006613</t>
  </si>
  <si>
    <t>https://app.pdok.nl/viewer/#x=98688.35&amp;y=437930.53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</si>
  <si>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Capelle aan den IJssel (-02,-03)</t>
  </si>
  <si>
    <t>Stedin LS (-02)</t>
  </si>
  <si>
    <t>HS26V001 Rotterdam-Capelle ad IJssel (01)</t>
  </si>
  <si>
    <t>rev.1 langer R10P3</t>
  </si>
  <si>
    <t>26O0006607</t>
  </si>
  <si>
    <t>https://app.pdok.nl/viewer/#x=97592.25&amp;y=438337.31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</si>
  <si>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RD26V402 Amsterdam, Vlothavenweg</t>
  </si>
  <si>
    <t>MECGRSB5KB01</t>
  </si>
  <si>
    <t>26O0005911</t>
  </si>
  <si>
    <t>Vlothavenweg 8, 1013 BJ Amsterdam</t>
  </si>
  <si>
    <t>https://app.pdok.nl/viewer/#x=118567.74&amp;y=490486.83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</si>
  <si>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GHD+HS+PET</t>
  </si>
  <si>
    <t>RD26V401 Amsterdam, Oostoever</t>
  </si>
  <si>
    <t>Kade consturctie en brug opgevraagd: MECGRGB32KB01 (Richard: Graag hoor ik wat de mogelijkheden zijn.)</t>
  </si>
  <si>
    <t>26O0005908</t>
  </si>
  <si>
    <t>Oostoever 1, 1064 GV Amsterdam</t>
  </si>
  <si>
    <t>https://app.pdok.nl/viewer/#x=117063.00&amp;y=487058.00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</si>
  <si>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Verizin: data</t>
  </si>
  <si>
    <t>Waternet: ROD</t>
  </si>
  <si>
    <t>Colt</t>
  </si>
  <si>
    <t>TM26V204 Blaricum, Oude Huizerweg</t>
  </si>
  <si>
    <t>26O0005914</t>
  </si>
  <si>
    <t>Oude Huizerweg 9, 1261 BD Blaricum</t>
  </si>
  <si>
    <t>https://app.pdok.nl/viewer/#x=144895.98&amp;y=476629.10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</si>
  <si>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BEL Combinatie</t>
  </si>
  <si>
    <t>KB26V404 Wommels, Walperterwei</t>
  </si>
  <si>
    <t>26O0005912</t>
  </si>
  <si>
    <t>Walperterwei 41f, 8731 CD Wommels</t>
  </si>
  <si>
    <t>https://app.pdok.nl/viewer/#x=168663.65&amp;y=569655.94&amp;z=13.2049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</si>
  <si>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TM26V203 Laag Zuthem, Zwolseweg</t>
  </si>
  <si>
    <t>26O0005599</t>
  </si>
  <si>
    <t>Zwolseweg 76, 8055 PB Laag Zuthem</t>
  </si>
  <si>
    <t>https://app.pdok.nl/viewer/#x=210485.71&amp;y=498107.80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</si>
  <si>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TM26V202 Amsterdam, Nassaukade</t>
  </si>
  <si>
    <t>26O0005588</t>
  </si>
  <si>
    <t>Nassaukade 63A, 1052 CP Amsterdam</t>
  </si>
  <si>
    <t>https://app.pdok.nl/viewer/#x=120343.26&amp;y=488164.11&amp;z=14.0739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</si>
  <si>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3D26V802 IJsselstein, Eiteren</t>
  </si>
  <si>
    <t>26O0004977</t>
  </si>
  <si>
    <t>Eiteren 17, 3401 PH IJsselstein</t>
  </si>
  <si>
    <t>https://app.pdok.nl/viewer/#x=131409.20&amp;y=448311.67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</si>
  <si>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https://experience.arcgis.com/experience/574ae177043749ce9fc5cc2df510f79a</t>
  </si>
  <si>
    <t>https://experience.arcgis.com/experience/d8c3882f27734761b57f4c766e21b41c</t>
  </si>
  <si>
    <t>https://hdsr.maps.arcgis.com/apps/instant/interactivelegend/index.html?appid=9e93c659d8a94b63a66f7d7c41f5a15b</t>
  </si>
  <si>
    <t>Gem. IJsselstein Sect Stadsbeh</t>
  </si>
  <si>
    <t>HS26V008 Blokzijl</t>
  </si>
  <si>
    <t>https://www.google.com/maps/place/Slapen+bij+de+Sluis+Blokzijl/@52.7267762,5.9610355,406m/data=!3m1!1e3!4m9!3m8!1s0x47c865ac9c0624d1:0x3325d6326c8a699a!5m2!4m1!1i2!8m2!3d52.7265234!4d5.9610435!16s%2Fg%2F11pylzgl7q?entry=ttu&amp;g_ep=EgoyMDI2MDMwOC4wIKXMDSoASAFQAw%3D%3D</t>
  </si>
  <si>
    <t>https://app.pdok.nl/viewer/#x=193770.76&amp;y=526771.67&amp;z=12.8351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</si>
  <si>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https://wdodelta.maps.arcgis.com/apps/instant/sidebar/index.html?appid=a7f76d971d44419d96823c831d710331</t>
  </si>
  <si>
    <t>https://wdodelta.maps.arcgis.com/apps/instant/minimalist/index.html?appid=eeb3ab5d0bc24d0b8f4544aef1e7e109</t>
  </si>
  <si>
    <t>BT26V201 Balinge, Heirweg</t>
  </si>
  <si>
    <t>SPOED: -05-rev.1 is done</t>
  </si>
  <si>
    <t>26O0010792</t>
  </si>
  <si>
    <t>https://maps.app.goo.gl/Kqyi3U7q2iHkXouY9</t>
  </si>
  <si>
    <t>https://app.pdok.nl/viewer/#x=238741.85&amp;y=536865.66&amp;z=12.4336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</si>
  <si>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Midden-Drenthe (01,06)</t>
  </si>
  <si>
    <t>KB26V403 De Groeve, Semsweg N962</t>
  </si>
  <si>
    <t>26O0003011</t>
  </si>
  <si>
    <t>Semsweg 5a, 9473 TS De Groeve</t>
  </si>
  <si>
    <t>https://app.pdok.nl/viewer/#x=245392.48&amp;y=570754.76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</si>
  <si>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https://opendata.hunzeenaas.nl/opendataportaal/srv/dut/catalog.search#/home</t>
  </si>
  <si>
    <t>TM26V201 Hekendorp, Hekendorpse Buurt</t>
  </si>
  <si>
    <t>26O0003992</t>
  </si>
  <si>
    <t>Hekendorpse Buurt 39, 3467 PA Hekendorp</t>
  </si>
  <si>
    <t>https://app.pdok.nl/viewer/#x=116845.18&amp;y=447799.17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</si>
  <si>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3D26V801 Velsen-Zuid, Kweekensteinsweg</t>
  </si>
  <si>
    <t>CONCEPT2 defintief maken</t>
  </si>
  <si>
    <t>26O0002437</t>
  </si>
  <si>
    <t>Kweekensteinsweg 1, 1981 MA Driehuis</t>
  </si>
  <si>
    <t>https://app.pdok.nl/viewer/#x=104984.55&amp;y=496169.37&amp;z=11.7645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</si>
  <si>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GLD+HS</t>
  </si>
  <si>
    <t>Verizon</t>
  </si>
  <si>
    <t>Waternet: water</t>
  </si>
  <si>
    <t xml:space="preserve">Liander MS   </t>
  </si>
  <si>
    <t>KB26V402 Den Helder, Rijksweg</t>
  </si>
  <si>
    <t>26O0002436</t>
  </si>
  <si>
    <t>https://maps.app.goo.gl/cweu8H3Yaq64mkMb6</t>
  </si>
  <si>
    <t>https://app.pdok.nl/viewer/#x=114765.85&amp;y=548631.70&amp;z=13.7762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</si>
  <si>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KB26V401 Hilversum, Mies Bouwman-boulevard</t>
  </si>
  <si>
    <t>26O0002435</t>
  </si>
  <si>
    <t>https://maps.app.goo.gl/qKErgT9GZqJdWcGz7</t>
  </si>
  <si>
    <t>https://app.pdok.nl/viewer/#x=140350.72&amp;y=472414.29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</si>
  <si>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VW25V324 Noordwijkerhout, Leidsevaart</t>
  </si>
  <si>
    <t>VW</t>
  </si>
  <si>
    <t>PRIO rev.1: Korter</t>
  </si>
  <si>
    <t>25O0187041</t>
  </si>
  <si>
    <t>Leidsevaart 45, 2211 VP Noordwijkerhout</t>
  </si>
  <si>
    <t>https://app.pdok.nl/viewer/#x=96668.65&amp;y=476485.72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</si>
  <si>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Lisse</t>
  </si>
  <si>
    <t>HP26V001 Alkmaar, Westerweg (06-09)</t>
  </si>
  <si>
    <t>HP</t>
  </si>
  <si>
    <t>rev.0 (07-09)</t>
  </si>
  <si>
    <t>26O0002434</t>
  </si>
  <si>
    <t>https://maps.app.goo.gl/DLytK5jzA96V58kK6</t>
  </si>
  <si>
    <t>https://app.pdok.nl/viewer/#x=110796.40&amp;y=516266.71&amp;z=13.0269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</si>
  <si>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HVC: warmte</t>
  </si>
  <si>
    <t>HP26V001 Alkmaar, Westerweg (01-05)</t>
  </si>
  <si>
    <t>rev.0 (01-04)</t>
  </si>
  <si>
    <t>26O0002428</t>
  </si>
  <si>
    <t>https://app.pdok.nl/viewer/#x=110149.47&amp;y=515364.01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</si>
  <si>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QG25V244 Hoofddorp, Bernadottestraat</t>
  </si>
  <si>
    <t>25O0185738</t>
  </si>
  <si>
    <t>Bernadottestraat 9, 2131 SM Hoofddorp</t>
  </si>
  <si>
    <t>https://app.pdok.nl/viewer/#x=106545.79&amp;y=479799.94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</si>
  <si>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MM26V101 Bergen, Herenweg</t>
  </si>
  <si>
    <t>rev.0 /// Can you check the line again? It is a big tree at the exit point.</t>
  </si>
  <si>
    <t>25O0185728</t>
  </si>
  <si>
    <t>Herenweg 35, 1861 PA Bergen</t>
  </si>
  <si>
    <t>https://app.pdok.nl/viewer/#x=106176.00&amp;y=519389.00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</si>
  <si>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KB25V378 Doornenburg, Lingeweg</t>
  </si>
  <si>
    <t>Opdrachtgever is bijgewerkt</t>
  </si>
  <si>
    <t>25O0185735</t>
  </si>
  <si>
    <t>Lingeweg 4, 6686 BW Doornenburg</t>
  </si>
  <si>
    <t>https://app.pdok.nl/viewer/#x=197279.32&amp;y=434318.74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</si>
  <si>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KB25V377 Twello, Rijksstraatweg N344</t>
  </si>
  <si>
    <t>&lt;3m van N344</t>
  </si>
  <si>
    <t>25O0185733</t>
  </si>
  <si>
    <t>Rijksstraatweg 139, 7391 MK Twello</t>
  </si>
  <si>
    <t>https://app.pdok.nl/viewer/#x=203583.30&amp;y=472708.50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</si>
  <si>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Reggefiber Operator</t>
  </si>
  <si>
    <t>Provincie Gelderland</t>
  </si>
  <si>
    <t>BT25V165 Rutten, Lemsterweg</t>
  </si>
  <si>
    <t>BTL:  ... We zouden deze willen uitvoeren in week 3.</t>
  </si>
  <si>
    <t>25O0185731</t>
  </si>
  <si>
    <t>Lemsterweg 26, 8313 RC Rutten</t>
  </si>
  <si>
    <t>https://app.pdok.nl/viewer/#x=178405.00&amp;y=535520.00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</si>
  <si>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https://experience.arcgis.com/experience/8911478aa46b44fcbd19bb1aacb50eb4/page/Legger-Keringen/</t>
  </si>
  <si>
    <t>https://experience.arcgis.com/experience/d122fc8b91644543a693efd75233d2cc/page/Informatieproducten/</t>
  </si>
  <si>
    <t>QG25V243 Kudelstaart, Herenweg</t>
  </si>
  <si>
    <t>1003044086</t>
  </si>
  <si>
    <t>25O0185721</t>
  </si>
  <si>
    <t>Herenweg 61B, 1433 GX Kudelstaart</t>
  </si>
  <si>
    <t>https://app.pdok.nl/viewer/#x=110530.05&amp;y=471939.18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</si>
  <si>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QG25V242 Aalsmeer, Uiterweg</t>
  </si>
  <si>
    <t>2 zinkers toegevoegd</t>
  </si>
  <si>
    <t>25O0185734</t>
  </si>
  <si>
    <t>Uiterweg 53, 1431 AB Aalsmeer</t>
  </si>
  <si>
    <t>https://app.pdok.nl/viewer/#x=111037.25&amp;y=475410.84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</si>
  <si>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MS+LS</t>
  </si>
  <si>
    <t>stedin: gas LD</t>
  </si>
  <si>
    <t>TM25V191 Wijdewormer, Zuiderweg</t>
  </si>
  <si>
    <t>25O0185719</t>
  </si>
  <si>
    <t>Zuiderweg 57B, 1456 NG Wijdewormer</t>
  </si>
  <si>
    <t>https://app.pdok.nl/viewer/#x=120132.91&amp;y=499136.62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</si>
  <si>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VW25V323 Zoetermeer, Meerpolder</t>
  </si>
  <si>
    <t>close to VW24V201-01</t>
  </si>
  <si>
    <t>25O0185714</t>
  </si>
  <si>
    <t>Meerpolder 33, 2717 PB Zoetermeer</t>
  </si>
  <si>
    <t>https://app.pdok.nl/viewer/#x=93504.80&amp;y=454421.60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</si>
  <si>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3D25V722 Overveen, Tetterodeweg</t>
  </si>
  <si>
    <t>diep 5.9m ipv 4.5m /// DP1 Bloemendaalsweg</t>
  </si>
  <si>
    <t>25O0185706</t>
  </si>
  <si>
    <t>https://maps.app.goo.gl/HP7uT9n4uSgCRvjYA</t>
  </si>
  <si>
    <t>https://app.pdok.nl/viewer/#x=101410.81&amp;y=489622.58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</si>
  <si>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Bloemendaal</t>
  </si>
  <si>
    <t>3D26V803 Driehuis, Van Den Vondellaan</t>
  </si>
  <si>
    <t>01-rev.1 (wachten op meer info van gem. Velsen)</t>
  </si>
  <si>
    <t>26O0006517</t>
  </si>
  <si>
    <t>https://maps.app.goo.gl/77ZTsYNEsnjsZ6Qx6</t>
  </si>
  <si>
    <t>https://app.pdok.nl/viewer/#x=104021.02&amp;y=495811.56&amp;z=12.1649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</si>
  <si>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KPN (01)</t>
  </si>
  <si>
    <t>Gem. Velsen (01-03)</t>
  </si>
  <si>
    <t>DX26V501 Lettelbert, Rijksweg A7</t>
  </si>
  <si>
    <t>DX</t>
  </si>
  <si>
    <t>R</t>
  </si>
  <si>
    <t>26O0018252</t>
  </si>
  <si>
    <t>https://maps.app.goo.gl/TcTZCfe4u8gz68h29</t>
  </si>
  <si>
    <t>https://app.pdok.nl/viewer/#x=224189.06&amp;y=579212.55&amp;z=12.6933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</si>
  <si>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Waterbedrijf Groningen: LS+water</t>
  </si>
  <si>
    <t>BT25V166 Antwerpen</t>
  </si>
  <si>
    <t>TM25V190 Harmelen, Leidsestraatweg N198</t>
  </si>
  <si>
    <t>25O0185705</t>
  </si>
  <si>
    <t>Leidsestraatweg 16, 3481 EX Harmelen</t>
  </si>
  <si>
    <t>https://app.pdok.nl/viewer/#x=124756.98&amp;y=456428.54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</si>
  <si>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Provincie Utrecht</t>
  </si>
  <si>
    <t>Gem. Woerden</t>
  </si>
  <si>
    <t>Stedin</t>
  </si>
  <si>
    <t>QG25V241 Aerdenhout, Oosterduinweg</t>
  </si>
  <si>
    <t>25O0185700</t>
  </si>
  <si>
    <t>Oosterduinweg 18, 2111 XJ Aerdenhout</t>
  </si>
  <si>
    <t>https://app.pdok.nl/viewer/#x=101658.00&amp;y=487325.00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</si>
  <si>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KB25V376 Boazum-Uitwellingerga (02)</t>
  </si>
  <si>
    <t>25O0185698</t>
  </si>
  <si>
    <t>https://maps.app.goo.gl/as91RDMzAaiy4MMs7</t>
  </si>
  <si>
    <t>https://app.pdok.nl/viewer/#x=177513.00&amp;y=557163.00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</si>
  <si>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https://www.wetterskipfryslan.nl/kaarten</t>
  </si>
  <si>
    <t>https://gis.wetterskipfryslan.nl/portal/apps/experiencebuilder/experience/?id=a0e444b2c8874407bc63d3f81d61367c#data_s=id%3AdataSource_1-Peilen_1160-0-2%3A83857</t>
  </si>
  <si>
    <t>KB25V376 Boazum-Uitwellingerga (01)</t>
  </si>
  <si>
    <t>25O0185696</t>
  </si>
  <si>
    <t>https://app.pdok.nl/viewer/#x=175494.89&amp;y=566015.10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</si>
  <si>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sudwestfryslan</t>
  </si>
  <si>
    <t>KB25V375 Gorssel, Zutphenseweg N348</t>
  </si>
  <si>
    <t>Onbekende Liander MS</t>
  </si>
  <si>
    <t>25O0185702</t>
  </si>
  <si>
    <t>Zutphenseweg 3, 7213 GD Gorssel</t>
  </si>
  <si>
    <t>https://app.pdok.nl/viewer/#x=210749.54&amp;y=467631.14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</si>
  <si>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MS</t>
  </si>
  <si>
    <t>KB25V374 Amersfoort, Hogeweg</t>
  </si>
  <si>
    <t>2x Werkplan voorbereiden based on 3DV638 Rijksweg A22. PS: No need for the PROFIEL tekening. I have learned to do that much more simple</t>
  </si>
  <si>
    <t>25O0185679</t>
  </si>
  <si>
    <t>https://maps.app.goo.gl/ZcQxuHWzuNM8uQ5V8</t>
  </si>
  <si>
    <t>https://app.pdok.nl/viewer/#x=157140.48&amp;y=463597.68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</si>
  <si>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IK25V103 Boskoop, Burgemeester Colijnstraat</t>
  </si>
  <si>
    <t>IK</t>
  </si>
  <si>
    <t xml:space="preserve">Contact gehad met Evan, deze graag uitwerken: Na ontvangst afmelding EV van Liander uitwerken in IK stijl </t>
  </si>
  <si>
    <t>25O0185689</t>
  </si>
  <si>
    <t>https://maps.app.goo.gl/anj2sieEDQg7AthK9</t>
  </si>
  <si>
    <t>https://app.pdok.nl/viewer/#x=105010.01&amp;y=454817.44&amp;z=12.0664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</si>
  <si>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Alphen aan den Rijn WION (01-07)</t>
  </si>
  <si>
    <t>Liander EV</t>
  </si>
  <si>
    <t>-01:  Please check the KPN HDD near house 219.</t>
  </si>
  <si>
    <t>Nederlandse Gasunie West (01+02)</t>
  </si>
  <si>
    <t>Rijkswaterstaat Midden-Nederland (02)</t>
  </si>
  <si>
    <t>EN25V108 Leidschendam, Wilsveen</t>
  </si>
  <si>
    <t>25O0177965</t>
  </si>
  <si>
    <t>Wilsveen 47, 2266 LP Leidschendam</t>
  </si>
  <si>
    <t>https://app.pdok.nl/viewer/#x=89741.35&amp;y=454620.38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</si>
  <si>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KB25V373 Rijpwetering, Provincialeweg N445</t>
  </si>
  <si>
    <t>25O0185672</t>
  </si>
  <si>
    <t>https://maps.app.goo.gl/sxdrJLgjz6c4Qqxz6</t>
  </si>
  <si>
    <t>https://app.pdok.nl/viewer/#x=101150.65&amp;y=467047.39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</si>
  <si>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Nederlandse Pijpleidingmaatschappij</t>
  </si>
  <si>
    <t>Defensie Pijpleiding Organisatie</t>
  </si>
  <si>
    <t>Oasen, Tennet: HS</t>
  </si>
  <si>
    <t>Oasen</t>
  </si>
  <si>
    <t>3D25V723 Roosendaal, Wouwseweg</t>
  </si>
  <si>
    <t>PRIO (There is a damwamd (geluidwering) in BGT)</t>
  </si>
  <si>
    <t>25O0183022</t>
  </si>
  <si>
    <t>Wouwseweg 186, 4703 BZ Roosendaal</t>
  </si>
  <si>
    <t>https://app.pdok.nl/viewer/#x=88795.62&amp;y=393951.43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</si>
  <si>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https://opendata-wbd.opendata.arcgis.com/pages/datasets-legger~c9ad8442b3764f5ca9bd81cfb20e2d3c</t>
  </si>
  <si>
    <t>RWS</t>
  </si>
  <si>
    <t>KB25V371 Feerwerd, Torensmaweg</t>
  </si>
  <si>
    <r>
      <rPr>
        <rFont val="Arial"/>
        <b/>
        <color rgb="FFFF0000"/>
      </rPr>
      <t xml:space="preserve">PRO </t>
    </r>
    <r>
      <rPr>
        <rFont val="Arial"/>
        <b val="0"/>
        <color rgb="FF000000"/>
      </rPr>
      <t>Alice gemaild hoe verder</t>
    </r>
  </si>
  <si>
    <t>25O0185126</t>
  </si>
  <si>
    <t>https://www.google.com/maps/place/Torensmabrug/@53.3067642,6.4777627,336m/data=!3m1!1e3!4m6!3m5!1s0x47c9c90018e545ff:0xe7f33447ec17860!8m2!3d53.3070161!4d6.4794174!16s%2Fg%2F11gycy7dl0?entry=ttu&amp;g_ep=EgoyMDI1MTEzMC4wIKXMDSoASAFQAw%3D%3D</t>
  </si>
  <si>
    <t>https://app.pdok.nl/viewer/#x=227835.55&amp;y=591737.91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</si>
  <si>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Waterbedrijf Groningen: water+LS</t>
  </si>
  <si>
    <t>Enexis: LS+GLD</t>
  </si>
  <si>
    <t>KB25V372 Bolsward (02, 03)</t>
  </si>
  <si>
    <t>25O0185120</t>
  </si>
  <si>
    <t>https://maps.app.goo.gl/TA95Gw6dCBzwrLky8</t>
  </si>
  <si>
    <t>https://app.pdok.nl/viewer/#x=162463.29&amp;y=565344.16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</si>
  <si>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KB25V372 Bolsward (01)</t>
  </si>
  <si>
    <t>25O0185118</t>
  </si>
  <si>
    <t>https://app.pdok.nl/viewer/#x=163937.12&amp;y=568096.50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</si>
  <si>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https://gis.wetterskipfryslan.nl/portal/apps/experiencebuilder/experience/?id=a0e444b2c8874407bc63d3f81d61367c#data_s=id%3AdataSource_1-Peilen_1160-0-2%3A60886</t>
  </si>
  <si>
    <t>TM25V189 Haarle, Vagevuursweg</t>
  </si>
  <si>
    <t>25O0185663</t>
  </si>
  <si>
    <t>Vagevuursweg 2a, 7448 PE Haarle</t>
  </si>
  <si>
    <t>https://app.pdok.nl/viewer/#x=220501.48&amp;y=482944.48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</si>
  <si>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KB25V370 Zutphen, Polbeekseweg N348 (-03)</t>
  </si>
  <si>
    <t>25O0185662</t>
  </si>
  <si>
    <t>https://maps.app.goo.gl/nFfNPGoTuuwRD8cVA</t>
  </si>
  <si>
    <t>https://app.pdok.nl/viewer/#x=211756.54&amp;y=460165.78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</si>
  <si>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KB25V370 Zutphen, Polbeekseweg N348 (-01&amp;-02)</t>
  </si>
  <si>
    <t>25O0185664</t>
  </si>
  <si>
    <t>https://app.pdok.nl/viewer/#x=210932.27&amp;y=463601.57&amp;z=11.8242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</si>
  <si>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Zutphen</t>
  </si>
  <si>
    <t>KB25V369 Zutphen, Letlandsestraat</t>
  </si>
  <si>
    <t>25O0176034</t>
  </si>
  <si>
    <t>Letlandsestraat 8, 7202 CR Zutphen</t>
  </si>
  <si>
    <t>https://app.pdok.nl/viewer/#x=209968.75&amp;y=463800.28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</si>
  <si>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3D25V720 Spaarndam, Lagedijk</t>
  </si>
  <si>
    <t xml:space="preserve">SPOED </t>
  </si>
  <si>
    <t>25O0183276</t>
  </si>
  <si>
    <t>https://maps.app.goo.gl/vsF8EG4GgMu9L3Cs9</t>
  </si>
  <si>
    <t>https://app.pdok.nl/viewer/#x=106793.27&amp;y=489612.71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</si>
  <si>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 xml:space="preserve">Liander </t>
  </si>
  <si>
    <t>BT25V164 Emmen, Duurkampenweg</t>
  </si>
  <si>
    <r>
      <rPr>
        <rFont val="Arial"/>
        <b/>
        <color rgb="FFFF0000"/>
      </rPr>
      <t xml:space="preserve">SPOED </t>
    </r>
    <r>
      <rPr>
        <rFont val="Arial"/>
        <b val="0"/>
        <color rgb="FF000000"/>
      </rPr>
      <t>HDD4 toch maar recht</t>
    </r>
  </si>
  <si>
    <t>https://maps.app.goo.gl/zcAu95HTTWnRccBw5</t>
  </si>
  <si>
    <t>https://app.pdok.nl/viewer/#x=257620.72&amp;y=539287.03&amp;z=11.4360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</si>
  <si>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Ziggo (01-02)</t>
  </si>
  <si>
    <t>BT25V163 Noordlaren, Zuidlaarderweg</t>
  </si>
  <si>
    <t>1 of 4 tekeningen?</t>
  </si>
  <si>
    <t>25O0185115</t>
  </si>
  <si>
    <t>Zuidlaarderweg 55, 9479 TH Noordlaren</t>
  </si>
  <si>
    <t>https://app.pdok.nl/viewer/#x=239800.75&amp;y=571823.13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</si>
  <si>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PZ25V108 Dussen, Ruttensteeg</t>
  </si>
  <si>
    <t>Opdrachtgever aanpassen: BTL klopt niet. Meestal Enexis. Bij twijfel Polderzon HDD B.V. -01 0.55 dieper en 2 m langer, zie ook -rev.1 CONCEPT</t>
  </si>
  <si>
    <t>25O0173602</t>
  </si>
  <si>
    <t>Ruttensteeg 1a, 4271 LP Dussen</t>
  </si>
  <si>
    <t>https://app.pdok.nl/viewer/#x=127026.44&amp;y=416637.82&amp;z=12.0000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</si>
  <si>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Altena</t>
  </si>
  <si>
    <t>QG25V240 Huizen, Vissersstraat</t>
  </si>
  <si>
    <t>Gem. Huizen: Op deze locatie gaan we in maart het riool vervangen.</t>
  </si>
  <si>
    <t>25O0185112</t>
  </si>
  <si>
    <t>Vissersstraat 38, 1271 VG Huizen</t>
  </si>
  <si>
    <t>https://app.pdok.nl/viewer/#x=144646.25&amp;y=479300.65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</si>
  <si>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3D25V716 Haarlem, Europaweg</t>
  </si>
  <si>
    <t>25O0172413</t>
  </si>
  <si>
    <t>https://maps.app.goo.gl/E99PFyt6o52HinEf9</t>
  </si>
  <si>
    <t>https://app.pdok.nl/viewer/#x=104567.84&amp;y=487032.57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</si>
  <si>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3D25V719 Helmond, Maisdijk</t>
  </si>
  <si>
    <t>Laatste deel iets naar links en iets korter. Ik denk dat je de K&amp;L niet opnieuw hoeft op te halen, kijk maar even.</t>
  </si>
  <si>
    <t>25O0174278</t>
  </si>
  <si>
    <t>Maisdijk 4, 5704 RM Helmond</t>
  </si>
  <si>
    <t>https://app.pdok.nl/viewer/#x=176786.60&amp;y=383987.09&amp;z=11.9930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</si>
  <si>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https://aaenmaas.maps.arcgis.com/apps/webappviewer/index.html?id=ce8fafa7b6e3461ca554961b5bb4d4c8</t>
  </si>
  <si>
    <t>Gem. Helmond</t>
  </si>
  <si>
    <t>Brabant Water</t>
  </si>
  <si>
    <t>RD25V343 Vijfhuizen, Cruquiusdijk</t>
  </si>
  <si>
    <t>MECGEGB36</t>
  </si>
  <si>
    <t>25O0179900</t>
  </si>
  <si>
    <t>https://maps.app.goo.gl/2QnpSqV2o1Vkdn7bA</t>
  </si>
  <si>
    <t>https://app.pdok.nl/viewer/#x=106278.56&amp;y=484900.28&amp;z=12.4516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</si>
  <si>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RD25V342 Haarlem, Schipholweg N205</t>
  </si>
  <si>
    <t>rev.2 wil je de Tv punten voor deze handmatig toevoegen? /// MECGEGB35</t>
  </si>
  <si>
    <t>25O0179898</t>
  </si>
  <si>
    <t>https://maps.app.goo.gl/et2zyyf3JvKpmg9S9</t>
  </si>
  <si>
    <t>https://app.pdok.nl/viewer/#x=105885.23&amp;y=487208.31&amp;z=12.9572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</si>
  <si>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RD25V344 Vijfhuizen, Drie Merenweg N205</t>
  </si>
  <si>
    <t>MECGEGB37, concept langs fietsbrug en onder constructie WRK leiding door</t>
  </si>
  <si>
    <t>25O0179902</t>
  </si>
  <si>
    <t>https://maps.app.goo.gl/AhhPut3bVyQWYNrJ7</t>
  </si>
  <si>
    <t>https://app.pdok.nl/viewer/#x=106585.27&amp;y=483347.26&amp;z=12.3862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</si>
  <si>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HS+PET</t>
  </si>
  <si>
    <t>Volker Energy Solutions: HS</t>
  </si>
  <si>
    <t>Lumen</t>
  </si>
  <si>
    <t>EXA</t>
  </si>
  <si>
    <t>Fujitsu</t>
  </si>
  <si>
    <t>Hoogheemraadschap van Rijnland</t>
  </si>
  <si>
    <t>The werkplan.docx is prepared</t>
  </si>
  <si>
    <t>RD25V353 Schiphol-Rijk, Koolhovenlaan</t>
  </si>
  <si>
    <t>MECGEGB48</t>
  </si>
  <si>
    <t>25O0179921</t>
  </si>
  <si>
    <t>https://maps.app.goo.gl/sGGLyvZTqknAN6US8</t>
  </si>
  <si>
    <t>https://app.pdok.nl/viewer/#x=112119.63&amp;y=477609.19&amp;z=12.8081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</si>
  <si>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Prologis: HS</t>
  </si>
  <si>
    <t>Volker Energy: HS</t>
  </si>
  <si>
    <t>RD25V352 Rozenburg, Kruisweg N196</t>
  </si>
  <si>
    <r>
      <rPr>
        <rFont val="Arial"/>
        <color theme="1"/>
      </rPr>
      <t xml:space="preserve">MECGEGB47 </t>
    </r>
    <r>
      <rPr>
        <rFont val="Arial"/>
        <b/>
        <color rgb="FFFF0000"/>
      </rPr>
      <t>PRIO (Persleiding updated)</t>
    </r>
  </si>
  <si>
    <t>25O0179920</t>
  </si>
  <si>
    <t>https://maps.app.goo.gl/iKh8t6AhAv3dZsa76</t>
  </si>
  <si>
    <t>https://app.pdok.nl/viewer/#x=110931.01&amp;y=477069.30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</si>
  <si>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RD25V351 Rozenburg, Naritaweg</t>
  </si>
  <si>
    <t>MECGEGB46</t>
  </si>
  <si>
    <t>25O0179918</t>
  </si>
  <si>
    <t>https://maps.app.goo.gl/KAL1wGyAqdDoZi7G7</t>
  </si>
  <si>
    <t>https://app.pdok.nl/viewer/#x=110887.34&amp;y=476583.74&amp;z=13.4486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</si>
  <si>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Prologis Realty: HS</t>
  </si>
  <si>
    <t>RD25V350 Rozenburg, Rozenburgdreef N201</t>
  </si>
  <si>
    <r>
      <rPr>
        <rFont val="Arial"/>
        <color theme="1"/>
      </rPr>
      <t xml:space="preserve">MECGEGB44, </t>
    </r>
    <r>
      <rPr>
        <rFont val="Arial"/>
        <color rgb="FFFF0000"/>
      </rPr>
      <t>schuin om boring PWN te ontwijken en uitrede recht van inrit te houden</t>
    </r>
  </si>
  <si>
    <t>25O0179916</t>
  </si>
  <si>
    <t>https://maps.app.goo.gl/Vt2Xo7CvTT27PSvd6</t>
  </si>
  <si>
    <t>https://app.pdok.nl/viewer/#x=109934.73&amp;y=477164.36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</si>
  <si>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Gasunie</t>
  </si>
  <si>
    <t>RD25V349 Hoofddorp, Rijksweg A4</t>
  </si>
  <si>
    <r>
      <rPr>
        <rFont val="Arial"/>
        <color theme="1"/>
      </rPr>
      <t>MECGEGB42, MECGEGB43 CONCEPTEN. B</t>
    </r>
    <r>
      <rPr>
        <rFont val="Arial"/>
        <color rgb="FFFF0000"/>
      </rPr>
      <t>ij controle graag ook kijken naar de ligging van het gegraven tracé onder of bovenin het talud?</t>
    </r>
  </si>
  <si>
    <t>25O0179915</t>
  </si>
  <si>
    <t>https://maps.app.goo.gl/ATe5f3nLm44Ht8YPA</t>
  </si>
  <si>
    <t>https://app.pdok.nl/viewer/#x=109773.20&amp;y=477455.17&amp;z=11.4659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</si>
  <si>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NTT Global Data Centers: HS</t>
  </si>
  <si>
    <t>RD25V348 Hoofddorp, Hoofddorpdreef N201</t>
  </si>
  <si>
    <r>
      <rPr>
        <rFont val="Arial"/>
        <color theme="1"/>
      </rPr>
      <t xml:space="preserve">MECGEGB41. </t>
    </r>
    <r>
      <rPr>
        <rFont val="Arial"/>
        <color rgb="FFFF0000"/>
      </rPr>
      <t>Gaat deze goed zo ondiep onder het water door, of liever een diepe boring van maken?</t>
    </r>
  </si>
  <si>
    <t>25O0179912</t>
  </si>
  <si>
    <t>https://maps.app.goo.gl/Mub4J1gCowZfyQtS9</t>
  </si>
  <si>
    <t>https://app.pdok.nl/viewer/#x=109558.71&amp;y=478251.93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</si>
  <si>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NTT: HS</t>
  </si>
  <si>
    <t>Eunetworks</t>
  </si>
  <si>
    <t>Volker (HS)</t>
  </si>
  <si>
    <t>NTT (HS)</t>
  </si>
  <si>
    <t>RD25V347 Hoofddorp, Rijnlanderweg</t>
  </si>
  <si>
    <t>MECGEGB40</t>
  </si>
  <si>
    <t>25O0179909</t>
  </si>
  <si>
    <t>https://maps.app.goo.gl/F8qP37KVg4vQHi9S8</t>
  </si>
  <si>
    <t>https://app.pdok.nl/viewer/#x=109282.81&amp;y=478522.35&amp;z=12.8613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</si>
  <si>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r>
      <rPr>
        <rFont val="Arial"/>
        <color theme="1"/>
      </rPr>
      <t>Over het hoofd gezien... Een diepe boring mag alleen een enkele buis bevatten. In plaats van de bundel, moet er daarom 1x200PE100SDR17 geboorde worden rev.1 is done /// MECGEGB39</t>
    </r>
    <r>
      <rPr>
        <rFont val="Arial"/>
        <b/>
        <color rgb="FFFF0000"/>
      </rPr>
      <t xml:space="preserve"> Riskant ontwerp, deze wellicht beter toch als diepe boring met buis Ø250?</t>
    </r>
  </si>
  <si>
    <t>RD25V345 Hoofddorp, Hoofdweg</t>
  </si>
  <si>
    <t>MECGEGB38</t>
  </si>
  <si>
    <t>25O0179904</t>
  </si>
  <si>
    <t>https://maps.app.goo.gl/h8fPpEPAaCSjuG1t8</t>
  </si>
  <si>
    <t>https://app.pdok.nl/viewer/#x=107898.06&amp;y=480169.23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</si>
  <si>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RD25V341 Haarlem, Amsterdamsevaart N200</t>
  </si>
  <si>
    <t>rev.2 new line</t>
  </si>
  <si>
    <t>25O0179895</t>
  </si>
  <si>
    <t>https://maps.app.goo.gl/vWgai7xFsP6WcKTM6</t>
  </si>
  <si>
    <t>https://app.pdok.nl/viewer/#x=105955.64&amp;y=488524.24&amp;z=12.5202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</si>
  <si>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RD25V340 Haarlem, Oudeweg N200</t>
  </si>
  <si>
    <t>25O0186293</t>
  </si>
  <si>
    <t>https://maps.app.goo.gl/RojAQsE5M1cdCCbC9</t>
  </si>
  <si>
    <t>https://app.pdok.nl/viewer/#x=105356.87&amp;y=488793.28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</si>
  <si>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Reggefiber</t>
  </si>
  <si>
    <t>RD25V339 Haarlem, Industrieweg</t>
  </si>
  <si>
    <t>MECGEGB32 (Tv2 en Tv3 zijn niet op de line)</t>
  </si>
  <si>
    <t>25O0179888</t>
  </si>
  <si>
    <t>https://maps.app.goo.gl/Mz7fqVMBUBSpMtwA6</t>
  </si>
  <si>
    <t>https://app.pdok.nl/viewer/#x=105514.96&amp;y=489937.24&amp;z=13.3458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</si>
  <si>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RD25V338 Haarlem, Waarderweg</t>
  </si>
  <si>
    <t>Please elaborate in 2x160 instead of 1x250</t>
  </si>
  <si>
    <t>25O0179885</t>
  </si>
  <si>
    <t>https://maps.app.goo.gl/QGGmSDYiGtUNqrt67</t>
  </si>
  <si>
    <t>https://app.pdok.nl/viewer/#x=105376.28&amp;y=490816.03&amp;z=12.2239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</si>
  <si>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Haarlem</t>
  </si>
  <si>
    <t>RD25V337 Haarlem, Jan Gijzenkade</t>
  </si>
  <si>
    <t>MECGEGB30 (3D25V700-23). Je hebt gelijk Nid, thanks. Ik heb de lijn iets verplaatst.</t>
  </si>
  <si>
    <t>25O0179884</t>
  </si>
  <si>
    <t>https://maps.app.goo.gl/rRgFUq9jHqPTkDQX8</t>
  </si>
  <si>
    <t>https://app.pdok.nl/viewer/#x=104978.39&amp;y=491626.11&amp;z=12.3979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</si>
  <si>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QG25V239 Amstelveen , Legmeerdijk</t>
  </si>
  <si>
    <t>25O0174569</t>
  </si>
  <si>
    <t>De Loeten, Legmeerdijk 284, 1187 NL Amstelveen</t>
  </si>
  <si>
    <t>https://app.pdok.nl/viewer/#x=114738.48&amp;y=474996.78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</si>
  <si>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PWN: data</t>
  </si>
  <si>
    <t>3D25V721 Sint Maartensvlotbrug, Belkmerweg</t>
  </si>
  <si>
    <t xml:space="preserve">SPOED  </t>
  </si>
  <si>
    <t>25O0176893</t>
  </si>
  <si>
    <t>Belkmerweg 66a, 1753 GD Sint Maartensvlotbrug</t>
  </si>
  <si>
    <t>https://app.pdok.nl/viewer/#x=108506.14&amp;y=533348.03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</si>
  <si>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RD25V336 Westzaan, Provincialeweg N246</t>
  </si>
  <si>
    <t>-02-rev.1 is done: Nieuwe lijn</t>
  </si>
  <si>
    <t>25O0179883</t>
  </si>
  <si>
    <t>https://maps.app.goo.gl/ToHJ9TGcBjHPJGYB7</t>
  </si>
  <si>
    <t>https://app.pdok.nl/viewer/#x=113250.16&amp;y=498686.00&amp;z=11.0000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</si>
  <si>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 MS: 02</t>
  </si>
  <si>
    <t>TM26V208 Diepenheim, Nieuwe Sluisweg</t>
  </si>
  <si>
    <t>26O0015167</t>
  </si>
  <si>
    <t>Nieuwe Sluisweg 8, 7478 RE Diepenheim</t>
  </si>
  <si>
    <t>https://app.pdok.nl/viewer/#x=235685.00&amp;y=467009.00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</si>
  <si>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Hof van Twente</t>
  </si>
  <si>
    <t>TM25V187 Oosterhesselen, Verlengde Hoogeveense Vaart</t>
  </si>
  <si>
    <t>PRIO (kruising Pandijk N854)</t>
  </si>
  <si>
    <t>25O0170855</t>
  </si>
  <si>
    <t>Verlengde Hoogeveense Vaart 32, 7861 TB Oosterhesselen</t>
  </si>
  <si>
    <t>https://app.pdok.nl/viewer/#x=244986.37&amp;y=528394.31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</si>
  <si>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WMD Drinkwater</t>
  </si>
  <si>
    <t>3D25V718 Warmenhuizen, Debbemeerweg</t>
  </si>
  <si>
    <t>25O0174277</t>
  </si>
  <si>
    <t>Oudevaart, Debbemeerweg 2, 1749 DK Warmenhuizen</t>
  </si>
  <si>
    <t>https://app.pdok.nl/viewer/#x=111128.29&amp;y=525580.91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</si>
  <si>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BT25V162 Nieuwleusen, Den Hulst</t>
  </si>
  <si>
    <t>SPOED (Onbekende mantelbuis KPN!!!)</t>
  </si>
  <si>
    <t>25O0174251</t>
  </si>
  <si>
    <t>Den Hulst 178, 7711 GV Nieuwleusen</t>
  </si>
  <si>
    <t>https://app.pdok.nl/viewer/#x=214531.00&amp;y=512068.00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</si>
  <si>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Dalfsen</t>
  </si>
  <si>
    <t>KB25V368 Julianadorp, Schoolweg</t>
  </si>
  <si>
    <t>25G0829037</t>
  </si>
  <si>
    <t>Schoolweg 74a, 1787 AW Julianadorp</t>
  </si>
  <si>
    <t>https://app.pdok.nl/viewer/#x=113134.77&amp;y=545623.55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</si>
  <si>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BT25V161 Sappemeer (06-07)</t>
  </si>
  <si>
    <t>-07 nog iets korter... -06 2.25 m verlengen ivm EV Waterbedrijf Groningen</t>
  </si>
  <si>
    <t>25O0179613</t>
  </si>
  <si>
    <t>https://maps.app.goo.gl/W67gx3uB3H35TYz36</t>
  </si>
  <si>
    <t>https://app.pdok.nl/viewer/#x=248174.85&amp;y=575812.27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</si>
  <si>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BT25V161 Sappemeer (04-05)</t>
  </si>
  <si>
    <t>-05 inkorten</t>
  </si>
  <si>
    <t>25O0179606</t>
  </si>
  <si>
    <t>https://app.pdok.nl/viewer/#x=248149.19&amp;y=575935.50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</si>
  <si>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PZ25V107 Tilburg, Technopol</t>
  </si>
  <si>
    <t>CANCELLED?</t>
  </si>
  <si>
    <t>25O0174276</t>
  </si>
  <si>
    <t>https://maps.app.goo.gl/arnRu8JahYRbBN1Q8</t>
  </si>
  <si>
    <t>https://app.pdok.nl/viewer/#x=131624.50&amp;y=394279.17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</si>
  <si>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https://wdedommel.maps.arcgis.com/apps/instant/sidebar/index.html?appid=23a834ba19684851a978b08708f6e83b</t>
  </si>
  <si>
    <t>Tennet: HS+OVG</t>
  </si>
  <si>
    <t>BT25V161 Sappemeer (03)</t>
  </si>
  <si>
    <t>25O0179600</t>
  </si>
  <si>
    <t>https://app.pdok.nl/viewer/#x=248004.09&amp;y=575981.29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</si>
  <si>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BT25V161 Sappemeer (02)</t>
  </si>
  <si>
    <t>25O0179598</t>
  </si>
  <si>
    <t>https://app.pdok.nl/viewer/#x=247920.57&amp;y=575888.15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</si>
  <si>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BT25V161 Sappemeer (01)</t>
  </si>
  <si>
    <t>rev.1</t>
  </si>
  <si>
    <t>25O0179597</t>
  </si>
  <si>
    <t>https://app.pdok.nl/viewer/#x=247808.99&amp;y=575695.28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</si>
  <si>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Waterschap Hunze en Aa's</t>
  </si>
  <si>
    <t>QG25V238 Nieuw-Vennep, IJweg</t>
  </si>
  <si>
    <t>25O0174274</t>
  </si>
  <si>
    <t>IJweg 1734B, 2151 MP Nieuw-Vennep</t>
  </si>
  <si>
    <t>https://app.pdok.nl/viewer/#x=101211.37&amp;y=475755.51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</si>
  <si>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DE25V003 Voorhout, Pioenroos</t>
  </si>
  <si>
    <t>DE</t>
  </si>
  <si>
    <t>25O0174273</t>
  </si>
  <si>
    <t>Pioenroos 52, 2215 ZM Voorhout</t>
  </si>
  <si>
    <t>https://app.pdok.nl/viewer/#x=93426.69&amp;y=471972.38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</si>
  <si>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PZ25V106 Werkendam, De Kooi</t>
  </si>
  <si>
    <t>rev.1 is done</t>
  </si>
  <si>
    <t>25O0174275</t>
  </si>
  <si>
    <t>De Kooi 2, 4251 GB Werkendam</t>
  </si>
  <si>
    <t>https://app.pdok.nl/viewer/#x=121636.44&amp;y=424466.49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</si>
  <si>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TM25V188 Ankeveen, Stichts End</t>
  </si>
  <si>
    <t>25O0174272</t>
  </si>
  <si>
    <t>Stichts End 81, 1244 PL Ankeveen</t>
  </si>
  <si>
    <t>https://app.pdok.nl/viewer/#x=135158.00&amp;y=474912.00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</si>
  <si>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KB25V366 Terschuur, Eendrachtstraat</t>
  </si>
  <si>
    <t>I adjust the MV manually</t>
  </si>
  <si>
    <t>25G0808951</t>
  </si>
  <si>
    <t>Eendrachtstraat 18A, 3784 KB Terschuur</t>
  </si>
  <si>
    <t>https://app.pdok.nl/viewer/#x=163648.79&amp;y=464955.88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</si>
  <si>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Waterschap Vallei en Veluwe</t>
  </si>
  <si>
    <t>BT25V160 Groningen, Osloweg (02)</t>
  </si>
  <si>
    <t>-02-rev.1 /// Lukt het jouw op basis van de mail de -02 aan te passen?</t>
  </si>
  <si>
    <t>25O0176481</t>
  </si>
  <si>
    <t>https://maps.app.goo.gl/etrXh8zSjwkUyrCu9</t>
  </si>
  <si>
    <t>https://app.pdok.nl/viewer/#x=237011.35&amp;y=582141.18&amp;z=13.0462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</si>
  <si>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BT25V160 Groningen, Osloweg (01)</t>
  </si>
  <si>
    <t>25O0174270</t>
  </si>
  <si>
    <t>https://maps.app.goo.gl/Vxn5SqUozrywetZt5</t>
  </si>
  <si>
    <t>https://app.pdok.nl/viewer/#x=236978.32&amp;y=582269.99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</si>
  <si>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QG25V236 Hoofddorp, John Henry Wiltonlaan</t>
  </si>
  <si>
    <t>25O0166521</t>
  </si>
  <si>
    <t>John Henry Wiltonlaan 10, 2132 NV Hoofddorp</t>
  </si>
  <si>
    <t>https://app.pdok.nl/viewer/#x=106403.90&amp;y=477616.27&amp;z=12.4814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</si>
  <si>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https://www.rijnland.net/over-rijnland/wat-doet-rijnland/voldoende-water/peilbesluiten/</t>
  </si>
  <si>
    <t>3D25V717 Amstelveen, Amsteldijk Zuid</t>
  </si>
  <si>
    <t>Overlegd met Waternet. Dieper onder waterkering door en intrede wat naar achter</t>
  </si>
  <si>
    <t>25O0177619</t>
  </si>
  <si>
    <t>https://www.google.com/maps/place/Ringdijk+BP+1,+1186+WB+Amstelveen/@52.2863752,4.8806466,344m/data=!3m1!1e3!4m12!1m5!3m4!2zNTLCsDE2JzQ4LjYiTiA0wrA1MiczNy42IkU!8m2!3d52.2801667!4d4.8771111!3m5!1s0x47c60aeb52b97ca3:0xd4a3dd3abbff19e9!8m2!3d52.2866896!4d4.8804746!16s%2Fg%2F11cpg684dn?entry=ttu&amp;g_ep=EgoyMDI1MTEyMy4xIKXMDSoASAFQAw%3D%3D</t>
  </si>
  <si>
    <t>https://app.pdok.nl/viewer/#x=120455.16&amp;y=477730.41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</si>
  <si>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Waternet: OVG+water</t>
  </si>
  <si>
    <t>Gem. Amstelveen</t>
  </si>
  <si>
    <t>QG25V235 Zwaanshoek, Spieringweg</t>
  </si>
  <si>
    <t>It is still not clear about Persleidingen</t>
  </si>
  <si>
    <t>25O0166520</t>
  </si>
  <si>
    <t>Spieringweg 1154, 2136 LP Zwaanshoek</t>
  </si>
  <si>
    <t>https://app.pdok.nl/viewer/#x=102083.57&amp;y=479824.38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</si>
  <si>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QG25V237 Kudelstaart, Herenweg</t>
  </si>
  <si>
    <t>Buis Liander toevoegen</t>
  </si>
  <si>
    <t>25O0152809</t>
  </si>
  <si>
    <t>Herenweg 78, 1433 HB Kudelstaart</t>
  </si>
  <si>
    <t>https://app.pdok.nl/viewer/#x=109854.61&amp;y=471837.91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</si>
  <si>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QG25V234 Kudelstaart, Herenweg</t>
  </si>
  <si>
    <t>25O0166519</t>
  </si>
  <si>
    <t>Herenweg 59, 1433 GV Kudelstaart</t>
  </si>
  <si>
    <t>https://app.pdok.nl/viewer/#x=110480.91&amp;y=471906.42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</si>
  <si>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VW25V322 Zevenhuizen, Molenviergang</t>
  </si>
  <si>
    <t>25O0166517</t>
  </si>
  <si>
    <t>Molenviergang 4, 2761 BK Zevenhuizen</t>
  </si>
  <si>
    <t>https://app.pdok.nl/viewer/#x=98195.00&amp;y=449007.00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</si>
  <si>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https://opendata-hhsk.hub.arcgis.com/datasets/3b344e93e6db4295b27ff1b64c9ac4ad_1/explore</t>
  </si>
  <si>
    <t>RD25V335 Lambertschaag, Mijnsherenweg</t>
  </si>
  <si>
    <t>rev.1 is done /// Let op: op tekening vermelden "intrekken met DrillGrout"</t>
  </si>
  <si>
    <t>25O0166511</t>
  </si>
  <si>
    <t>https://www.google.com/maps/search/52.748266,+5.035103?entry=tts&amp;g_ep=EgoyMDI1MTEwNS4wIPu8ASoASAFQAw%3D%3D&amp;skid=42bd0e24-3c2b-4067-84b9-a03d167bde9b</t>
  </si>
  <si>
    <t>https://app.pdok.nl/viewer/#x=131266.98&amp;y=529043.44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</si>
  <si>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TM25V186 Dalfsen, Tolhuisweg</t>
  </si>
  <si>
    <t>25O0166514</t>
  </si>
  <si>
    <t>Tolhuisweg 6A, 7722 HT Dalfsen</t>
  </si>
  <si>
    <t>https://app.pdok.nl/viewer/#x=216933.15&amp;y=501598.50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</si>
  <si>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 xml:space="preserve">DELTA Fiber </t>
  </si>
  <si>
    <t>3D25V712 Breda, Graaf Engelbertlaan</t>
  </si>
  <si>
    <t>I still don't know if I added the correct depth for KPN</t>
  </si>
  <si>
    <t>25O0166509</t>
  </si>
  <si>
    <t>Graaf Engelbertlaan 4, 4819 BN Breda</t>
  </si>
  <si>
    <t>https://app.pdok.nl/viewer/#x=112700.73&amp;y=398292.28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</si>
  <si>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BT25V153 Sappemeer (17)</t>
  </si>
  <si>
    <t>rev.1 uittrede verplaatst (zie -0)</t>
  </si>
  <si>
    <t>25O0166515</t>
  </si>
  <si>
    <t>https://maps.app.goo.gl/Qf98VzJXg4VHzwp46</t>
  </si>
  <si>
    <t>https://app.pdok.nl/viewer/#x=248567.96&amp;y=575686.67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</si>
  <si>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BT25V153 Sappemeer (16)</t>
  </si>
  <si>
    <t>EXTRA</t>
  </si>
  <si>
    <t>25O0172907</t>
  </si>
  <si>
    <t>KB25V365 Rijs, Mientwei</t>
  </si>
  <si>
    <t>Moet voor 4 december het profiel inleveren.</t>
  </si>
  <si>
    <t>25O0166508</t>
  </si>
  <si>
    <t>Mientwei 19, 8572 WB Rijs</t>
  </si>
  <si>
    <t>https://app.pdok.nl/viewer/#x=161684.46&amp;y=542574.57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</si>
  <si>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3D25V713 Ermelo, Oude Telgterweg</t>
  </si>
  <si>
    <t>25O0166510</t>
  </si>
  <si>
    <t>Oude Telgterweg 278a, 3853 PL Ermelo</t>
  </si>
  <si>
    <t>https://app.pdok.nl/viewer/#x=168041.85&amp;y=477293.98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</si>
  <si>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3D25V711 Sassenheim, Parklaan</t>
  </si>
  <si>
    <t>25O0162441</t>
  </si>
  <si>
    <t>Parklaan 80, 2171 EH Sassenheim</t>
  </si>
  <si>
    <t>DX25V402 Zevenhuizen, Oudestreek -05</t>
  </si>
  <si>
    <t>N980</t>
  </si>
  <si>
    <t>25O0167899</t>
  </si>
  <si>
    <t>Hoendiep Westzijde 36A, 9805 TC Briltil</t>
  </si>
  <si>
    <t>https://app.pdok.nl/viewer/#x=222081.00&amp;y=583951.00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</si>
  <si>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DX25V402 Zevenhuizen, Oudestreek -04</t>
  </si>
  <si>
    <t>25O0167898</t>
  </si>
  <si>
    <t>Millinghaweg 11, 9822 TC Niekerk</t>
  </si>
  <si>
    <t>https://app.pdok.nl/viewer/#x=220971.00&amp;y=583382.00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</si>
  <si>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DX25V402 Zevenhuizen, Oudestreek -03</t>
  </si>
  <si>
    <t>25O0162416</t>
  </si>
  <si>
    <t>https://maps.app.goo.gl/p94DcjAvixf5KBmD9</t>
  </si>
  <si>
    <t>DX25V402 Zevenhuizen, Oudestreek -02</t>
  </si>
  <si>
    <t>25O0162412</t>
  </si>
  <si>
    <t>DX25V402 Zevenhuizen, Oudestreek -01</t>
  </si>
  <si>
    <t>25O0162409</t>
  </si>
  <si>
    <t>Gem.  Westerkwartier</t>
  </si>
  <si>
    <t>QG25V233 Aalsmeer, Ecuadorlaan</t>
  </si>
  <si>
    <t>-02</t>
  </si>
  <si>
    <t>25O0166503</t>
  </si>
  <si>
    <t>Ecuadorlaan 11, 1432 DE Aalsmeer</t>
  </si>
  <si>
    <t>https://app.pdok.nl/viewer/#x=114251.25&amp;y=476442.66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</si>
  <si>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TM25V185 Amsterdam, Pampuslaan</t>
  </si>
  <si>
    <t xml:space="preserve">rev.1 </t>
  </si>
  <si>
    <t>25O0166506</t>
  </si>
  <si>
    <t>Pampuslaan 1, 1087 KM Amsterdam</t>
  </si>
  <si>
    <t>https://app.pdok.nl/viewer/#x=128944.56&amp;y=484851.45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</si>
  <si>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Waternet: ROD+water</t>
  </si>
  <si>
    <t>KB25V364 Aalsmeer, Aalsmeerderweg</t>
  </si>
  <si>
    <t>25O0166507</t>
  </si>
  <si>
    <t>Aalsmeerderweg 196, 1432 CV Aalsmeer</t>
  </si>
  <si>
    <t>https://app.pdok.nl/viewer/#x=114125.25&amp;y=476744.84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</si>
  <si>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MT25V105 Rijswijk, Laan van Sion</t>
  </si>
  <si>
    <t>25O0166495</t>
  </si>
  <si>
    <t>https://maps.app.goo.gl/LqKtEoL6LnvnbULp8</t>
  </si>
  <si>
    <t>https://app.pdok.nl/viewer/#x=82128.44&amp;y=448827.02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</si>
  <si>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https://experience.arcgis.com/experience/a316920536d94e7a90d5fb5edfe48134/page/Waterkeringen#data_s=id%3Awidget_60_output_config_24%3A0</t>
  </si>
  <si>
    <t>Delfluent Services</t>
  </si>
  <si>
    <t>VW25V321 Oud Ade, Achterwetering</t>
  </si>
  <si>
    <t>25O0166505</t>
  </si>
  <si>
    <t>https://maps.app.goo.gl/Gzzgagcy1Ciypuiz6</t>
  </si>
  <si>
    <t>https://app.pdok.nl/viewer/#x=98329.25&amp;y=465725.45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</si>
  <si>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https://www.rijnland.net/zakelijk/legger/legger-oppervlaktewateren/</t>
  </si>
  <si>
    <t>QG25V232 Aalsmeer, Aalsmeerderweg</t>
  </si>
  <si>
    <t>25O0166499</t>
  </si>
  <si>
    <t>Aalsmeerderweg 360, 1432 EE Aalsmeer</t>
  </si>
  <si>
    <t>https://app.pdok.nl/viewer/#x=115574.46&amp;y=477536.39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</si>
  <si>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KB25V363 Zutphen, Pollaan</t>
  </si>
  <si>
    <t>25O0162435</t>
  </si>
  <si>
    <t>Pollaan 55, 7202 BV Zutphen</t>
  </si>
  <si>
    <t>3D25V709 Driehuis, Driehuizerkerkweg</t>
  </si>
  <si>
    <r>
      <rPr>
        <rFont val="Arial"/>
        <b/>
        <color rgb="FFFF0000"/>
      </rPr>
      <t>PRIO</t>
    </r>
    <r>
      <rPr>
        <rFont val="Arial"/>
        <color theme="1"/>
      </rPr>
      <t xml:space="preserve"> (Velsen Kapelbuurt 0313191) </t>
    </r>
  </si>
  <si>
    <t>25O0166498</t>
  </si>
  <si>
    <t>Driehuizerkerkweg 61, 1985 EK Driehuis</t>
  </si>
  <si>
    <t>https://app.pdok.nl/viewer/#x=104064.20&amp;y=495941.40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</si>
  <si>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BT25V159 Deurningen, Deurningerstraat N738</t>
  </si>
  <si>
    <t>Verlengen</t>
  </si>
  <si>
    <t>25O0166497</t>
  </si>
  <si>
    <t>Deurningerstraat 27, 7561 RN Deurningen</t>
  </si>
  <si>
    <t>https://app.pdok.nl/viewer/#x=254898.00&amp;y=480652.00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</si>
  <si>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RD25V334 Berkhout, Venneweg</t>
  </si>
  <si>
    <t>25G0791694</t>
  </si>
  <si>
    <t>https://maps.app.goo.gl/xdJEdTAR38jcuNqdA</t>
  </si>
  <si>
    <t>VV25V311 Grootegast, Rondweg N980</t>
  </si>
  <si>
    <t>VV</t>
  </si>
  <si>
    <t>PRIO before week 48</t>
  </si>
  <si>
    <t>25O0166502</t>
  </si>
  <si>
    <t>https://maps.app.goo.gl/7iHbi8z75wfWRjTq6</t>
  </si>
  <si>
    <t>https://app.pdok.nl/viewer/#x=214831.41&amp;y=581264.76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</si>
  <si>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TM25V184 Almere, Stadhuisplein</t>
  </si>
  <si>
    <t>25O0166496</t>
  </si>
  <si>
    <t>Stadhuisplein 35, 1315 XA Almere</t>
  </si>
  <si>
    <t>https://app.pdok.nl/viewer/#x=143554.54&amp;y=487078.58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</si>
  <si>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Hem. Almere: Persleiding</t>
  </si>
  <si>
    <t>QG25V231 Hoofddorp, Bernadottestraat</t>
  </si>
  <si>
    <t>25O0158675</t>
  </si>
  <si>
    <t>Bernadottestraat 25, 2131 SM Hoofddorp</t>
  </si>
  <si>
    <t>https://app.pdok.nl/viewer/#x=106604.80&amp;y=479703.53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</si>
  <si>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https://rijnland.maps.arcgis.com/apps/instant/interactivelegend/index.html?appid=7bc3198037d24d54a9743987ad0731d2</t>
  </si>
  <si>
    <t>TM25V183 Luttenberg, Oude Twentseweg</t>
  </si>
  <si>
    <t>25O0158676</t>
  </si>
  <si>
    <t>Oude Twentseweg 38, 8105 RG Luttenberg</t>
  </si>
  <si>
    <t>https://app.pdok.nl/viewer/#x=219613.00&amp;y=493222.00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</si>
  <si>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Enexis</t>
  </si>
  <si>
    <t>TM25V182 Beuningen, Goudwerf</t>
  </si>
  <si>
    <t>25O0140431</t>
  </si>
  <si>
    <t>IJzerwerf 8, 6641 TK Beuningen</t>
  </si>
  <si>
    <t>https://app.pdok.nl/viewer/#x=179285.00&amp;y=429758.00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</si>
  <si>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Beuningen</t>
  </si>
  <si>
    <t>jwDPbu4d9l8GNgi6HrR\GB</t>
  </si>
  <si>
    <t>25O0156317</t>
  </si>
  <si>
    <t>Overleek 5A, 1141 PD Monnickendam</t>
  </si>
  <si>
    <t>https://app.pdok.nl/viewer/#x=128752.15&amp;y=496421.50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</si>
  <si>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KB25V367 Venhuizen - Lutjebroek (04-06)</t>
  </si>
  <si>
    <t>SPOED (-06: I moved the line)</t>
  </si>
  <si>
    <t>25O0173423</t>
  </si>
  <si>
    <t>https://maps.app.goo.gl/NqJbBqC49bDS8S2cA</t>
  </si>
  <si>
    <t>https://app.pdok.nl/viewer/#x=142539.85&amp;y=520947.35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</si>
  <si>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KB25V367 Venhuizen - Lutjebroek (02-03)</t>
  </si>
  <si>
    <t>25O0173421</t>
  </si>
  <si>
    <t>https://app.pdok.nl/viewer/#x=142656.75&amp;y=521823.72&amp;z=11.7478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</si>
  <si>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DE25V002 Valkenburg, Hoofdstraat</t>
  </si>
  <si>
    <t>Opdrachtgever is Dmissi, not DYNNIQ. Only just realised we had already given DE to Dynnniq.</t>
  </si>
  <si>
    <t>25O0155033</t>
  </si>
  <si>
    <t>Hoofdstraat 49, 2235 CC Valkenburg</t>
  </si>
  <si>
    <t>https://app.pdok.nl/viewer/#x=89942.38&amp;y=466046.31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</si>
  <si>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DE25V001 Katwijk, Rijnstraat</t>
  </si>
  <si>
    <t>But Dynniq did actually not become a client, so have now moved 48&gt;Dmissi to 19. Can yo uupdate the sheet, so that DE stands for DMISSI Energy and not anymoren for Dynniq Energy?</t>
  </si>
  <si>
    <t>25O0155032</t>
  </si>
  <si>
    <t>Rijnstraat 130, 2223EB Katwijk</t>
  </si>
  <si>
    <t>https://app.pdok.nl/viewer/#x=89077.00&amp;y=468117.00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</si>
  <si>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Dunea: water</t>
  </si>
  <si>
    <t>TM25V180 Ederveen, Nieuweweg</t>
  </si>
  <si>
    <t>25O0155472</t>
  </si>
  <si>
    <t>Nieuweweg 6, 6744 PM Ederveen</t>
  </si>
  <si>
    <t>https://app.pdok.nl/viewer/#x=168110.00&amp;y=452491.00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</si>
  <si>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Ede</t>
  </si>
  <si>
    <t>KB25V367 Venhuizen - Lutjebroek (01)</t>
  </si>
  <si>
    <t>25O0173417</t>
  </si>
  <si>
    <t>https://app.pdok.nl/viewer/#x=145695.59&amp;y=524083.06&amp;z=12.5883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</si>
  <si>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 HS</t>
  </si>
  <si>
    <t xml:space="preserve">Gem. Stede Broec </t>
  </si>
  <si>
    <t>BT25V158 Aalsmeer, Stommeerweg</t>
  </si>
  <si>
    <t>Kleine aanpassingen</t>
  </si>
  <si>
    <t>25O0155025</t>
  </si>
  <si>
    <t>https://maps.app.goo.gl/ZSKLP6KCp9nvvD52A</t>
  </si>
  <si>
    <t>https://app.pdok.nl/viewer/#x=111665.48&amp;y=475159.91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</si>
  <si>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https://rijnland.maps.arcgis.com/apps/instant/interactivelegend/index.html?appid=ac183c60750a435db95b1705d25b3121</t>
  </si>
  <si>
    <t>DELTA Fiber Netwerk</t>
  </si>
  <si>
    <t>QG25V230 Kortenhoef, Moleneind</t>
  </si>
  <si>
    <t>25O0155028</t>
  </si>
  <si>
    <t>Moleneind 20a, 1241 NG Kortenhoef</t>
  </si>
  <si>
    <t>https://app.pdok.nl/viewer/#x=134104.14&amp;y=470652.52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</si>
  <si>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QG25V229 Cruquius, Crommelinbaan</t>
  </si>
  <si>
    <t>25O0155026</t>
  </si>
  <si>
    <t>Crommelinbaan 26, 2142EX Cruquius</t>
  </si>
  <si>
    <t>https://app.pdok.nl/viewer/#x=103602.49&amp;y=482933.05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</si>
  <si>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PZ25V105 Udenhout, Sportlaan</t>
  </si>
  <si>
    <t>25O0155016</t>
  </si>
  <si>
    <t>Sportlaan 34, 5071 CC Udenhout</t>
  </si>
  <si>
    <t>https://app.pdok.nl/viewer/#x=138247.37&amp;y=401773.34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</si>
  <si>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VW25V319 Delft, Abtswoude</t>
  </si>
  <si>
    <t>25O0155024</t>
  </si>
  <si>
    <t>Abtswoude 15, 2623 NB Delft</t>
  </si>
  <si>
    <t>https://app.pdok.nl/viewer/#x=84129.70&amp;y=444077.74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</si>
  <si>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https://experience.arcgis.com/experience/a316920536d94e7a90d5fb5edfe48134/</t>
  </si>
  <si>
    <t>Evides Infra</t>
  </si>
  <si>
    <t>TM25V179 Amsterdam, Koppenburglaan</t>
  </si>
  <si>
    <t>EV Waternet OHTR Ø340</t>
  </si>
  <si>
    <t>25O0155023</t>
  </si>
  <si>
    <t>Koppenburglaan 43, 1104 PT Amsterdam</t>
  </si>
  <si>
    <t>https://app.pdok.nl/viewer/#x=126621.00&amp;y=481177.00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</si>
  <si>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KB25V362 Scharnegoutum, Zwettewei</t>
  </si>
  <si>
    <t>25O0155021</t>
  </si>
  <si>
    <t>Zwettewei 40, 8629 EC Scharnegoutum</t>
  </si>
  <si>
    <t>https://app.pdok.nl/viewer/#x=174745.00&amp;y=563724.00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</si>
  <si>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TM25V178 Amsterdam, Pampuslaan</t>
  </si>
  <si>
    <t>25O0155022</t>
  </si>
  <si>
    <t>Pampuslaan 214, 1087 LA Amsterdam</t>
  </si>
  <si>
    <t>https://app.pdok.nl/viewer/#x=129453.17&amp;y=485093.14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</si>
  <si>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 xml:space="preserve">Eteck Energie Techniek </t>
  </si>
  <si>
    <t>Waternet: Riool</t>
  </si>
  <si>
    <t>QG25V204 Kudelstaart, Kudelstaartseweg</t>
  </si>
  <si>
    <t>25O0035586</t>
  </si>
  <si>
    <t>Kudelstaartseweg 158, 1433 GN Kudelstaart</t>
  </si>
  <si>
    <t>https://app.pdok.nl/viewer/#x=111623.43&amp;y=472763.64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</si>
  <si>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EDLTA: data</t>
  </si>
  <si>
    <t>Gem.  Aalsmeer</t>
  </si>
  <si>
    <t>BT25V157 Middenbeemster, Rijperweg</t>
  </si>
  <si>
    <t>Frans gemaild over schuine lijn</t>
  </si>
  <si>
    <t>25O0154997</t>
  </si>
  <si>
    <t>Rijperweg 120A, 1462 MG Middenbeemster</t>
  </si>
  <si>
    <t>https://app.pdok.nl/viewer/#x=124477.91&amp;y=506281.21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</si>
  <si>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3D25V707 Rijsenhout Noord (18)</t>
  </si>
  <si>
    <t>25O0154269</t>
  </si>
  <si>
    <t>https://maps.app.goo.gl/ticFNC6pkeJu4dws7</t>
  </si>
  <si>
    <t>https://dmmb.ipm4pro.nl/port.html?guid=61c7588f-3a78-4dd0-8ef5-7eb0b216ff76</t>
  </si>
  <si>
    <t>3D25V707 Rijsenhout Noord (15, 16)</t>
  </si>
  <si>
    <t>15: Tv2 is niet op de lijn</t>
  </si>
  <si>
    <t>25O0154271</t>
  </si>
  <si>
    <t>Liander MS (16)</t>
  </si>
  <si>
    <t>Hoogheemraadschap van Rijnland (15)</t>
  </si>
  <si>
    <t>Gem. Haarlemmermeer (16)</t>
  </si>
  <si>
    <t>3D25V707 Rijsenhout Noord (11, 12, 13, 14)</t>
  </si>
  <si>
    <t>-12A-rev.1 is done</t>
  </si>
  <si>
    <t>25O0154265</t>
  </si>
  <si>
    <t>Liander LS (14)</t>
  </si>
  <si>
    <t>Ziggo (12)</t>
  </si>
  <si>
    <t>PWN (12A)</t>
  </si>
  <si>
    <t>Liander LS (12A)</t>
  </si>
  <si>
    <t>PWN (13)</t>
  </si>
  <si>
    <t>3D25V707 Rijsenhout Noord (10)</t>
  </si>
  <si>
    <t>rev.1 rechter</t>
  </si>
  <si>
    <t>25O0154266</t>
  </si>
  <si>
    <t>Volker Energy Solutions</t>
  </si>
  <si>
    <t xml:space="preserve">Liander MS
</t>
  </si>
  <si>
    <t>3D25V707 Rijsenhout Noord (07, 17)</t>
  </si>
  <si>
    <t>25O0154268</t>
  </si>
  <si>
    <t>Ziggo (07)</t>
  </si>
  <si>
    <t>3D25V707 Rijsenhout Noord (05, 06)</t>
  </si>
  <si>
    <t>05 midden en diep onder brug door</t>
  </si>
  <si>
    <t>25O0154274</t>
  </si>
  <si>
    <t>Defensie Pijpleiding Organisatie (06)</t>
  </si>
  <si>
    <t>Gem. Aalsmeer (05, 06)</t>
  </si>
  <si>
    <t>PWN (05)</t>
  </si>
  <si>
    <t>Relined (05)</t>
  </si>
  <si>
    <t>Eunetworks (05, 06)</t>
  </si>
  <si>
    <t>EXA Infrastructure (05) r 30-10 &amp; Lumen (05) r 28-10 + KPN (05) r 29-10 + Bt Nederland (05) r 27-10 + Colt (05) r 28-10</t>
  </si>
  <si>
    <t>BT25V156 Hansweert, Kanaalweg</t>
  </si>
  <si>
    <t>02&amp;03: connot be at 0.7m deep. Indeed, ze moeten toch weer iets dieper</t>
  </si>
  <si>
    <t>25O0154994</t>
  </si>
  <si>
    <t>Kanaalweg 2, 4417 ER Hansweert</t>
  </si>
  <si>
    <t>https://app.pdok.nl/viewer/#x=59627.00&amp;y=384379.00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</si>
  <si>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https://experience.arcgis.com/experience/71d0ad9043bf442c91b7fd9bbc1f2e70/</t>
  </si>
  <si>
    <t>https://scheldestromen.nl/interactievekaart</t>
  </si>
  <si>
    <t>BT25V155 Kampen (02)</t>
  </si>
  <si>
    <t>25O0154988</t>
  </si>
  <si>
    <t>Troelstrasingel 2, 8262 SX Kampen</t>
  </si>
  <si>
    <t>https://app.pdok.nl/viewer/#x=189797.32&amp;y=508323.51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</si>
  <si>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Kampen</t>
  </si>
  <si>
    <t>BT25V155 Kampen (01)</t>
  </si>
  <si>
    <t>25O0154987</t>
  </si>
  <si>
    <t>Haatland, Reigerweg 17, 8263 BB Kampen</t>
  </si>
  <si>
    <t>https://app.pdok.nl/viewer/#x=189200.45&amp;y=508590.82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</si>
  <si>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3D25V707 Rijsenhout Noord (01, 08)</t>
  </si>
  <si>
    <t>rev.1 /// Riool en KPN onder het water (beide buiten gebruik)</t>
  </si>
  <si>
    <t>25O0154264</t>
  </si>
  <si>
    <t>Liander: HS+MS (Reddyn)</t>
  </si>
  <si>
    <t>BT Nederland</t>
  </si>
  <si>
    <t>KB25V361 Amsterdam, Johan Jongkindstraat</t>
  </si>
  <si>
    <t>Alice gemaild</t>
  </si>
  <si>
    <t>25O0155003</t>
  </si>
  <si>
    <t>https://maps.app.goo.gl/cEXjznEwEmDsvdKN9</t>
  </si>
  <si>
    <t>https://app.pdok.nl/viewer/#x=117783.70&amp;y=485854.29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</si>
  <si>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Waternet: ROD+RVV</t>
  </si>
  <si>
    <t>3D25V705 Rozenburg (09, 23, 24, 26, 39, 44, 45)</t>
  </si>
  <si>
    <t>-24, -44, -45</t>
  </si>
  <si>
    <t>25O0153581</t>
  </si>
  <si>
    <t>https://maps.app.goo.gl/1tiYLrpm3q3VAvGdA</t>
  </si>
  <si>
    <t>https://dmmb.ipm4pro.nl/port.html?guid=98aa06ef-c370-45ee-8e91-0bb776a96118</t>
  </si>
  <si>
    <t>EXA, Ziggo</t>
  </si>
  <si>
    <t>Eunetworks + Bt Nederland (r 29-10)</t>
  </si>
  <si>
    <t>Schiphol Telematics</t>
  </si>
  <si>
    <t>Volker (r 27-10)+NTT (r17-11)</t>
  </si>
  <si>
    <t>QG25V228 Blaricum, Dokter Catzlaan</t>
  </si>
  <si>
    <t>25O0154300</t>
  </si>
  <si>
    <t>Dokter Catzlaan 23, 1261 CE Blaricum</t>
  </si>
  <si>
    <t>https://app.pdok.nl/viewer/#x=144243.29&amp;y=475920.34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</si>
  <si>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(07)</t>
  </si>
  <si>
    <t>25O0154985</t>
  </si>
  <si>
    <t>https://maps.app.goo.gl/VMAPbGHXvKtYb8Bz6</t>
  </si>
  <si>
    <t>https://app.pdok.nl/viewer/#x=146908.43&amp;y=465435.38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</si>
  <si>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(06)</t>
  </si>
  <si>
    <t>25O0154984</t>
  </si>
  <si>
    <t>https://app.pdok.nl/viewer/#x=152863.59&amp;y=464109.20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</si>
  <si>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(05)</t>
  </si>
  <si>
    <t>25O0154983</t>
  </si>
  <si>
    <t>https://app.pdok.nl/viewer/#x=204668.70&amp;y=451623.76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</si>
  <si>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(04)</t>
  </si>
  <si>
    <t>25O0154982</t>
  </si>
  <si>
    <t>https://app.pdok.nl/viewer/#x=206274.00&amp;y=429536.00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</si>
  <si>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(03)</t>
  </si>
  <si>
    <t>25O0154981</t>
  </si>
  <si>
    <t>https://app.pdok.nl/viewer/#x=188197.32&amp;y=427755.91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</si>
  <si>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(02)</t>
  </si>
  <si>
    <t>25O0154980</t>
  </si>
  <si>
    <t>https://app.pdok.nl/viewer/#x=186390.70&amp;y=427614.21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</si>
  <si>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KB25V360 Nijmegen (01)</t>
  </si>
  <si>
    <t>25O0154979</t>
  </si>
  <si>
    <t>https://app.pdok.nl/viewer/#x=184779.26&amp;y=424448.72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</si>
  <si>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3D25V708 Berkhout, Lijsbeth Tijsweg</t>
  </si>
  <si>
    <t>25O0154291</t>
  </si>
  <si>
    <t>Lijsbeth Tijsweg 7, 1647 LE Berkhout</t>
  </si>
  <si>
    <t>https://app.pdok.nl/viewer/#x=128071.78&amp;y=516149.41&amp;z=12.8110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</si>
  <si>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QG25V227 Laren, Eemnesserweg</t>
  </si>
  <si>
    <t>Reeds geleverd, zie QG25V219 Laren, Eemnesserweg</t>
  </si>
  <si>
    <t>25O0154292</t>
  </si>
  <si>
    <t>Eemnesserweg 12C, 1251 NC Laren</t>
  </si>
  <si>
    <t>https://app.pdok.nl/viewer/#x=144170.27&amp;y=474163.21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</si>
  <si>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TM25V177 Nederhorst Den Berg, Middenweg</t>
  </si>
  <si>
    <t>rev.1 /// Ahmed gemaild over beschoeiing. AC250 PWN is ook een aandachtspunt</t>
  </si>
  <si>
    <t>25O0154299</t>
  </si>
  <si>
    <t>Middenweg 82, 1394 AM Nederhorst Den Berg</t>
  </si>
  <si>
    <t>https://app.pdok.nl/viewer/#x=133979.00&amp;y=473593.00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</si>
  <si>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3D25V706 Rijsenhout (46)</t>
  </si>
  <si>
    <t>25O0153599</t>
  </si>
  <si>
    <t>https://maps.app.goo.gl/zJG4Bs5WcX9NKHDQ8</t>
  </si>
  <si>
    <t>https://app.pdok.nl/viewer/#x=107876.77&amp;y=473107.33&amp;z=15.3333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</si>
  <si>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3D25V706 Rijsenhout (44&amp;45)</t>
  </si>
  <si>
    <t>25O0153598</t>
  </si>
  <si>
    <t>https://maps.app.goo.gl/s7KMiVb6ndZJfp329</t>
  </si>
  <si>
    <t>https://app.pdok.nl/viewer/#x=107772.97&amp;y=475145.63&amp;z=12.4102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</si>
  <si>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VW25V320 Stedum - Varsseveld (01)</t>
  </si>
  <si>
    <t>25O0155029</t>
  </si>
  <si>
    <t>https://maps.app.goo.gl/bZKKpE3tLE9yX1FM9</t>
  </si>
  <si>
    <t>https://app.pdok.nl/viewer/#x=241189.00&amp;y=594886.00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</si>
  <si>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VW25V320 Stedum - Varsseveld (02)</t>
  </si>
  <si>
    <t>25O0155030</t>
  </si>
  <si>
    <t>https://app.pdok.nl/viewer/#x=229708.24&amp;y=439247.73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</si>
  <si>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Oude IJsselstreek</t>
  </si>
  <si>
    <t>TM25V176 Nieuwleusen, Oosteinde</t>
  </si>
  <si>
    <t>25O0154294</t>
  </si>
  <si>
    <t>Oosteinde 65, 7711 BW Nieuwleusen</t>
  </si>
  <si>
    <t>https://app.pdok.nl/viewer/#x=217863.00&amp;y=510324.15&amp;z=14.8669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</si>
  <si>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3D25V707 Rijsenhout Noord (02, 09)</t>
  </si>
  <si>
    <r>
      <rPr>
        <rFont val="Arial"/>
        <color rgb="FF000000"/>
      </rPr>
      <t>3D25V705 Rozenburg (HDD90, 96, 97, 128, 134, 135</t>
    </r>
    <r>
      <rPr>
        <rFont val="Arial"/>
        <color rgb="FF000000"/>
      </rPr>
      <t xml:space="preserve"> &amp; HDD91, 92, 136, 137, 138, 139)
</t>
    </r>
  </si>
  <si>
    <t>Zie -0. Extra boringen 077 t/m 146: Hiervan de middelst als typical uitwerken</t>
  </si>
  <si>
    <t>25O0153580</t>
  </si>
  <si>
    <t>Prologis Realty XLIII</t>
  </si>
  <si>
    <t>Tennet Tso</t>
  </si>
  <si>
    <t>Hoogheemraadschap van Rijnland (90, 91)</t>
  </si>
  <si>
    <r>
      <rPr>
        <rFont val="Arial"/>
        <color rgb="FF000000"/>
      </rPr>
      <t>3D25V705 Rozenburg (</t>
    </r>
    <r>
      <rPr>
        <rFont val="Arial"/>
        <color rgb="FF000000"/>
      </rPr>
      <t xml:space="preserve">HDD77-81, 90, 96-97, 127-128, 134-135)
</t>
    </r>
  </si>
  <si>
    <t>HDD77 intrede verlengen, mag je uitwerken zie -0 /// Zie -0. Extra boringen 077 t/m 146: Hiervan de middelst als typical uitwerken</t>
  </si>
  <si>
    <t>26O0038411</t>
  </si>
  <si>
    <t>https://maps.app.goo.gl/uSrXyeRGFQ3jrofn6</t>
  </si>
  <si>
    <t>https://app.pdok.nl/viewer/#x=110049.00&amp;y=476746.38&amp;z=12.7040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</si>
  <si>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NTT Global Data Centers AMS1 B.V.: HS</t>
  </si>
  <si>
    <t>Prologis Realty XLIII B.V. (HS) &amp; Volker Energy Solutions B.V. (HS)</t>
  </si>
  <si>
    <t>3D25V705 Rozenburg (95, 141, 142, 143)</t>
  </si>
  <si>
    <t>-141 cancelled</t>
  </si>
  <si>
    <t>25O0153577</t>
  </si>
  <si>
    <t>Lumen (142)</t>
  </si>
  <si>
    <t>Hoogheemraadschap van Rijnland (142+143)</t>
  </si>
  <si>
    <t>3D25V705 Rozenburg (60, 72, 93)</t>
  </si>
  <si>
    <t>25O0153576</t>
  </si>
  <si>
    <t>Prologis Realty</t>
  </si>
  <si>
    <t>Lumen (60)</t>
  </si>
  <si>
    <t>Eunetworks (60)</t>
  </si>
  <si>
    <t>3D25V705 Rozenburg (46)</t>
  </si>
  <si>
    <t>Schiphol: veiligheidsgebied</t>
  </si>
  <si>
    <t>25O0153584</t>
  </si>
  <si>
    <t>Luchtverkeersleiding Nederland: data+LS</t>
  </si>
  <si>
    <t>Nederlandse Gasunie West: BGI</t>
  </si>
  <si>
    <t>Luchtverkeersleiding Nederland</t>
  </si>
  <si>
    <t>3D25V705 Rozenburg (31, 32, 41)</t>
  </si>
  <si>
    <r>
      <rPr>
        <rFont val="Arial"/>
        <color theme="1"/>
      </rPr>
      <t>-41: 4 meter verlengen</t>
    </r>
    <r>
      <rPr>
        <rFont val="Arial"/>
        <b/>
        <color rgb="FFFF0000"/>
      </rPr>
      <t xml:space="preserve"> (What about the HDD Liander MS?)</t>
    </r>
  </si>
  <si>
    <t>25O0153578</t>
  </si>
  <si>
    <t>Lumen (31)</t>
  </si>
  <si>
    <t>Eunetworks (31, 41)</t>
  </si>
  <si>
    <t>3D25V705 Rozenburg (16, 36, 43)</t>
  </si>
  <si>
    <t>-16 uit 28° om &gt;5m van HS te houden (rev.1)</t>
  </si>
  <si>
    <t>25O0153579</t>
  </si>
  <si>
    <t>Eunetworks (16, 43)</t>
  </si>
  <si>
    <t>3D25V705 Rozenburg (10, 11, 27)</t>
  </si>
  <si>
    <t>25O0153583</t>
  </si>
  <si>
    <t>PWN+Volker Energy Solutions</t>
  </si>
  <si>
    <t>Luchtverkeersleiding Nederland (10)</t>
  </si>
  <si>
    <t>Provincie Noord-Holland (10)</t>
  </si>
  <si>
    <t>Defensie Pijpleiding Organisatie (11)</t>
  </si>
  <si>
    <t>Nederlandse Gasunie West (11)</t>
  </si>
  <si>
    <t xml:space="preserve">3D25V705 Rozenburg (01, 13, 28) </t>
  </si>
  <si>
    <t>25O0153582</t>
  </si>
  <si>
    <t>N.V. Nederlandse Gasunie West</t>
  </si>
  <si>
    <t>Eunetworks(28)</t>
  </si>
  <si>
    <t>NTT Global Data Centers (28)</t>
  </si>
  <si>
    <t>Liander: MS (28)</t>
  </si>
  <si>
    <t>BT25V152 Hoogezand, Keucheniusstraat (01-04)</t>
  </si>
  <si>
    <t>25O0152814</t>
  </si>
  <si>
    <t>Keucheniusstraat 26, 9602 TH Hoogezand</t>
  </si>
  <si>
    <t>https://app.pdok.nl/viewer/#x=245940.70&amp;y=574786.84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</si>
  <si>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QG25V226 Kudelstaart, Herenweg</t>
  </si>
  <si>
    <t>Buis PWN toevoegen</t>
  </si>
  <si>
    <t>BT25V154 Hengelo, Wegtersweg</t>
  </si>
  <si>
    <t>25O0154288</t>
  </si>
  <si>
    <t>Wegtersweg 18E, 7556 BR Hengelo</t>
  </si>
  <si>
    <t>https://app.pdok.nl/viewer/#x=249737.99&amp;y=477676.02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</si>
  <si>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Hengelo</t>
  </si>
  <si>
    <t>BT25V153 Sappemeer (14-15)</t>
  </si>
  <si>
    <t>25O0152820</t>
  </si>
  <si>
    <t>https://app.pdok.nl/viewer/#x=249061.62&amp;y=575991.27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</si>
  <si>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Reggefiber Operator (14)</t>
  </si>
  <si>
    <t>BT25V153 Sappemeer (13)</t>
  </si>
  <si>
    <t>de boorlijn is echt op de straat</t>
  </si>
  <si>
    <t>25O0152819</t>
  </si>
  <si>
    <t>https://app.pdok.nl/viewer/#x=248780.55&amp;y=575808.31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</si>
  <si>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BT25V153 Sappemeer (07-12)</t>
  </si>
  <si>
    <t>-11-rev.1 is done</t>
  </si>
  <si>
    <t>25O0152818</t>
  </si>
  <si>
    <t>https://app.pdok.nl/viewer/#x=248734.36&amp;y=576117.20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</si>
  <si>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BT25V153 Sappemeer (04-06)</t>
  </si>
  <si>
    <t>06: I moved the line because of the riool</t>
  </si>
  <si>
    <t>25O0152817</t>
  </si>
  <si>
    <t>https://app.pdok.nl/viewer/#x=248582.50&amp;y=575886.27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</si>
  <si>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BT25V153 Sappemeer (01-03)</t>
  </si>
  <si>
    <t>-02-rev.1 is done</t>
  </si>
  <si>
    <t>25O0152816</t>
  </si>
  <si>
    <t>https://app.pdok.nl/viewer/#x=248547.05&amp;y=576004.90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</si>
  <si>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BT25V152 Hoogezand, Keucheniusstraat (05)</t>
  </si>
  <si>
    <t>rev.1 -05 toevoegen. SGGB ontwerp overtekenen in 3x160</t>
  </si>
  <si>
    <t>26O0011401</t>
  </si>
  <si>
    <t>Ruys de Beerenbrouckstraat 23, 9602 XK Hoogezand</t>
  </si>
  <si>
    <t>https://app.pdok.nl/viewer/#x=246368.96&amp;y=575125.78&amp;z=15.0000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</si>
  <si>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KB25V359 Eext, 't Witzand</t>
  </si>
  <si>
    <t>25O0154289</t>
  </si>
  <si>
    <t>t Witzand 8, 9463PA Eext</t>
  </si>
  <si>
    <t>https://app.pdok.nl/viewer/#x=245545.98&amp;y=560586.54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</si>
  <si>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KB25V358 Vlieland, Havenweg (04)</t>
  </si>
  <si>
    <t>25O0152813</t>
  </si>
  <si>
    <t>Havenweg 24, 8899 BC Oost-Vlieland</t>
  </si>
  <si>
    <t>https://app.pdok.nl/viewer/#x=135214.43&amp;y=590072.86&amp;z=13.2224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</si>
  <si>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Vlieland (01)</t>
  </si>
  <si>
    <t>KB25V358 Vlieland, Havenweg (03)</t>
  </si>
  <si>
    <t>25O0152812</t>
  </si>
  <si>
    <t>Havenweg 29, 8899 BC Oost-Vlieland</t>
  </si>
  <si>
    <t>https://app.pdok.nl/viewer/#x=135086.11&amp;y=590215.36&amp;z=14.1695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</si>
  <si>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KB25V358 Vlieland, Havenweg (01-02)</t>
  </si>
  <si>
    <t>01-rev.1 ivm HDD Persriool</t>
  </si>
  <si>
    <t>25O0152811</t>
  </si>
  <si>
    <t>Havenweg 17A, 8899BB Vlieland</t>
  </si>
  <si>
    <t>https://app.pdok.nl/viewer/#x=134700.09&amp;y=590139.06&amp;z=13.1394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</si>
  <si>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Wetterskip Fryslân (01)</t>
  </si>
  <si>
    <t>3D25V704 Kockengen, Wagendijk</t>
  </si>
  <si>
    <t>N401</t>
  </si>
  <si>
    <t>25O0148511</t>
  </si>
  <si>
    <t>Wagendijk 67, 3628 ET Kockengen</t>
  </si>
  <si>
    <t>https://app.pdok.nl/viewer/#x=124417.10&amp;y=462822.47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</si>
  <si>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https://data-hdsr.opendata.arcgis.com/</t>
  </si>
  <si>
    <t>https://experience.arcgis.com/experience/2c5e26593af646ce89636605093ddcc1/#data_s=id%3AdataSource_4-18b434f3d88-layer-28-17cea6e09d0-layer-48-c75e273a-9710-4d8a-bdc6-ba39b723497a%3A49293</t>
  </si>
  <si>
    <t>VB25V310 Hilversum, Graaf Florislaan</t>
  </si>
  <si>
    <t>25O0147805</t>
  </si>
  <si>
    <t>Graaf Florislaan 3, 1217 KE Hilversum</t>
  </si>
  <si>
    <t>https://app.pdok.nl/viewer/#x=140380.80&amp;y=471440.80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</si>
  <si>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https://maps.waternet.nl/portal/apps/experiencebuilder/experience/?id=36500ca8332b489182bf9ab83427cbc1&amp;page=Vergunningen-en-Meldingen&amp;views=Kaartlagen%2CKaartlagen-</t>
  </si>
  <si>
    <t>Gem. Hilversum</t>
  </si>
  <si>
    <t>TM25V175 Rijpwetering, Zuidweg</t>
  </si>
  <si>
    <t>25O0147663</t>
  </si>
  <si>
    <t>Zuidweg 16A, 2375 AS Rijpwetering</t>
  </si>
  <si>
    <t>https://app.pdok.nl/viewer/#x=100572.00&amp;y=466313.00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</si>
  <si>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Liander: GHD+GLS</t>
  </si>
  <si>
    <t>KB25V357 Zutphen, Polbeekseweg N348</t>
  </si>
  <si>
    <t>-02 updated; 0.2m diieper en Uit 35 ipv 30</t>
  </si>
  <si>
    <t>25O0147811</t>
  </si>
  <si>
    <t>https://maps.app.goo.gl/RmxLBz7ePYMFi2J1A</t>
  </si>
  <si>
    <t>https://app.pdok.nl/viewer/#x=211121.13&amp;y=463546.03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</si>
  <si>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3D25V714 Velsen-Noord, Platformweg</t>
  </si>
  <si>
    <t>25O0169431</t>
  </si>
  <si>
    <t>Platformweg 16-21, 1951 NJ Velsen-Noord</t>
  </si>
  <si>
    <t>https://app.pdok.nl/viewer/#x=105619.86&amp;y=497916.16&amp;z=13.5891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</si>
  <si>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VB25V308 Honselersdijk, Dijkweg</t>
  </si>
  <si>
    <t>25O0147072</t>
  </si>
  <si>
    <t>Dijkweg 90, 2675 AE Honselersdijk</t>
  </si>
  <si>
    <t>https://app.pdok.nl/viewer/#x=74960.49&amp;y=446707.08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</si>
  <si>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Westland</t>
  </si>
  <si>
    <t>BT25V151 Giethoorn, Oeverweg</t>
  </si>
  <si>
    <t>-01 graag aanpassen, andersom en intrede dicht aan de weg. Minder risico.</t>
  </si>
  <si>
    <t>25O0147649</t>
  </si>
  <si>
    <t>https://maps.app.goo.gl/BRYacbTzjd8ZMtLp6</t>
  </si>
  <si>
    <t>https://app.pdok.nl/viewer/#x=197133.63&amp;y=527737.24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</si>
  <si>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BT25V148 Westbeemster, Wormerweg</t>
  </si>
  <si>
    <t>25O0147074</t>
  </si>
  <si>
    <t>Wormerweg 22, 1464 NB Westbeemster</t>
  </si>
  <si>
    <t>https://app.pdok.nl/viewer/#x=119592.55&amp;y=507091.25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</si>
  <si>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BT25V150 Ossenzijl, Burgemeester van der Veenweg</t>
  </si>
  <si>
    <t>25O0147604</t>
  </si>
  <si>
    <t>Burgemeester van der Veenweg 3, 8376 HL Ossenzijl</t>
  </si>
  <si>
    <t>https://app.pdok.nl/viewer/#x=190198.00&amp;y=536211.00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</si>
  <si>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BT25V149 Basse, Westenwold</t>
  </si>
  <si>
    <t>25O0147075</t>
  </si>
  <si>
    <t>Westenwold 5, 8342 TG Basse</t>
  </si>
  <si>
    <t>https://app.pdok.nl/viewer/#x=197979.31&amp;y=535274.30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</si>
  <si>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VW25V318 De Zilk, Zilkerbinnenweg</t>
  </si>
  <si>
    <t>25O0147070</t>
  </si>
  <si>
    <t>Zilkerbinnenweg 10, 2191 AC De Zilk</t>
  </si>
  <si>
    <t>https://app.pdok.nl/viewer/#x=96733.35&amp;y=478109.13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</si>
  <si>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VW25V317 Rijnsburg, Bankijkerweg</t>
  </si>
  <si>
    <t>25O0147069</t>
  </si>
  <si>
    <t>Bankijkerweg 12, 2231 MH Rijnsburg</t>
  </si>
  <si>
    <t>https://app.pdok.nl/viewer/#x=91498.53&amp;y=467894.15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</si>
  <si>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VB25V309 Zevenbergen, Provinciale Weg N285</t>
  </si>
  <si>
    <t>25O0147073</t>
  </si>
  <si>
    <t>Heesbeenstraat 12, 4761 EV Zevenbergen</t>
  </si>
  <si>
    <t>https://app.pdok.nl/viewer/#x=101017.67&amp;y=406887.65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</si>
  <si>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https://geoportaal.brabantsedelta.nl/portal/apps/instant/basic/index.html?appid=81a5a147a9614fb983e514b580246792</t>
  </si>
  <si>
    <t>Persleiding Dongen B.V.</t>
  </si>
  <si>
    <t>Waterschap Brabantse Delta</t>
  </si>
  <si>
    <t>KB25V356 Amsterdam, Gaasperpark</t>
  </si>
  <si>
    <t>25O0147631</t>
  </si>
  <si>
    <t>Loosdrechtdreef 3, 1108 AX Amsterdam</t>
  </si>
  <si>
    <t>https://app.pdok.nl/viewer/#x=127628.00&amp;y=480424.00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</si>
  <si>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GVB Infra B.V.</t>
  </si>
  <si>
    <t>BT25V147 Bruinehaar, Driehoeksweg</t>
  </si>
  <si>
    <t>25O0147067</t>
  </si>
  <si>
    <t>Driehoeksweg 9, 7675 TA Bruinehaar</t>
  </si>
  <si>
    <t>https://app.pdok.nl/viewer/#x=244143.00&amp;y=499329.00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</si>
  <si>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VB25V307 Zutphen, Vliegendijk</t>
  </si>
  <si>
    <t>Waterschap Vallei en Veluwe voorgelegd</t>
  </si>
  <si>
    <t>25O0146315</t>
  </si>
  <si>
    <t>Vliegendijk 41, 7205 CH Zutphen</t>
  </si>
  <si>
    <t>https://app.pdok.nl/viewer/#x=209457.00&amp;y=462238.00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</si>
  <si>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QG25V225 Amstelveen, J.C. van Hattumweg</t>
  </si>
  <si>
    <t>Laten we een -02 maken en de keuze aan de klant laten</t>
  </si>
  <si>
    <t>25O0147071</t>
  </si>
  <si>
    <t>J.C. van Hattumweg 15A, 1187 ZN Amstelveen</t>
  </si>
  <si>
    <t>https://app.pdok.nl/viewer/#x=115744.40&amp;y=476597.98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</si>
  <si>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TM25V174 Balkbrug, Lutten Oever (-02)</t>
  </si>
  <si>
    <t>25O0146049</t>
  </si>
  <si>
    <t>Lutten Oever 2A, 7707 PS Balkbrug</t>
  </si>
  <si>
    <t>https://app.pdok.nl/viewer/#x=220207.72&amp;y=516962.59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</si>
  <si>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TM25V174 Balkbrug, Lutten Oever (-01)</t>
  </si>
  <si>
    <t>25O0146047</t>
  </si>
  <si>
    <t>Luttenoeverweg 1, 7707 PT Balkbrug</t>
  </si>
  <si>
    <t>https://app.pdok.nl/viewer/#x=219800.04&amp;y=517310.78&amp;z=12.3826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</si>
  <si>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LI25V103 Noordwijk, De Boender</t>
  </si>
  <si>
    <t>LI</t>
  </si>
  <si>
    <t>25O0146307</t>
  </si>
  <si>
    <t>De Boender 14, 2204 AG Noordwijk</t>
  </si>
  <si>
    <t>https://app.pdok.nl/viewer/#x=94765.56&amp;y=478337.34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</si>
  <si>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KB25V355 Delfstrahuizen, Westerse Dijk</t>
  </si>
  <si>
    <t>25O0146035</t>
  </si>
  <si>
    <t>Westerse Dijk 1, 8508 RJ Delfstrahuizen</t>
  </si>
  <si>
    <t>https://app.pdok.nl/viewer/#x=186244.54&amp;y=544692.99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</si>
  <si>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3D25V701 Hoorn, Nieuwe Steen</t>
  </si>
  <si>
    <t>-01&amp;-02: EV afmelding EV Art Of Automation Glasvezel (sent 21-10, r21-10)</t>
  </si>
  <si>
    <t>25O0146269</t>
  </si>
  <si>
    <t>Nieuwe Steen 3, 1625 HV Hoorn</t>
  </si>
  <si>
    <t>https://app.pdok.nl/viewer/#x=133057.80&amp;y=518900.89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</si>
  <si>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Art Of Automation Glasvezel B.V.: data</t>
  </si>
  <si>
    <t>Gem. Hoorn (01&amp;02)</t>
  </si>
  <si>
    <t>Liander MS (02)</t>
  </si>
  <si>
    <t>Reggefiber Operator (-01)</t>
  </si>
  <si>
    <t>RD25V332 Den Hoorn, Pontweg N501</t>
  </si>
  <si>
    <t>01 &amp;02 aanpassen, -06 uitwerken</t>
  </si>
  <si>
    <t>25O0146021</t>
  </si>
  <si>
    <t>https://maps.app.goo.gl/S5KHzhbKgq37Nxur5</t>
  </si>
  <si>
    <t>https://app.pdok.nl/viewer/#x=114878.21&amp;y=559066.40&amp;z=10.8232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</si>
  <si>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Texel (03, 04, 05)</t>
  </si>
  <si>
    <t>BT25V146 Oldemarkt, Markerbroekweg</t>
  </si>
  <si>
    <t>cannot check duiker’s details from the email.</t>
  </si>
  <si>
    <t>25O0145996</t>
  </si>
  <si>
    <t>Markerbroekweg 2, 8375 EB Oldemarkt</t>
  </si>
  <si>
    <t>https://app.pdok.nl/viewer/#x=191699.00&amp;y=538156.00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</si>
  <si>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3D25V715 Haarlem, A. Hofmanweg</t>
  </si>
  <si>
    <t>rev.4 plse note I added some WATERLEIDING and RVV to the KLIC</t>
  </si>
  <si>
    <t>25O0170837</t>
  </si>
  <si>
    <t>A. Hofmanweg 8, 2031 BH Haarlem</t>
  </si>
  <si>
    <t>https://app.pdok.nl/viewer/#x=105914.21&amp;y=490204.41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</si>
  <si>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3D25V703 Rijswijk, Lange Kleiweg</t>
  </si>
  <si>
    <t>25O0142347</t>
  </si>
  <si>
    <t>Lange Kleiweg 44, 2288 GH Rijswijk</t>
  </si>
  <si>
    <t>https://app.pdok.nl/viewer/#x=82277.20&amp;y=450285.39&amp;z=13.4463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</si>
  <si>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KB25V353 Oudega, Rigedyk</t>
  </si>
  <si>
    <t>SPOED. Voorstel gemaild met comment. Wellicht verplaatsen</t>
  </si>
  <si>
    <t>25O0142307</t>
  </si>
  <si>
    <t>Rigedyk 8, 8614 XA Oudega</t>
  </si>
  <si>
    <t>https://app.pdok.nl/viewer/#x=167039.67&amp;y=556004.61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</si>
  <si>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3D25V702 Amersfoort (04)</t>
  </si>
  <si>
    <t>25O0141418</t>
  </si>
  <si>
    <t>https://maps.app.goo.gl/aXvqSf8fGGLDGvPz9</t>
  </si>
  <si>
    <t>https://app.pdok.nl/viewer/#x=158475.50&amp;y=466981.90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</si>
  <si>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3D25V702 Amersfoort (01-03)</t>
  </si>
  <si>
    <t>25O0141417</t>
  </si>
  <si>
    <t>https://app.pdok.nl/viewer/#x=158096.92&amp;y=466013.80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</si>
  <si>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3D25V700 Haarlem (HDD32)</t>
  </si>
  <si>
    <t>Werkplan voorbereiden</t>
  </si>
  <si>
    <t>25O0144792</t>
  </si>
  <si>
    <t>https://maps.app.goo.gl/FDKgHaJSXLNQkSXP7</t>
  </si>
  <si>
    <t>https://app.pdok.nl/viewer/#x=104544.90&amp;y=490071.48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</si>
  <si>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rev.1 intrede verlengen en  uittrede in fietspad</t>
  </si>
  <si>
    <t>BT25V145 Hoge Hexel, Sliepersdijk</t>
  </si>
  <si>
    <t>SPOED /// een of twee tekeningen?</t>
  </si>
  <si>
    <t>25O0141219</t>
  </si>
  <si>
    <t>Sliepersdijk 1, 7645 AE Hoge Hexel</t>
  </si>
  <si>
    <t>https://app.pdok.nl/viewer/#x=235090.00&amp;y=490552.00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</si>
  <si>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QG25V224 Nieuw-Vennep, IJweg</t>
  </si>
  <si>
    <t>rev. 1   1P stand 1 dieper  en -02 erbij</t>
  </si>
  <si>
    <t>25O0141228</t>
  </si>
  <si>
    <t>IJweg 1588, 2152 ND Nieuw-Vennep</t>
  </si>
  <si>
    <t>https://app.pdok.nl/viewer/#x=102285.87&amp;y=477004.94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</si>
  <si>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KB25V354 Vlagtwedde, Weenderstraat N976</t>
  </si>
  <si>
    <t>nieuw ontwerp van EN25V106 Vlagtwedde, Weenderstraat</t>
  </si>
  <si>
    <t>25O0144784</t>
  </si>
  <si>
    <t>Weenderstraat 122, 9541 AJ Vlagtwedde</t>
  </si>
  <si>
    <t>https://app.pdok.nl/viewer/#x=270544.69&amp;y=560889.72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</si>
  <si>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Glasdraad</t>
  </si>
  <si>
    <t>BT25V144 Heeten, Spanjaardsdijk</t>
  </si>
  <si>
    <t>25O0140702</t>
  </si>
  <si>
    <t>https://maps.app.goo.gl/FsaQrXBTMdEN2DeX9</t>
  </si>
  <si>
    <t>https://app.pdok.nl/viewer/#x=215787.65&amp;y=481025.97&amp;z=12.6911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</si>
  <si>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QG25V223 Aalsmeer, Hornweg</t>
  </si>
  <si>
    <t>intrede bij de boom</t>
  </si>
  <si>
    <t>25O0140238</t>
  </si>
  <si>
    <t>Hornweg 293, 1432 GL Aalsmeer</t>
  </si>
  <si>
    <t>https://app.pdok.nl/viewer/#x=115237.63&amp;y=476449.73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</si>
  <si>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TM25V173 Naarden, Cort van der Lindenlaan</t>
  </si>
  <si>
    <t>25O0140278</t>
  </si>
  <si>
    <t>Cort van der Lindenlaan 7A, 1412 BW Naarden</t>
  </si>
  <si>
    <t>https://app.pdok.nl/viewer/#x=138690.08&amp;y=477459.25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</si>
  <si>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TM25V172 Naarden, Pr. Beatrixhof</t>
  </si>
  <si>
    <t>25O0140266</t>
  </si>
  <si>
    <t>https://maps.app.goo.gl/eZm9cNHr9HTFtZnKA</t>
  </si>
  <si>
    <t>https://app.pdok.nl/viewer/#x=138886.05&amp;y=478203.24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</si>
  <si>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https://maps.waternet.nl/portal/apps/experiencebuilder/experience/?id=36500ca8332b489182bf9ab83427cbc1&amp;page=Vergunningen-en-Meldingen&amp;views=Kaartlagen-</t>
  </si>
  <si>
    <t>QG25V222 Vijfhuizen, Cruquiusdijk</t>
  </si>
  <si>
    <t>25O0139928</t>
  </si>
  <si>
    <t>Cruquiusdijk 200, 2141 EW Vijfhuizen</t>
  </si>
  <si>
    <t>https://app.pdok.nl/viewer/#x=105588.17&amp;y=484445.32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</si>
  <si>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r>
      <rPr>
        <rFont val="Arial"/>
        <color rgb="FF000000"/>
      </rPr>
      <t>RD25V330 Hoorn, Venneweg</t>
    </r>
    <r>
      <rPr>
        <rFont val="Arial"/>
        <color rgb="FF000000"/>
      </rPr>
      <t xml:space="preserve"> (-02 andere zijde weg)</t>
    </r>
  </si>
  <si>
    <t>Graag nog 1.5 m dieper: Koud boren 6x50 3x40mm</t>
  </si>
  <si>
    <t>25O0131638</t>
  </si>
  <si>
    <t>https://maps.app.goo.gl/sz8kiAJqiR2mekjg8</t>
  </si>
  <si>
    <t>https://app.pdok.nl/viewer/#x=130684.57&amp;y=517154.04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</si>
  <si>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https://kaarten.hhnk.nl/portal/apps/experiencebuilder/experience/?id=51ae36990bf448248b105c8fbc9fbeb3&amp;page=page_8</t>
  </si>
  <si>
    <t>BT25V143 Almelo, Ary Schefferstraat</t>
  </si>
  <si>
    <t>25O0139927</t>
  </si>
  <si>
    <t>Jan Tooropstraat 53, 7606 JS Almelo</t>
  </si>
  <si>
    <t>https://app.pdok.nl/viewer/#x=240714.44&amp;y=484560.50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</si>
  <si>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BT25V141 Rheezerveen, Oldemeijerweg</t>
  </si>
  <si>
    <t>25O0138899</t>
  </si>
  <si>
    <t>Oldemeijerweg 4, 7797 RM Rheezerveen</t>
  </si>
  <si>
    <t>https://app.pdok.nl/viewer/#x=234814.67&amp;y=508927.14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</si>
  <si>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Hardenberg</t>
  </si>
  <si>
    <t>EN25V107 Biervliet, Driesprongweg</t>
  </si>
  <si>
    <t>25O0139925</t>
  </si>
  <si>
    <t>https://maps.app.goo.gl/pxJDSsgp36HbKmaN9</t>
  </si>
  <si>
    <t>https://app.pdok.nl/viewer/#x=36649.45&amp;y=370249.67&amp;z=13.5800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</si>
  <si>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https://experience.arcgis.com/experience/71d0ad9043bf442c91b7fd9bbc1f2e70/page/Page?views=Toelichting-kaart#data_s=id%3Awidget_18_output_config_0%3A0</t>
  </si>
  <si>
    <t>https://scheldestromen.maps.arcgis.com/apps/webappviewer/index.html?id=645fc46b232441c19c45e8b01a546e83</t>
  </si>
  <si>
    <t>https://experience.arcgis.com/experience/a134ba0db7404f348abb820e65f6ecb8/page/Page?views=Toelichting-kaart</t>
  </si>
  <si>
    <t>TM25V171 Diever, Ten Darperweg N855</t>
  </si>
  <si>
    <t>06-08 aanpassen. Wijzigingen vermeld in -0</t>
  </si>
  <si>
    <t>25O0139926</t>
  </si>
  <si>
    <t>Ten Darperweg 10, 7981 LX Diever</t>
  </si>
  <si>
    <t>https://app.pdok.nl/viewer/#x=216366.05&amp;y=542354.60&amp;z=11.4242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</si>
  <si>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Westerveld</t>
  </si>
  <si>
    <t>QG25V221 Bloemendaal, Rijperweg</t>
  </si>
  <si>
    <t>Intrede in private percel?</t>
  </si>
  <si>
    <t>25O0138513</t>
  </si>
  <si>
    <t>Rijperweg 22, 2061 BH Bloemendaal</t>
  </si>
  <si>
    <t>https://app.pdok.nl/viewer/#x=102381.00&amp;y=490635.00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</si>
  <si>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BT25V142 Moerkapelle, Noorddijk</t>
  </si>
  <si>
    <t>25O0139923</t>
  </si>
  <si>
    <t>Noorddijk 5, 2751 DK Moerkapelle</t>
  </si>
  <si>
    <t>https://app.pdok.nl/viewer/#x=98747.00&amp;y=452586.00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</si>
  <si>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https://experience.arcgis.com/experience/e4162895d005481ba26c8530c09b7f62#data_s=id%3AdataSource_7-195a35cd307-layer-19-195a35cd9cb-layer-21%3A39140</t>
  </si>
  <si>
    <t>Defensie Pijpleiding Organisatie: BGT+LS</t>
  </si>
  <si>
    <t>MM25V701 Stompetoren, Noordervaart</t>
  </si>
  <si>
    <t>25O0138514</t>
  </si>
  <si>
    <t>Noordervaart 52, 1841 HA Stompetoren</t>
  </si>
  <si>
    <t>https://app.pdok.nl/viewer/#x=117540.34&amp;y=513598.06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</si>
  <si>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RD25V331 Purmerend, Gedempte Where</t>
  </si>
  <si>
    <t xml:space="preserve">N235 + HHNK </t>
  </si>
  <si>
    <t>25O0137721</t>
  </si>
  <si>
    <t>https://maps.app.goo.gl/zVQMf3hu3M9wHwZFA</t>
  </si>
  <si>
    <t>https://app.pdok.nl/viewer/#x=125071.94&amp;y=502740.58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</si>
  <si>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KB25V352 Leeuwarden, Verbindingsweg</t>
  </si>
  <si>
    <t>Opdrachtgever?</t>
  </si>
  <si>
    <t>25O0137804</t>
  </si>
  <si>
    <t>https://maps.app.goo.gl/kd3WXz41VpeGmF1c6</t>
  </si>
  <si>
    <t>https://app.pdok.nl/viewer/#x=180385.40&amp;y=579915.71&amp;z=13.6670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</si>
  <si>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Leeuwarden</t>
  </si>
  <si>
    <t>TM25V170 Schagen, Witte Paal</t>
  </si>
  <si>
    <t>25O0125025</t>
  </si>
  <si>
    <t>Witte Paal 118, 1742 NW Schagen</t>
  </si>
  <si>
    <t>https://app.pdok.nl/viewer/#x=116059.47&amp;y=532300.19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</si>
  <si>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TM25V169 Rijssen, Enterstraat</t>
  </si>
  <si>
    <t>25O0137565</t>
  </si>
  <si>
    <t>https://maps.app.goo.gl/nk4pfLdCEqvPtXam9</t>
  </si>
  <si>
    <t>https://app.pdok.nl/viewer/#x=234166.26&amp;y=479392.51&amp;z=13.1415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</si>
  <si>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Rijssen-Holten</t>
  </si>
  <si>
    <t>TM25V168 Amsterdam, Scharenburg</t>
  </si>
  <si>
    <t>25O0137546</t>
  </si>
  <si>
    <t>Scharenburg 1, 1046 BZ Amsterdam</t>
  </si>
  <si>
    <t>https://app.pdok.nl/viewer/#x=113730.95&amp;y=490147.22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</si>
  <si>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ASP Beheer: BGI</t>
  </si>
  <si>
    <t>TM25V119 Amsterdam, Karspeldreef</t>
  </si>
  <si>
    <t>-03</t>
  </si>
  <si>
    <t>25G0583276</t>
  </si>
  <si>
    <t>Karspeldreef 16, 1101 CK Amsterdam</t>
  </si>
  <si>
    <t>https://app.pdok.nl/viewer/#x=125249.71&amp;y=479902.81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</si>
  <si>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Amsterdam</t>
  </si>
  <si>
    <t>VU25V104 Zwijndrecht, Ter Steeghe Ring</t>
  </si>
  <si>
    <t>VU</t>
  </si>
  <si>
    <t>25O0137524</t>
  </si>
  <si>
    <t>Ter Steeghe Ring 5, 3331 LX Zwijndrecht</t>
  </si>
  <si>
    <t>https://app.pdok.nl/viewer/#x=102661.65&amp;y=426830.73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</si>
  <si>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Gem. Zwijndrecht</t>
  </si>
  <si>
    <t>RD25V354 Schermerhorn, Over de Leij (HDD3)</t>
  </si>
  <si>
    <t>25O0023826</t>
  </si>
  <si>
    <t>Over de Leij 2, 1636 VM Schermerhorn</t>
  </si>
  <si>
    <t>https://app.pdok.nl/viewer/#x=121057.63&amp;y=512686.99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</si>
  <si>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VV25V310 Tilburg, N261</t>
  </si>
  <si>
    <t>Graag uitwerken</t>
  </si>
  <si>
    <t>25O0137515</t>
  </si>
  <si>
    <t>Midden-Brabantweg, 5049 TE Loon op Zand</t>
  </si>
  <si>
    <t>https://app.pdok.nl/viewer/#x=133178.78&amp;y=401797.50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</si>
  <si>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KB25V351 Marken, Buurterstraat</t>
  </si>
  <si>
    <t>25G0643377</t>
  </si>
  <si>
    <t>Buurterstraat 45, 1156 AR Marken</t>
  </si>
  <si>
    <t>https://app.pdok.nl/viewer/#x=135876.34&amp;y=496699.26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</si>
  <si>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https://www.hhnk.nl/legger-wateren</t>
  </si>
  <si>
    <t>https://www.hhnk.nl/peilbesluiten</t>
  </si>
  <si>
    <t>3D25V700 Haarlem (HDD29-30)</t>
  </si>
  <si>
    <t>25O0136990</t>
  </si>
  <si>
    <t>3D25V700 Haarlem (HDD28)</t>
  </si>
  <si>
    <t>Werkplan voorbereiden op basis van plan HDD10</t>
  </si>
  <si>
    <t>25O0136989</t>
  </si>
  <si>
    <t>https://app.pdok.nl/viewer/#x=103840.68&amp;y=490879.58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</si>
  <si>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KLIC ontbreekt en logo DMMB: Zullen we dat automatiseren?</t>
  </si>
  <si>
    <t>3D25V700 Haarlem (HDD24-25)</t>
  </si>
  <si>
    <t>-25 In18, Rin40, Rl80, Rr80, Ruit40, Uit24 en 8 diep</t>
  </si>
  <si>
    <t>25O0136987</t>
  </si>
  <si>
    <t>https://app.pdok.nl/viewer/#x=104835.24&amp;y=490513.81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</si>
  <si>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r>
      <rPr>
        <rFont val="Arial"/>
        <color rgb="FF000000"/>
      </rPr>
      <t>3D25V700 Haarlem (HDD23</t>
    </r>
    <r>
      <rPr>
        <rFont val="Arial"/>
        <color rgb="FF000000"/>
      </rPr>
      <t>&amp;31) (23B wordt -31)</t>
    </r>
  </si>
  <si>
    <t>The werkplan.docx (2x) are prepared</t>
  </si>
  <si>
    <t>25O0136983</t>
  </si>
  <si>
    <t>https://app.pdok.nl/viewer/#x=104847.48&amp;y=491637.17&amp;z=12.4814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</si>
  <si>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r>
      <rPr>
        <rFont val="Arial"/>
        <color rgb="FF000000"/>
      </rPr>
      <t>3D25V700 Haarlem (HDD22</t>
    </r>
    <r>
      <rPr>
        <rFont val="Arial"/>
        <color rgb="FF000000"/>
      </rPr>
      <t>A en evt. alternatief B)</t>
    </r>
  </si>
  <si>
    <t>zie kkadmin_2dwg HDD22B.dwg</t>
  </si>
  <si>
    <t>25O0132398</t>
  </si>
  <si>
    <t>https://app.pdok.nl/viewer/#x=104816.51&amp;y=492368.16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</si>
  <si>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3D25V700 Haarlem (HDD21)</t>
  </si>
  <si>
    <t>The werkplan.docx is prepared /// The design is delivered (29-9)</t>
  </si>
  <si>
    <t>25O0132394</t>
  </si>
  <si>
    <t>https://app.pdok.nl/viewer/#x=105195.70&amp;y=491410.41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</si>
  <si>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3D25V700 Haarlem (HDD19-20)</t>
  </si>
  <si>
    <t>The werkplan.docx is prepared /// The designs are delivered (29-9)</t>
  </si>
  <si>
    <t>25O0132389</t>
  </si>
  <si>
    <t>https://app.pdok.nl/viewer/#x=105137.20&amp;y=491215.47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</si>
  <si>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3D25V700 Haarlem (HDD16)</t>
  </si>
  <si>
    <t>CONCEPT graag uitwerken</t>
  </si>
  <si>
    <t>25O0136978</t>
  </si>
  <si>
    <t>https://app.pdok.nl/viewer/#x=105157.59&amp;y=490889.86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</si>
  <si>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3D25V700 Haarlem (HDD13)</t>
  </si>
  <si>
    <t>26O0033496</t>
  </si>
  <si>
    <t>https://maps.app.goo.gl/pTSMa6i6frEjE3yC8</t>
  </si>
  <si>
    <t>https://app.pdok.nl/viewer/#x=103597.91&amp;y=489282.51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</si>
  <si>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https://rijnland.maps.arcgis.com/apps/webappviewer/index.html?id=354c405809234724b839558ed8bc1a9e</t>
  </si>
  <si>
    <t>https://rijnland.maps.arcgis.com/apps/webappviewer/index.html?id=25694eb316fc45e08a47413f80ae8f9f</t>
  </si>
  <si>
    <t>rev.1 Uittrede korter en ook weer in fietspad</t>
  </si>
  <si>
    <t>https://rijnland.maps.arcgis.com/apps/MinimalGallery/index.html?appid=24180ed35ccf40a7829334b391816442#viewer=5469a9663c5e4643b10efe6da9a15ae2</t>
  </si>
  <si>
    <t>3D25V700 Haarlem (HDD11)</t>
  </si>
  <si>
    <t>25O0136974</t>
  </si>
  <si>
    <t>https://maps.app.goo.gl/QNtNwuXJBga7WiHs7</t>
  </si>
  <si>
    <t>https://app.pdok.nl/viewer/#x=103993.51&amp;y=489299.87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</t>
  </si>
  <si>
    <t>3D25V700 Haarlem (HDD11-12)</t>
  </si>
  <si>
    <t>12-rev.1 nieuwe lijn + extra buis en HDD11-rev.1 same lijn + minder diep</t>
  </si>
  <si>
    <t>Gem. Haarlem (OVG)</t>
  </si>
  <si>
    <t xml:space="preserve">Subtotaal aantal </t>
  </si>
  <si>
    <t>Boringen</t>
  </si>
  <si>
    <t>Nanodrills</t>
  </si>
  <si>
    <t>Boogzinkers</t>
  </si>
  <si>
    <t>Werkplannen</t>
  </si>
  <si>
    <t>Order date</t>
  </si>
  <si>
    <t>week</t>
  </si>
  <si>
    <t>Boring</t>
  </si>
  <si>
    <t>Nano</t>
  </si>
  <si>
    <t>BZ</t>
  </si>
  <si>
    <t>Lengteberekening</t>
  </si>
  <si>
    <t>Nid's note</t>
  </si>
  <si>
    <t>Martien's note</t>
  </si>
  <si>
    <t>Iza's note</t>
  </si>
  <si>
    <t>Lucas' note</t>
  </si>
  <si>
    <t>RD26R011</t>
  </si>
  <si>
    <t>3D26R011</t>
  </si>
  <si>
    <t>BT26R010</t>
  </si>
  <si>
    <r>
      <rPr>
        <rFont val="Arial"/>
        <b/>
        <color rgb="FFFF0000"/>
      </rPr>
      <t>Liander</t>
    </r>
    <r>
      <rPr>
        <rFont val="Arial"/>
        <color theme="1"/>
      </rPr>
      <t xml:space="preserve"> -01 &amp; -03</t>
    </r>
  </si>
  <si>
    <t>RD26R010</t>
  </si>
  <si>
    <t>3D26R010</t>
  </si>
  <si>
    <t>5+1</t>
  </si>
  <si>
    <t>-06 (Amsterdam  Burgemeester van de Pollstraat)</t>
  </si>
  <si>
    <t>KB26R010</t>
  </si>
  <si>
    <t>HDD1-7 &amp; 9 are HDD /// HDD8&amp;10 are Nano (for Liander)</t>
  </si>
  <si>
    <t>BT26R009</t>
  </si>
  <si>
    <t>RD26R009</t>
  </si>
  <si>
    <r>
      <rPr>
        <rFont val="Arial"/>
        <color theme="1"/>
      </rPr>
      <t xml:space="preserve">02-04: Drilling report from </t>
    </r>
    <r>
      <rPr>
        <rFont val="Arial"/>
        <b/>
        <color rgb="FFFF0000"/>
      </rPr>
      <t>Drillguide WST</t>
    </r>
    <r>
      <rPr>
        <rFont val="Arial"/>
        <color theme="1"/>
      </rPr>
      <t xml:space="preserve"> (update the OPMERKINGEN field)</t>
    </r>
  </si>
  <si>
    <t>3D26R008</t>
  </si>
  <si>
    <t>RD26R008</t>
  </si>
  <si>
    <r>
      <rPr>
        <rFont val="Arial"/>
        <color theme="1"/>
      </rPr>
      <t xml:space="preserve">Drilling report from </t>
    </r>
    <r>
      <rPr>
        <rFont val="Arial"/>
        <b/>
        <color rgb="FFFF0000"/>
      </rPr>
      <t>Drillguide WST</t>
    </r>
    <r>
      <rPr>
        <rFont val="Arial"/>
        <color theme="1"/>
      </rPr>
      <t xml:space="preserve"> (update the OPMERKINGEN field)</t>
    </r>
  </si>
  <si>
    <t>BT26R008</t>
  </si>
  <si>
    <t>-02 and -03 please update based on Patricia's mail</t>
  </si>
  <si>
    <t>BT26R007</t>
  </si>
  <si>
    <t>RD26R007</t>
  </si>
  <si>
    <r>
      <rPr>
        <rFont val="Arial"/>
        <color theme="1"/>
      </rPr>
      <t xml:space="preserve">machine: </t>
    </r>
    <r>
      <rPr>
        <rFont val="Arial"/>
        <b/>
        <color rgb="FFFF0000"/>
      </rPr>
      <t>Terra-Jet DJ40</t>
    </r>
  </si>
  <si>
    <t>BT26R006</t>
  </si>
  <si>
    <r>
      <rPr>
        <rFont val="Arial"/>
        <color theme="1"/>
      </rPr>
      <t>aanpassen in -12 t/m -16</t>
    </r>
    <r>
      <rPr>
        <rFont val="Arial"/>
        <b/>
        <color rgb="FFFF0000"/>
      </rPr>
      <t xml:space="preserve"> Liander</t>
    </r>
  </si>
  <si>
    <t>3D26R007</t>
  </si>
  <si>
    <t>3D26R006</t>
  </si>
  <si>
    <t>3D26R005</t>
  </si>
  <si>
    <t>BT26R005</t>
  </si>
  <si>
    <t>RD26R005</t>
  </si>
  <si>
    <t>Gyro</t>
  </si>
  <si>
    <t>3D26R004</t>
  </si>
  <si>
    <t>RD26R003</t>
  </si>
  <si>
    <t>3D26R003</t>
  </si>
  <si>
    <t>3D26R002</t>
  </si>
  <si>
    <t>Abcoude HDD2 GPS file is missing</t>
  </si>
  <si>
    <t>BT25R051</t>
  </si>
  <si>
    <t>RD25R050</t>
  </si>
  <si>
    <t>3D25R051</t>
  </si>
  <si>
    <t>3D25R050</t>
  </si>
  <si>
    <t>01-05 ingediend</t>
  </si>
  <si>
    <t>BT25R050</t>
  </si>
  <si>
    <t>BT25R049</t>
  </si>
  <si>
    <t>3D25R049</t>
  </si>
  <si>
    <t>RD25R048</t>
  </si>
  <si>
    <t>BT25R048</t>
  </si>
  <si>
    <t>3D25R048</t>
  </si>
  <si>
    <t>BT25R047</t>
  </si>
  <si>
    <t>01-04 are delivered /// 05 is done</t>
  </si>
  <si>
    <t>3D25R047</t>
  </si>
  <si>
    <t>RD25R046</t>
  </si>
  <si>
    <t>BT25R046</t>
  </si>
  <si>
    <t>RD25R045</t>
  </si>
  <si>
    <t>3D25R046</t>
  </si>
  <si>
    <t>BT25R045</t>
  </si>
  <si>
    <t>3D25R045</t>
  </si>
  <si>
    <t>BT25R044</t>
  </si>
  <si>
    <t>3D25R044</t>
  </si>
  <si>
    <t>RD25R044</t>
  </si>
  <si>
    <t>BT25R043</t>
  </si>
  <si>
    <t>04-rev.1  is done</t>
  </si>
  <si>
    <t>3D25R043</t>
  </si>
  <si>
    <t>TM25R043</t>
  </si>
  <si>
    <t>RD25R042</t>
  </si>
  <si>
    <t>I skipped this one &gt;&lt;"</t>
  </si>
  <si>
    <t>KB25R042</t>
  </si>
  <si>
    <t>BT25R042</t>
  </si>
  <si>
    <t xml:space="preserve">04: I could not select 3D boorlijn  </t>
  </si>
  <si>
    <t>3D25R042</t>
  </si>
  <si>
    <t>01-03 are delivered</t>
  </si>
  <si>
    <t>BT25RN41</t>
  </si>
  <si>
    <t>RD25R041</t>
  </si>
  <si>
    <t>01-02 are delivered</t>
  </si>
  <si>
    <t>3D25R041</t>
  </si>
  <si>
    <t>RD25R040</t>
  </si>
  <si>
    <t>BT25R040</t>
  </si>
  <si>
    <t>BT25R039</t>
  </si>
  <si>
    <t>3D25R040</t>
  </si>
  <si>
    <t>RD25R039</t>
  </si>
  <si>
    <t>BT25R038</t>
  </si>
  <si>
    <t>3D25R039</t>
  </si>
  <si>
    <t>3D25R038</t>
  </si>
  <si>
    <t>BT25R037</t>
  </si>
  <si>
    <t>RD25R038</t>
  </si>
  <si>
    <t>PRIO -02</t>
  </si>
  <si>
    <t>KB25R037</t>
  </si>
  <si>
    <t>RD25R037</t>
  </si>
  <si>
    <t>3D25R037</t>
  </si>
  <si>
    <t>BT25R036</t>
  </si>
  <si>
    <t>BT25R035</t>
  </si>
  <si>
    <t>3D25R036</t>
  </si>
  <si>
    <t xml:space="preserve">-09 Excel file </t>
  </si>
  <si>
    <t>RD25R036</t>
  </si>
  <si>
    <t>3D25R035</t>
  </si>
  <si>
    <t>RD25R035</t>
  </si>
  <si>
    <t>01&amp;02 Excel file</t>
  </si>
  <si>
    <t>BT25R034</t>
  </si>
  <si>
    <t>RD25R034</t>
  </si>
  <si>
    <t>02 Excel file</t>
  </si>
  <si>
    <t>3D25R034</t>
  </si>
  <si>
    <t>RD25R033</t>
  </si>
  <si>
    <t>01 is delivered</t>
  </si>
  <si>
    <t>RD25R032</t>
  </si>
  <si>
    <t>-08: added 14 stang, delivery pending reply R&amp;D</t>
  </si>
  <si>
    <t>CC25R028</t>
  </si>
  <si>
    <t>CC</t>
  </si>
  <si>
    <t>3D25R030</t>
  </si>
  <si>
    <t>BT25R030</t>
  </si>
  <si>
    <t>BT25R029</t>
  </si>
  <si>
    <t>RD25R029</t>
  </si>
  <si>
    <t>3D25R029</t>
  </si>
  <si>
    <t>BT25R028</t>
  </si>
  <si>
    <t>RD25R028</t>
  </si>
  <si>
    <t>Can you check the Excel file for -02?</t>
  </si>
  <si>
    <t>3D25R028</t>
  </si>
  <si>
    <t xml:space="preserve">Can you check the Excel file for -01? </t>
  </si>
  <si>
    <t>BT25R027</t>
  </si>
  <si>
    <r>
      <rPr>
        <rFont val="Arial"/>
        <color theme="1"/>
      </rPr>
      <t>-05 is done</t>
    </r>
    <r>
      <rPr>
        <rFont val="Arial"/>
        <b val="0"/>
        <color rgb="FF000000"/>
      </rPr>
      <t xml:space="preserve"> ///  -05: Er staat geen diepteligging in het GPS-bestand; het bevat alleen het intrede- en uittredepunt</t>
    </r>
  </si>
  <si>
    <t>CC25R027</t>
  </si>
  <si>
    <t>RD25R027</t>
  </si>
  <si>
    <t>08-09 are done /// 01-07 are submitted</t>
  </si>
  <si>
    <t>3D24R027</t>
  </si>
  <si>
    <t>01-07 are done /// 08 Amstelveen kngf 2x63 (waiting for the DrillApp file)</t>
  </si>
  <si>
    <t>BT25R026</t>
  </si>
  <si>
    <t>RD25R026</t>
  </si>
  <si>
    <t>01 is done /// 02-04 are delivered</t>
  </si>
  <si>
    <t>3D25R026</t>
  </si>
  <si>
    <t>-05 is done /// 01-04 are submitted</t>
  </si>
  <si>
    <t>BT25R025</t>
  </si>
  <si>
    <t>deel1: 01(BTL20250606M1) &amp; 02(BTL20251206M1) are done</t>
  </si>
  <si>
    <t>3D25R025</t>
  </si>
  <si>
    <t>RD25R025</t>
  </si>
  <si>
    <t>-03-rev.1 is done</t>
  </si>
  <si>
    <t>3D25R024</t>
  </si>
  <si>
    <t xml:space="preserve">03: onbekende opdrachtgever </t>
  </si>
  <si>
    <t>BT25R024</t>
  </si>
  <si>
    <t>BT25R023</t>
  </si>
  <si>
    <t>RD25R024</t>
  </si>
  <si>
    <t>9x HDPE = 6xØ50 PE + 3x Ø40 PE</t>
  </si>
  <si>
    <t>BT25R022</t>
  </si>
  <si>
    <t>3D25R023</t>
  </si>
  <si>
    <t>RD25R023</t>
  </si>
  <si>
    <t>8x HDPE = 6xØ50 PE + 2x Ø40 PE</t>
  </si>
  <si>
    <t>3D25R022</t>
  </si>
  <si>
    <t>-02, -03, -06 (excel files)</t>
  </si>
  <si>
    <t>BT25R021</t>
  </si>
  <si>
    <t>3D25R021</t>
  </si>
  <si>
    <t>-04 (excel file)</t>
  </si>
  <si>
    <t>RD25R021</t>
  </si>
  <si>
    <t>Materiaal aanpassen bij -01 ÷-13</t>
  </si>
  <si>
    <t>3D25R020</t>
  </si>
  <si>
    <t>-03: check note in the email</t>
  </si>
  <si>
    <t>BT25R020</t>
  </si>
  <si>
    <t>03-rev.1  is done</t>
  </si>
  <si>
    <t>BT25R019</t>
  </si>
  <si>
    <t>06-08 are done /// 01-05 are delivered</t>
  </si>
  <si>
    <t>3D25R019</t>
  </si>
  <si>
    <t>BT25R018</t>
  </si>
  <si>
    <t>3D25R018</t>
  </si>
  <si>
    <t>-03 is done</t>
  </si>
  <si>
    <t>BT25R017</t>
  </si>
  <si>
    <t>3D25R017</t>
  </si>
  <si>
    <t>deel 2 is delivered (but not -01)</t>
  </si>
  <si>
    <t>BT24R016</t>
  </si>
  <si>
    <t>3D25R016</t>
  </si>
  <si>
    <t>BT25R015</t>
  </si>
  <si>
    <t>3D25R015</t>
  </si>
  <si>
    <t>BT25R014</t>
  </si>
  <si>
    <t>3D25R014</t>
  </si>
  <si>
    <t>BT25R013</t>
  </si>
  <si>
    <t>3D25R013</t>
  </si>
  <si>
    <t>3D25R012</t>
  </si>
  <si>
    <t>BT25R012</t>
  </si>
  <si>
    <t>-04</t>
  </si>
  <si>
    <t>BT25R011</t>
  </si>
  <si>
    <t>3D25R011</t>
  </si>
  <si>
    <r>
      <rPr>
        <color rgb="FF1155CC"/>
        <u/>
      </rPr>
      <t>-</t>
    </r>
    <r>
      <rPr>
        <color rgb="FF1155CC"/>
        <u/>
      </rPr>
      <t>04 Opdrachtgever / please check the excel files for 06-07</t>
    </r>
  </si>
  <si>
    <t>BT25R010</t>
  </si>
  <si>
    <t>3D25R010</t>
  </si>
  <si>
    <t>-08 please check the excel file</t>
  </si>
  <si>
    <t>BT25R009</t>
  </si>
  <si>
    <t>3D25R009</t>
  </si>
  <si>
    <t>3D25R008</t>
  </si>
  <si>
    <t>BT25R008</t>
  </si>
  <si>
    <t>deel1</t>
  </si>
  <si>
    <t>BT25R007</t>
  </si>
  <si>
    <t>3D24R007</t>
  </si>
  <si>
    <t>-07</t>
  </si>
  <si>
    <t>BT25R006</t>
  </si>
  <si>
    <t>3D24R006</t>
  </si>
  <si>
    <t>KB25R006</t>
  </si>
  <si>
    <t>NV24R006</t>
  </si>
  <si>
    <t>NV</t>
  </si>
  <si>
    <t>BT25R005</t>
  </si>
  <si>
    <t>3D25R005</t>
  </si>
  <si>
    <t>KB25R005</t>
  </si>
  <si>
    <t>BT25R004</t>
  </si>
  <si>
    <t>3D25R004</t>
  </si>
  <si>
    <t xml:space="preserve"> 05 is done (new client) /// 01-04 are delivered</t>
  </si>
  <si>
    <t>KB25R004</t>
  </si>
  <si>
    <t>BT25R003</t>
  </si>
  <si>
    <t>BT25R002</t>
  </si>
  <si>
    <t>3D25R003</t>
  </si>
  <si>
    <t>KB25R002</t>
  </si>
  <si>
    <t>-01</t>
  </si>
  <si>
    <t>3D25R002</t>
  </si>
  <si>
    <t>BT24R051</t>
  </si>
  <si>
    <t xml:space="preserve">-05 foutieve gps intredepunten </t>
  </si>
  <si>
    <t>CC24R046</t>
  </si>
  <si>
    <t>-16 (and also Afwijking GPS-tabel 135.1%)</t>
  </si>
  <si>
    <t>CC24R023</t>
  </si>
  <si>
    <t xml:space="preserve">-16   </t>
  </si>
  <si>
    <t>-01 check</t>
  </si>
  <si>
    <t>CC24E047</t>
  </si>
  <si>
    <t>Afwijking GPS-tabel 134.7%</t>
  </si>
  <si>
    <t>No Datainvulsheet provided... recieved 9-12-2024</t>
  </si>
  <si>
    <t>CC24R050</t>
  </si>
  <si>
    <t>-02 rare knik in boorprofiel,</t>
  </si>
  <si>
    <t>KB24R051</t>
  </si>
  <si>
    <t>-04, -07</t>
  </si>
  <si>
    <t>3D24R051</t>
  </si>
  <si>
    <t>3D24R050</t>
  </si>
  <si>
    <t>BT24R050</t>
  </si>
  <si>
    <t>EU type files; Check diameters, deze komen niet overeen met de gegevens in de MarXact files. -07, -09,-10, -11 gps file??</t>
  </si>
  <si>
    <t>TM24R049</t>
  </si>
  <si>
    <t>3D24R049</t>
  </si>
  <si>
    <t>-01 aparte waardes -04 heel veel verschil met voorstel</t>
  </si>
  <si>
    <t>KB24R049</t>
  </si>
  <si>
    <t>BT24R049</t>
  </si>
  <si>
    <t>CC24R047</t>
  </si>
  <si>
    <t>CC24R045</t>
  </si>
  <si>
    <t>-05</t>
  </si>
  <si>
    <t>Graag de tweede maatvoering nog toevoegen</t>
  </si>
  <si>
    <t>RD24R048</t>
  </si>
  <si>
    <t>BT24R048</t>
  </si>
  <si>
    <t>-01 kijkje doen</t>
  </si>
  <si>
    <t>3D24R048</t>
  </si>
  <si>
    <t>-03 check nodig</t>
  </si>
  <si>
    <t>KB24R048</t>
  </si>
  <si>
    <t>Alles checken graag. Zowel alle XLSX bestanden...</t>
  </si>
  <si>
    <t>TM24R048</t>
  </si>
  <si>
    <t>BT24R047</t>
  </si>
  <si>
    <t>-03 nog graag gecheckt laten worden. -04 Hoekcorrectie check. -05 is de hele import sheet corrupt vanwege de .csv file data...</t>
  </si>
  <si>
    <t>RD24R047</t>
  </si>
  <si>
    <t>3D24R047</t>
  </si>
  <si>
    <t>KB24R047</t>
  </si>
  <si>
    <t>TM24R047</t>
  </si>
  <si>
    <t>TM24R046</t>
  </si>
  <si>
    <t>-13 moet gescript worden, echter foutmelding.</t>
  </si>
  <si>
    <t>KB24R046</t>
  </si>
  <si>
    <t>BT24R046</t>
  </si>
  <si>
    <t>3D24R046</t>
  </si>
  <si>
    <t>RD24R045</t>
  </si>
  <si>
    <t>3D24R045</t>
  </si>
  <si>
    <t>TM24R045</t>
  </si>
  <si>
    <t>-01 (did not save DWG.)</t>
  </si>
  <si>
    <t>KB24R045</t>
  </si>
  <si>
    <t>-03, -20 (Boordata&amp;calcs)</t>
  </si>
  <si>
    <t>HV24R045</t>
  </si>
  <si>
    <t>HV</t>
  </si>
  <si>
    <t>BT24R045</t>
  </si>
  <si>
    <t>NV24R045</t>
  </si>
  <si>
    <t>Nano: -02 (deleted 9 stang), -05 (DataLog file), -22 tot -25 hebben geen DataLog bestanden</t>
  </si>
  <si>
    <t>BH24R044</t>
  </si>
  <si>
    <t>BH</t>
  </si>
  <si>
    <t>BT24R044</t>
  </si>
  <si>
    <t>3D24R044</t>
  </si>
  <si>
    <t>FW_ Schiphol_vanaf Pelikaanweg onder 2rijbanen door_Report_pdf</t>
  </si>
  <si>
    <t>HV24R044</t>
  </si>
  <si>
    <t>Nano: -03 toegevoegd middelpunt</t>
  </si>
  <si>
    <t>RD24R044</t>
  </si>
  <si>
    <t>4131022 - Kolhorn - Ansjoviskade Ø110 SDR11</t>
  </si>
  <si>
    <t>TM24R044</t>
  </si>
  <si>
    <t>-03: I have already checked the MV level</t>
  </si>
  <si>
    <t>KB24R044</t>
  </si>
  <si>
    <t>-06</t>
  </si>
  <si>
    <t>TM24R043</t>
  </si>
  <si>
    <t>HV24R043</t>
  </si>
  <si>
    <t>Nano: -31 is in Belgie gebied</t>
  </si>
  <si>
    <t>BT24R043</t>
  </si>
  <si>
    <t>-07 heeft geen GPS bestand ( I estimated for the diameter)</t>
  </si>
  <si>
    <t>CC24R043</t>
  </si>
  <si>
    <t xml:space="preserve">Afwijking GPS-tabel: -06(71.7%), -30(77.7%)  </t>
  </si>
  <si>
    <t>KB24R043</t>
  </si>
  <si>
    <t>RD24R043</t>
  </si>
  <si>
    <t>HDD: -02</t>
  </si>
  <si>
    <t>NV24R040</t>
  </si>
  <si>
    <t>HV24R042</t>
  </si>
  <si>
    <t>BZ: 01-09 are delivered, -10 is done /// Nano: -27 (I assumed the diameter of the pipe and the depth for S02)</t>
  </si>
  <si>
    <t>BT24R042</t>
  </si>
  <si>
    <t xml:space="preserve">   </t>
  </si>
  <si>
    <t>3D24R042</t>
  </si>
  <si>
    <t>KB24R042</t>
  </si>
  <si>
    <t>HDD: 01-08 are delivered, 09-11  are done</t>
  </si>
  <si>
    <t>TM24R042</t>
  </si>
  <si>
    <t>deel 1 + deel 2</t>
  </si>
  <si>
    <t>CC24R041</t>
  </si>
  <si>
    <t>RD24R041</t>
  </si>
  <si>
    <t xml:space="preserve">-04 </t>
  </si>
  <si>
    <t>HV24R041</t>
  </si>
  <si>
    <t xml:space="preserve">BZ: 01-09 are delivered, 10-14 are done  /// Nano: 01-14 are delivered, 15-17 are </t>
  </si>
  <si>
    <t>3D24R041</t>
  </si>
  <si>
    <t>-03 has a strange DataLog file</t>
  </si>
  <si>
    <t>KB24R041</t>
  </si>
  <si>
    <t>HDD: -01 (GPS file has no intredepunt, I didn't save dwg. file), -02,-03&amp;-05 (both side are uitredepunt in GPS file) /// Nano: -06</t>
  </si>
  <si>
    <t>BT24R041</t>
  </si>
  <si>
    <t>HV24R040</t>
  </si>
  <si>
    <t xml:space="preserve">Nano: 01-15 are delivered, -16 (Emil) is done /// BZ: 01-10 are delivered, -11 (Nazimov) is done </t>
  </si>
  <si>
    <t>Van de -07, -12 en -13 ontvangen we graag nog jouw reactie na controle.</t>
  </si>
  <si>
    <t>3D24R040</t>
  </si>
  <si>
    <t>Nieuw opdrachtgever: -09, -10</t>
  </si>
  <si>
    <t xml:space="preserve">     </t>
  </si>
  <si>
    <t>KB24R040</t>
  </si>
  <si>
    <t xml:space="preserve">HDD: -06, Nieuw opdrachtgever: -01, -02, -03 ///  Nano: '-05 (I did not measured the distance from the building to HDD) </t>
  </si>
  <si>
    <t>TM24R040</t>
  </si>
  <si>
    <t>Martien: Maak die van Ermelo eerst maar gewoon, dan laat ik wel zien wat te bedoeling is met het haakje.</t>
  </si>
  <si>
    <t>BT24R039</t>
  </si>
  <si>
    <t>CC24R039</t>
  </si>
  <si>
    <t xml:space="preserve">Afwijking GPS-tabel: -03 155%, -21 68%, -22 66.8%, -33 132% </t>
  </si>
  <si>
    <t>NV24R039</t>
  </si>
  <si>
    <t>-05 heeft geen DataLog file</t>
  </si>
  <si>
    <t>HV24R039</t>
  </si>
  <si>
    <t>Nano: 01-28 are delivered, 29 is done (Gunay team added it on 10-10-2024)</t>
  </si>
  <si>
    <t>3D24R039</t>
  </si>
  <si>
    <t>KB24R039</t>
  </si>
  <si>
    <t xml:space="preserve">-04: I did not measured the distance from the building to HDD </t>
  </si>
  <si>
    <t>NV24R038</t>
  </si>
  <si>
    <t>Nid, this one was on status 'Done', but I dont see any rev in the folder.... Nano: -02 heeft geen DataLog file</t>
  </si>
  <si>
    <t>BT24R038</t>
  </si>
  <si>
    <t>-04-rev.0 is done /// missing intredepunt, it starts with Kantweg dieptepunt</t>
  </si>
  <si>
    <t>3D24R038</t>
  </si>
  <si>
    <t>TM24R038</t>
  </si>
  <si>
    <t>Wissekerkseweg 9, 4458 SH 's-Heer Arendskerke</t>
  </si>
  <si>
    <t>KB24R038</t>
  </si>
  <si>
    <t>HDD: 01-04 are delivered, -15 is done (no GPS file) /// Nano: -12 (delete 6 stang)</t>
  </si>
  <si>
    <t>HV24R038</t>
  </si>
  <si>
    <t>BZ: -01-03 (Afwijking GPS-tabel = 130%+) /// all done, except -04</t>
  </si>
  <si>
    <t>CC24R038</t>
  </si>
  <si>
    <t>RD24R037</t>
  </si>
  <si>
    <t>NV24R037</t>
  </si>
  <si>
    <t>HV24R037</t>
  </si>
  <si>
    <t xml:space="preserve">Nano: 01-20 are delivered / -21 (Gunay) &amp; -22 (achterstallig_inmeten) /// please remind them about Gunay </t>
  </si>
  <si>
    <t>Nid, voor Gunay ontbreken de P waarden, dat zijn dus boogzinkers. De 20 revs zijn dus wel alle nano's?</t>
  </si>
  <si>
    <t>BT24R037</t>
  </si>
  <si>
    <t>3D24R037</t>
  </si>
  <si>
    <t>Client MOLL toegevoegd (Nid: done)</t>
  </si>
  <si>
    <t>KB24R037</t>
  </si>
  <si>
    <t>HDD: -01 (GPS file has two Uittredepunt) /// Nano: -07 (added 7 stang), -11</t>
  </si>
  <si>
    <t>TM24R036</t>
  </si>
  <si>
    <t>01 is delivered /// check -02, -06, -09, -10(!!!), -11, -12</t>
  </si>
  <si>
    <t>HV24R036</t>
  </si>
  <si>
    <t xml:space="preserve">BZ: 01 - 14 are delivered </t>
  </si>
  <si>
    <t>BT24R036</t>
  </si>
  <si>
    <t>3D24R036</t>
  </si>
  <si>
    <t xml:space="preserve">01-07 are delivered (+2 Oude Niedorp) </t>
  </si>
  <si>
    <t>KB24R036</t>
  </si>
  <si>
    <t>NV24R036</t>
  </si>
  <si>
    <t>-05, -06 /// +2 oude projecten BZ19 &amp;BZ13</t>
  </si>
  <si>
    <t>HV24R035</t>
  </si>
  <si>
    <t>BT24R035</t>
  </si>
  <si>
    <t>-02 &amp; -03 have the Kangtweg with no depth. Should I change the last stang less depht for -04? to make it look better</t>
  </si>
  <si>
    <t>3D24R035</t>
  </si>
  <si>
    <t>-03,-04</t>
  </si>
  <si>
    <t>NV24R035</t>
  </si>
  <si>
    <t>KB24R035</t>
  </si>
  <si>
    <t>HDD: -02 /// Nano: -08</t>
  </si>
  <si>
    <t>HV24R034</t>
  </si>
  <si>
    <t xml:space="preserve">BZ: 01-13 are delivered ///  14-16 are done </t>
  </si>
  <si>
    <t>3D24R034</t>
  </si>
  <si>
    <t>NV24R034</t>
  </si>
  <si>
    <t>-02 &amp; -03</t>
  </si>
  <si>
    <t>KB24R033</t>
  </si>
  <si>
    <t>-07 &amp; -08</t>
  </si>
  <si>
    <t>HV24R033</t>
  </si>
  <si>
    <t>NV24R033</t>
  </si>
  <si>
    <t>HV24R032</t>
  </si>
  <si>
    <t>KB24R031</t>
  </si>
  <si>
    <t>BT24R031</t>
  </si>
  <si>
    <t>HV24V030</t>
  </si>
  <si>
    <t xml:space="preserve">Nano: Emil 5 + Peter 4 /// BZ: Nazimov 3 + Shota 1 + 1 from Peter Nano </t>
  </si>
  <si>
    <t>HV24R031</t>
  </si>
  <si>
    <t>Week_31_shota_.csv (2BZ, 2nano, 1 not complete measurement)</t>
  </si>
  <si>
    <t>NV24R031</t>
  </si>
  <si>
    <t>intredepunt op de straat</t>
  </si>
  <si>
    <t>BT24R030</t>
  </si>
  <si>
    <t>3D24R043</t>
  </si>
  <si>
    <t>-05: Opdrachtgever is different from 3D24V505</t>
  </si>
  <si>
    <t>KB24R030</t>
  </si>
  <si>
    <t xml:space="preserve">The RevisionsWeekList file is prepared </t>
  </si>
  <si>
    <t>3D24R030</t>
  </si>
  <si>
    <t>NV24R030</t>
  </si>
  <si>
    <t>TM24R029</t>
  </si>
  <si>
    <t>HV24R029</t>
  </si>
  <si>
    <t>BZ-11&amp;12 nog te doen na ontvangst uittredepunt; Nano: 1x update BGT Peter week 28; 2x Hilstraat na ontvangst ontbrekende data</t>
  </si>
  <si>
    <t>3D24R029</t>
  </si>
  <si>
    <t>NV24R029</t>
  </si>
  <si>
    <t>KB24R029</t>
  </si>
  <si>
    <t>TM24R028</t>
  </si>
  <si>
    <t>BT24R029</t>
  </si>
  <si>
    <t>RD24R029</t>
  </si>
  <si>
    <t>4131012 HDD3 Mienterglop De Koog / 4131012 Mientrglop De Koog HDD4</t>
  </si>
  <si>
    <t>NV24R028</t>
  </si>
  <si>
    <t>HV24R028</t>
  </si>
  <si>
    <t xml:space="preserve">Nano: Rafi (5+1)+ Bertie (14) + Emil (18)+ Peter(4+3 extra with missing some data) </t>
  </si>
  <si>
    <t>KB24R028</t>
  </si>
  <si>
    <t>BT24R028</t>
  </si>
  <si>
    <t>3D24R028</t>
  </si>
  <si>
    <t>Deel 2 volgt: Have shifted some from week 28 to week 27</t>
  </si>
  <si>
    <t>RD24R028</t>
  </si>
  <si>
    <t>2131021 HDD19 Jambroestraat Zaandam / 2131021 HDD02 Hoekerstraat 101 Zaandam</t>
  </si>
  <si>
    <t>NV24R027</t>
  </si>
  <si>
    <t>-11 nog aanpassen na ontvangst .csv</t>
  </si>
  <si>
    <t>Have shifted some from week 28 to week 27</t>
  </si>
  <si>
    <t>TM24R027</t>
  </si>
  <si>
    <t>RD24R027</t>
  </si>
  <si>
    <t>3131067 Molenvart 527 B Anna Paulowna</t>
  </si>
  <si>
    <t>KB24R027</t>
  </si>
  <si>
    <t>-08, -15, -16, -17 (verkeerd gemeten denk ik), -25 (DataLog file is diferent from others)</t>
  </si>
  <si>
    <t>HV24R027</t>
  </si>
  <si>
    <t>BT24R027</t>
  </si>
  <si>
    <t>HV24V026</t>
  </si>
  <si>
    <t>Nano: Rafi(4) + Emil(2) + Peter(1) + Bertie(9; It seems like there are 10 measurements, but one of them was incomplete)</t>
  </si>
  <si>
    <t xml:space="preserve">RD24R026 </t>
  </si>
  <si>
    <t>3131067 Molenvaart 357 Anna Paulowna</t>
  </si>
  <si>
    <t>NV24R026</t>
  </si>
  <si>
    <t>3D24R026</t>
  </si>
  <si>
    <t>KB24R026</t>
  </si>
  <si>
    <t>TM24R025</t>
  </si>
  <si>
    <t>There is no GPS file for -05. I made an estimate for the diameter of the tube.</t>
  </si>
  <si>
    <t>HV24V025</t>
  </si>
  <si>
    <t>NV24R025</t>
  </si>
  <si>
    <t>BT24V025</t>
  </si>
  <si>
    <t>3D24R025</t>
  </si>
  <si>
    <t>including the missing one, "FW_ Schiphol .msg"</t>
  </si>
  <si>
    <t>RD24R025</t>
  </si>
  <si>
    <t>4131012 Mienterglop HDD2 De Koog</t>
  </si>
  <si>
    <t>NV24R024</t>
  </si>
  <si>
    <t>3D24R024</t>
  </si>
  <si>
    <t>BT24R024</t>
  </si>
  <si>
    <t>VV24R024</t>
  </si>
  <si>
    <t>1939, 1941-1947, 1979-1981</t>
  </si>
  <si>
    <t>VERVALLEN, BTV gaat zelf revisies maken</t>
  </si>
  <si>
    <t>TM24R024</t>
  </si>
  <si>
    <t xml:space="preserve">The last three drawings do not have GPS files. </t>
  </si>
  <si>
    <t>RD24R024</t>
  </si>
  <si>
    <t>4131012 Mienterglop De Koog</t>
  </si>
  <si>
    <t>KB24R024</t>
  </si>
  <si>
    <t xml:space="preserve">KB </t>
  </si>
  <si>
    <t>3D24R023</t>
  </si>
  <si>
    <t>BT24R023</t>
  </si>
  <si>
    <t>VV24R023</t>
  </si>
  <si>
    <t xml:space="preserve">1926-1931, 1933-1935, 1938 </t>
  </si>
  <si>
    <t>TM24R023</t>
  </si>
  <si>
    <t>NV24R023</t>
  </si>
  <si>
    <t>KB24R023</t>
  </si>
  <si>
    <t>HDD: 07(deleted 6 stang), 13, 14 /// Nano: 01 , 08, 10(deleted 6 stang), 11</t>
  </si>
  <si>
    <t>KB24R022</t>
  </si>
  <si>
    <t>BT24R022</t>
  </si>
  <si>
    <t>VV24R022</t>
  </si>
  <si>
    <t>1912-1915, 1917-1922, 1924 &amp; 1925</t>
  </si>
  <si>
    <t xml:space="preserve">TM24R022 </t>
  </si>
  <si>
    <t>NV24R022</t>
  </si>
  <si>
    <t>3D24R022</t>
  </si>
  <si>
    <t>3D24R022-02-rev.1 is delivered</t>
  </si>
  <si>
    <t>RD24R022</t>
  </si>
  <si>
    <t>3131069 - Kanaalweg 13 a  Heiloo</t>
  </si>
  <si>
    <t>De R021-06 ontbreekt</t>
  </si>
  <si>
    <t>3D24R021</t>
  </si>
  <si>
    <t>BT24R021</t>
  </si>
  <si>
    <t>VV24R021</t>
  </si>
  <si>
    <t xml:space="preserve">1904, 1906, 1907 </t>
  </si>
  <si>
    <t>NV24R021</t>
  </si>
  <si>
    <t>KB24R021</t>
  </si>
  <si>
    <t>NV24R020</t>
  </si>
  <si>
    <t>TM24R020</t>
  </si>
  <si>
    <t xml:space="preserve">In the email mentions 5 revisions, but "Horn_783_weesp" is already in week 21  </t>
  </si>
  <si>
    <t>TM24R021</t>
  </si>
  <si>
    <t>Marienburgsestrast 65 Nijmegen, Van Gelder (geen GPS-signaal) / CANCELLED: Theda Mansholtstraat... &amp; Handelsweg 7 hemelelerveld... (21-5-2024)</t>
  </si>
  <si>
    <t>3D24R020</t>
  </si>
  <si>
    <t>BT24R020</t>
  </si>
  <si>
    <t>VV24R020</t>
  </si>
  <si>
    <t xml:space="preserve">1853, 1855, 1856, 1889, 1892, 1893, 1894, 1897, 1898 + 1901, 1902 </t>
  </si>
  <si>
    <t>KB24R018</t>
  </si>
  <si>
    <t>BH24R020</t>
  </si>
  <si>
    <t>The topo file (.dwg) is in GBT&gt;BoringenRevTool&gt;35.BH GPS</t>
  </si>
  <si>
    <t>VV24R019</t>
  </si>
  <si>
    <t>NV24R019</t>
  </si>
  <si>
    <t>3D24R019</t>
  </si>
  <si>
    <t>BT24R019</t>
  </si>
  <si>
    <t>KB24R019</t>
  </si>
  <si>
    <t>NV24R018</t>
  </si>
  <si>
    <t>3D24R018</t>
  </si>
  <si>
    <t>BT24R018</t>
  </si>
  <si>
    <t>VV24R018</t>
  </si>
  <si>
    <t>TM24R018</t>
  </si>
  <si>
    <t>RD24R018</t>
  </si>
  <si>
    <t>2131021 HDD16 Troestralaan 73 Zaandam</t>
  </si>
  <si>
    <t>3D24R017</t>
  </si>
  <si>
    <t>BT24R017</t>
  </si>
  <si>
    <t>VV24R017</t>
  </si>
  <si>
    <t>RD24R017</t>
  </si>
  <si>
    <t>NV24R017</t>
  </si>
  <si>
    <t>KB24R017</t>
  </si>
  <si>
    <t>BH24R017</t>
  </si>
  <si>
    <t>3D24R016</t>
  </si>
  <si>
    <t>VV24R016</t>
  </si>
  <si>
    <t>TM24R016</t>
  </si>
  <si>
    <t>NV24R016</t>
  </si>
  <si>
    <t>KB24R016</t>
  </si>
  <si>
    <t>3D24R015</t>
  </si>
  <si>
    <t>BT24R015</t>
  </si>
  <si>
    <t>VV24R015</t>
  </si>
  <si>
    <t>RD24R015</t>
  </si>
  <si>
    <t>NV24R015</t>
  </si>
  <si>
    <t>KB24R015</t>
  </si>
  <si>
    <t>3D24R014</t>
  </si>
  <si>
    <t>BT24R014</t>
  </si>
  <si>
    <t>VV24R014</t>
  </si>
  <si>
    <t>TM24R014</t>
  </si>
  <si>
    <t>NV24R014</t>
  </si>
  <si>
    <t>KB24R014</t>
  </si>
  <si>
    <t>03 t/m 17 Dijar</t>
  </si>
  <si>
    <t>3D24R013</t>
  </si>
  <si>
    <t>BT24R013</t>
  </si>
  <si>
    <t>VV24R013</t>
  </si>
  <si>
    <t>RD24R013</t>
  </si>
  <si>
    <t>NV24R013</t>
  </si>
  <si>
    <t>KB24R013</t>
  </si>
  <si>
    <t>3D24R012</t>
  </si>
  <si>
    <t>BT24R012</t>
  </si>
  <si>
    <t>VV24R012</t>
  </si>
  <si>
    <t>TM24R012</t>
  </si>
  <si>
    <t>RD24R012</t>
  </si>
  <si>
    <t>NV24R012</t>
  </si>
  <si>
    <t>KB24R012</t>
  </si>
  <si>
    <t>3D24R011</t>
  </si>
  <si>
    <t>BT24R011</t>
  </si>
  <si>
    <t>VV24R011</t>
  </si>
  <si>
    <t>RD24R011</t>
  </si>
  <si>
    <t>NV24R011</t>
  </si>
  <si>
    <t>KB24R011</t>
  </si>
  <si>
    <t>3D24R010</t>
  </si>
  <si>
    <t>BT24R010</t>
  </si>
  <si>
    <t>VV24R010</t>
  </si>
  <si>
    <t>TM24R010</t>
  </si>
  <si>
    <t>RD24R010</t>
  </si>
  <si>
    <t>NV24R010</t>
  </si>
  <si>
    <t>KB24R010</t>
  </si>
  <si>
    <t>3D24R009</t>
  </si>
  <si>
    <t xml:space="preserve">BT24R009 </t>
  </si>
  <si>
    <t>VV24R009</t>
  </si>
  <si>
    <t>RD24R009</t>
  </si>
  <si>
    <t>NV24R009</t>
  </si>
  <si>
    <t>KB24R009</t>
  </si>
  <si>
    <t>3D24R008</t>
  </si>
  <si>
    <t>BT24R008</t>
  </si>
  <si>
    <t>VV24R008</t>
  </si>
  <si>
    <t>TM24R008</t>
  </si>
  <si>
    <t>NV24R008</t>
  </si>
  <si>
    <t>KB24R008</t>
  </si>
  <si>
    <t>VV24R007</t>
  </si>
  <si>
    <t>NV24R007</t>
  </si>
  <si>
    <t>KB24R007</t>
  </si>
  <si>
    <t>BT24R006</t>
  </si>
  <si>
    <t>VV24R006</t>
  </si>
  <si>
    <t xml:space="preserve">KB24R006 </t>
  </si>
  <si>
    <t>VV24R005</t>
  </si>
  <si>
    <t>NV24R005</t>
  </si>
  <si>
    <t>KB24R005</t>
  </si>
  <si>
    <t>BT24R005</t>
  </si>
  <si>
    <t xml:space="preserve">3D24R005 </t>
  </si>
  <si>
    <t xml:space="preserve">VV24R004 </t>
  </si>
  <si>
    <t>RD24R004</t>
  </si>
  <si>
    <t xml:space="preserve">NV24R004 </t>
  </si>
  <si>
    <t xml:space="preserve">KB24R004 </t>
  </si>
  <si>
    <t>BT24R004</t>
  </si>
  <si>
    <t>VV24R003</t>
  </si>
  <si>
    <t>NV24R003</t>
  </si>
  <si>
    <t xml:space="preserve">KB24R003 </t>
  </si>
  <si>
    <t>3D24R003</t>
  </si>
  <si>
    <t xml:space="preserve">VV24R002 </t>
  </si>
  <si>
    <t>TM24R002</t>
  </si>
  <si>
    <t>KB24R002</t>
  </si>
  <si>
    <t>3D24R002</t>
  </si>
  <si>
    <t>Volgorde revisies (indien gegevens beschikbaar)</t>
  </si>
  <si>
    <t>VTV</t>
  </si>
  <si>
    <t>Kappert</t>
  </si>
  <si>
    <t>NEV</t>
  </si>
  <si>
    <t>BTL</t>
  </si>
  <si>
    <t>- Schiphol Revs in 3D uitvoering. Dit geldt alleen voor boringen op Schiphol terrein: Hiervoor zet je Boordata&amp;Calcs, Cell T148 op 3 ipv 2. Niet vergeten weer terug te zetten voor de volgende (niet Schiphol) boring!</t>
  </si>
  <si>
    <t>31,32,33</t>
  </si>
  <si>
    <t>maandag 27 juli t/m vrijdag 16 augustus</t>
  </si>
  <si>
    <t>R&amp;D</t>
  </si>
  <si>
    <t>Nid</t>
  </si>
  <si>
    <t>Thailand</t>
  </si>
  <si>
    <t>Greek</t>
  </si>
  <si>
    <t>Japan+Thailand</t>
  </si>
  <si>
    <t>Vrijdag 13 juni t/m vrijdag 20 juni</t>
  </si>
  <si>
    <t>Lucas</t>
  </si>
  <si>
    <t>8 t/m 16 juli naar Frankrijk met Lars enzo</t>
  </si>
  <si>
    <t>Schoolvakanties 2025/2026</t>
  </si>
  <si>
    <t>Herfst (Noord)</t>
  </si>
  <si>
    <t xml:space="preserve">zaterdag </t>
  </si>
  <si>
    <t>Kerst</t>
  </si>
  <si>
    <t>Voorjaars (Noord)</t>
  </si>
  <si>
    <t xml:space="preserve">zaterdag 21 februari t/m 1 maart 2026	</t>
  </si>
  <si>
    <t>Midden en Zuid</t>
  </si>
  <si>
    <t xml:space="preserve">zaterdag 14 februari t/m 22 februari 2026
</t>
  </si>
  <si>
    <t>Meivakantie</t>
  </si>
  <si>
    <t>Zomervakantie (Noord)</t>
  </si>
  <si>
    <t>Schoolvakanties 2024/2025</t>
  </si>
  <si>
    <t>zaterdag 26 oktober t/m zondag 3 november</t>
  </si>
  <si>
    <t>zaterdag 21 december t/m zondag 5 januari</t>
  </si>
  <si>
    <t>zaterdag 15 februari t/m zondag 23 februari</t>
  </si>
  <si>
    <t>zaterdag 26 april t/m zondag 4 mei 2025</t>
  </si>
  <si>
    <t>zaterdag 12 juli t/m zondag 24 augustus 2025</t>
  </si>
  <si>
    <t>zaterdag 18 oktober t/m zondag 26 oktober 2025</t>
  </si>
  <si>
    <t>zaterdag 20 december 2025 t/m zondag 4 januari 2026</t>
  </si>
  <si>
    <t>zaterdag 21 februari t/m zondag 1 maart 2026</t>
  </si>
  <si>
    <t xml:space="preserve">zaterdag 25 april t/m zondag 3 mei 2026        </t>
  </si>
  <si>
    <t>https://www.rijksoverheid.nl/onderwerpen/schoolvakanties/regios-schoolvakantie</t>
  </si>
  <si>
    <t>Bouwvak 3D</t>
  </si>
  <si>
    <t>Trip Murcia</t>
  </si>
  <si>
    <t>13 t/m17 aug</t>
  </si>
  <si>
    <t>Problem solved</t>
  </si>
  <si>
    <t>Problem/Situation</t>
  </si>
  <si>
    <t>note</t>
  </si>
  <si>
    <t>Whenever I run the macro, such as the "setup new drawing" command, it doesn’t work and also displays this popup. I can continue the process, but I need to select it manually. I tried installing the .Net program, but the process never completes, it seems like something is blocking it.</t>
  </si>
  <si>
    <t>.NET.png</t>
  </si>
  <si>
    <t>command: SETUPNEWDWG 
- DATA_DUCT &amp; DATA_KABELBED: lineweight 1mm ivp 0.18mm
- EIS: lineweight 0.7mm ivp 0.18mm, transparency 0/80 ivp 80/90
- need to manually enter the commands BGT2 and KLIC</t>
  </si>
  <si>
    <t>Automatiseren order openen met Flow. KLIC, Google maps, PDOK, Waterschappen en de mails zoeken op KLICnr</t>
  </si>
  <si>
    <t>behalve email</t>
  </si>
  <si>
    <t>Backup systeem: Real-time or weekly backup to a local Harddisc. Eerst systeem opzetten en vervolgens monitoren (igv real-time) of wekelijks uitvoeren (igv weekly)</t>
  </si>
  <si>
    <t>Back up the file every Friday and delete backups older than 30 days every Sunday (Order overview list)</t>
  </si>
  <si>
    <t>Find a way to share our order list with our clients, but showing orders for them only</t>
  </si>
  <si>
    <r>
      <rPr>
        <rFont val="Arial"/>
        <color theme="1"/>
        <sz val="12.0"/>
      </rPr>
      <t>Delete the KLIC</t>
    </r>
    <r>
      <rPr>
        <rFont val="Arial"/>
        <color rgb="FFFF0000"/>
        <sz val="12.0"/>
      </rPr>
      <t>(also BGT&amp;DKK?)</t>
    </r>
    <r>
      <rPr>
        <rFont val="Arial"/>
        <color theme="1"/>
        <sz val="12.0"/>
      </rPr>
      <t xml:space="preserve"> in "BOVENAANZICHT"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</si>
</sst>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.00"/>
    <numFmt numFmtId="165" formatCode="d&quot;-&quot;mmm&quot;-&quot;yyyy"/>
    <numFmt numFmtId="166" formatCode="d-m-yyyy"/>
    <numFmt numFmtId="167" formatCode="d-m"/>
    <numFmt numFmtId="168" formatCode="d-mmm-yyyy"/>
  </numFmts>
  <fonts count="48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b/>
      <sz val="10.0"/>
      <color rgb="FF1F1F1F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rgb="FF000000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rgb="FFFF0000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FF0000"/>
      <name val="Arial"/>
    </font>
    <font>
      <b/>
      <color rgb="FFFF0000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1.0"/>
      <color rgb="FF222222"/>
      <name val="Arial"/>
    </font>
    <font>
      <sz val="11.0"/>
      <color theme="1"/>
      <name val="Arial"/>
    </font>
    <font>
      <color rgb="FF222222"/>
      <name val="Arial"/>
    </font>
    <font>
      <color rgb="FF333333"/>
      <name val="Arial"/>
    </font>
    <font>
      <b/>
      <color rgb="FFC27BA0"/>
      <name val="Arial"/>
    </font>
    <font>
      <b/>
      <color rgb="FF1F1F1F"/>
      <name val="Arial"/>
    </font>
    <font>
      <color rgb="FF000000"/>
      <name val="Arial"/>
      <scheme val="minor"/>
    </font>
    <font>
      <u/>
      <color rgb="FF1155CC"/>
    </font>
    <font>
      <color rgb="FFFF0000"/>
      <name val="Arial"/>
      <scheme val="minor"/>
    </font>
    <font>
      <u/>
      <color rgb="FF0000FF"/>
    </font>
    <font>
      <sz val="12.0"/>
      <color theme="1"/>
      <name val="Arial"/>
      <scheme val="minor"/>
    </font>
    <font>
      <u/>
      <sz val="12.0"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7"/>
        <bgColor theme="7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EA5A90"/>
        <bgColor rgb="FFEA5A90"/>
      </patternFill>
    </fill>
    <fill>
      <patternFill patternType="solid">
        <fgColor rgb="FF6AA84F"/>
        <bgColor rgb="FF6AA8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2" fontId="2" numFmtId="164" xfId="0" applyAlignment="1" applyFont="1" applyNumberForma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4" numFmtId="165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5" numFmtId="165" xfId="0" applyAlignment="1" applyBorder="1" applyFont="1" applyNumberForma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1" fillId="0" fontId="9" numFmtId="166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top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8" fontId="9" numFmtId="165" xfId="0" applyAlignment="1" applyBorder="1" applyFill="1" applyFont="1" applyNumberFormat="1">
      <alignment horizontal="center" shrinkToFit="0" vertical="bottom" wrapText="0"/>
    </xf>
    <xf borderId="1" fillId="0" fontId="9" numFmtId="165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center" shrinkToFit="0" vertical="top" wrapText="0"/>
    </xf>
    <xf borderId="1" fillId="0" fontId="9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9" fontId="9" numFmtId="0" xfId="0" applyAlignment="1" applyBorder="1" applyFill="1" applyFont="1">
      <alignment horizontal="center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shrinkToFit="0" vertical="top" wrapText="0"/>
    </xf>
    <xf borderId="1" fillId="9" fontId="9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10" fontId="9" numFmtId="0" xfId="0" applyAlignment="1" applyBorder="1" applyFill="1" applyFont="1">
      <alignment readingOrder="0" shrinkToFit="0" vertical="bottom" wrapText="0"/>
    </xf>
    <xf borderId="0" fillId="11" fontId="6" numFmtId="0" xfId="0" applyAlignment="1" applyFill="1" applyFont="1">
      <alignment horizontal="left"/>
    </xf>
    <xf borderId="1" fillId="9" fontId="9" numFmtId="0" xfId="0" applyAlignment="1" applyBorder="1" applyFont="1">
      <alignment readingOrder="0" shrinkToFit="0" vertical="bottom" wrapText="0"/>
    </xf>
    <xf borderId="1" fillId="11" fontId="9" numFmtId="0" xfId="0" applyAlignment="1" applyBorder="1" applyFont="1">
      <alignment readingOrder="0" shrinkToFit="0" vertical="bottom" wrapText="0"/>
    </xf>
    <xf borderId="1" fillId="11" fontId="6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9" numFmtId="166" xfId="0" applyAlignment="1" applyBorder="1" applyFont="1" applyNumberFormat="1">
      <alignment horizontal="center" shrinkToFit="0" vertical="bottom" wrapText="0"/>
    </xf>
    <xf borderId="1" fillId="0" fontId="9" numFmtId="165" xfId="0" applyAlignment="1" applyBorder="1" applyFont="1" applyNumberFormat="1">
      <alignment vertical="bottom"/>
    </xf>
    <xf borderId="1" fillId="0" fontId="9" numFmtId="0" xfId="0" applyAlignment="1" applyBorder="1" applyFont="1">
      <alignment vertical="bottom"/>
    </xf>
    <xf borderId="1" fillId="0" fontId="15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top"/>
    </xf>
    <xf borderId="0" fillId="11" fontId="6" numFmtId="0" xfId="0" applyAlignment="1" applyFont="1">
      <alignment horizontal="left" readingOrder="0"/>
    </xf>
    <xf borderId="1" fillId="10" fontId="4" numFmtId="0" xfId="0" applyAlignment="1" applyBorder="1" applyFont="1">
      <alignment readingOrder="0" shrinkToFit="0" vertical="bottom" wrapText="0"/>
    </xf>
    <xf borderId="1" fillId="0" fontId="9" numFmtId="165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vertical="top"/>
    </xf>
    <xf borderId="1" fillId="0" fontId="14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12" fontId="9" numFmtId="0" xfId="0" applyAlignment="1" applyBorder="1" applyFill="1" applyFont="1">
      <alignment readingOrder="0" shrinkToFit="0" vertical="bottom" wrapText="0"/>
    </xf>
    <xf borderId="1" fillId="12" fontId="4" numFmtId="0" xfId="0" applyAlignment="1" applyBorder="1" applyFont="1">
      <alignment readingOrder="0" shrinkToFit="0" vertical="bottom" wrapText="0"/>
    </xf>
    <xf borderId="1" fillId="13" fontId="9" numFmtId="0" xfId="0" applyAlignment="1" applyBorder="1" applyFill="1" applyFont="1">
      <alignment readingOrder="0" shrinkToFit="0" vertical="bottom" wrapText="0"/>
    </xf>
    <xf borderId="1" fillId="14" fontId="9" numFmtId="0" xfId="0" applyAlignment="1" applyBorder="1" applyFill="1" applyFont="1">
      <alignment readingOrder="0" shrinkToFit="0" vertical="bottom" wrapText="0"/>
    </xf>
    <xf borderId="1" fillId="8" fontId="9" numFmtId="165" xfId="0" applyAlignment="1" applyBorder="1" applyFont="1" applyNumberFormat="1">
      <alignment horizontal="center" readingOrder="0" shrinkToFit="0" vertical="bottom" wrapText="0"/>
    </xf>
    <xf borderId="1" fillId="10" fontId="18" numFmtId="0" xfId="0" applyAlignment="1" applyBorder="1" applyFont="1">
      <alignment readingOrder="0" shrinkToFit="0" vertical="bottom" wrapText="0"/>
    </xf>
    <xf borderId="1" fillId="0" fontId="19" numFmtId="0" xfId="0" applyAlignment="1" applyBorder="1" applyFont="1">
      <alignment horizontal="left" readingOrder="0" shrinkToFit="0" vertical="bottom" wrapText="0"/>
    </xf>
    <xf quotePrefix="1" borderId="1" fillId="0" fontId="9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readingOrder="0" shrinkToFit="0" vertical="bottom" wrapText="0"/>
    </xf>
    <xf quotePrefix="1" borderId="1" fillId="10" fontId="9" numFmtId="0" xfId="0" applyAlignment="1" applyBorder="1" applyFont="1">
      <alignment readingOrder="0" shrinkToFit="0" vertical="bottom" wrapText="0"/>
    </xf>
    <xf borderId="1" fillId="11" fontId="4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15" fontId="22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15" fontId="23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top" wrapText="0"/>
    </xf>
    <xf borderId="1" fillId="16" fontId="9" numFmtId="0" xfId="0" applyAlignment="1" applyBorder="1" applyFill="1" applyFont="1">
      <alignment readingOrder="0" shrinkToFit="0" vertical="bottom" wrapText="0"/>
    </xf>
    <xf borderId="1" fillId="13" fontId="9" numFmtId="165" xfId="0" applyAlignment="1" applyBorder="1" applyFont="1" applyNumberFormat="1">
      <alignment horizontal="center" readingOrder="0" shrinkToFit="0" vertical="bottom" wrapText="0"/>
    </xf>
    <xf borderId="1" fillId="1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13" fontId="9" numFmtId="165" xfId="0" applyAlignment="1" applyBorder="1" applyFont="1" applyNumberFormat="1">
      <alignment horizontal="center" shrinkToFit="0" vertical="bottom" wrapText="0"/>
    </xf>
    <xf borderId="1" fillId="17" fontId="9" numFmtId="0" xfId="0" applyAlignment="1" applyBorder="1" applyFill="1" applyFont="1">
      <alignment readingOrder="0" shrinkToFit="0" vertical="bottom" wrapText="0"/>
    </xf>
    <xf borderId="1" fillId="18" fontId="9" numFmtId="0" xfId="0" applyAlignment="1" applyBorder="1" applyFill="1" applyFont="1">
      <alignment readingOrder="0" shrinkToFit="0" vertical="bottom" wrapText="0"/>
    </xf>
    <xf borderId="1" fillId="16" fontId="9" numFmtId="165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19" fontId="9" numFmtId="165" xfId="0" applyAlignment="1" applyBorder="1" applyFill="1" applyFont="1" applyNumberFormat="1">
      <alignment horizontal="center" readingOrder="0" shrinkToFit="0" vertical="bottom" wrapText="0"/>
    </xf>
    <xf quotePrefix="1" borderId="1" fillId="0" fontId="14" numFmtId="0" xfId="0" applyAlignment="1" applyBorder="1" applyFont="1">
      <alignment readingOrder="0" shrinkToFit="0" vertical="bottom" wrapText="0"/>
    </xf>
    <xf quotePrefix="1" borderId="1" fillId="0" fontId="4" numFmtId="0" xfId="0" applyAlignment="1" applyBorder="1" applyFont="1">
      <alignment readingOrder="0" shrinkToFit="0" vertical="bottom" wrapText="0"/>
    </xf>
    <xf borderId="1" fillId="0" fontId="9" numFmtId="167" xfId="0" applyAlignment="1" applyBorder="1" applyFont="1" applyNumberFormat="1">
      <alignment horizontal="center" readingOrder="0" shrinkToFit="0" vertical="bottom" wrapText="0"/>
    </xf>
    <xf quotePrefix="1" borderId="1" fillId="0" fontId="4" numFmtId="0" xfId="0" applyAlignment="1" applyBorder="1" applyFont="1">
      <alignment readingOrder="0" shrinkToFit="0" vertical="bottom" wrapText="0"/>
    </xf>
    <xf borderId="1" fillId="0" fontId="9" numFmtId="165" xfId="0" applyAlignment="1" applyBorder="1" applyFont="1" applyNumberFormat="1">
      <alignment readingOrder="0" vertical="bottom"/>
    </xf>
    <xf borderId="1" fillId="0" fontId="24" numFmtId="0" xfId="0" applyAlignment="1" applyBorder="1" applyFont="1">
      <alignment horizontal="center" shrinkToFit="0" vertical="bottom" wrapText="0"/>
    </xf>
    <xf borderId="1" fillId="20" fontId="4" numFmtId="0" xfId="0" applyAlignment="1" applyBorder="1" applyFill="1" applyFont="1">
      <alignment readingOrder="0" shrinkToFit="0" vertical="bottom" wrapText="0"/>
    </xf>
    <xf borderId="1" fillId="19" fontId="9" numFmtId="0" xfId="0" applyAlignment="1" applyBorder="1" applyFont="1">
      <alignment horizontal="center" readingOrder="0" shrinkToFit="0" vertical="bottom" wrapText="0"/>
    </xf>
    <xf quotePrefix="1" borderId="1" fillId="0" fontId="14" numFmtId="0" xfId="0" applyAlignment="1" applyBorder="1" applyFont="1">
      <alignment readingOrder="0" shrinkToFit="0" vertical="bottom" wrapText="0"/>
    </xf>
    <xf borderId="1" fillId="19" fontId="9" numFmtId="165" xfId="0" applyAlignment="1" applyBorder="1" applyFont="1" applyNumberFormat="1">
      <alignment horizontal="center" shrinkToFit="0" vertical="bottom" wrapText="0"/>
    </xf>
    <xf quotePrefix="1" borderId="1" fillId="0" fontId="25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1" fontId="9" numFmtId="165" xfId="0" applyAlignment="1" applyBorder="1" applyFill="1" applyFont="1" applyNumberFormat="1">
      <alignment horizontal="center" readingOrder="0" shrinkToFit="0" vertical="bottom" wrapText="0"/>
    </xf>
    <xf borderId="1" fillId="4" fontId="9" numFmtId="165" xfId="0" applyAlignment="1" applyBorder="1" applyFont="1" applyNumberForma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bottom" wrapText="0"/>
    </xf>
    <xf borderId="1" fillId="11" fontId="27" numFmtId="0" xfId="0" applyAlignment="1" applyBorder="1" applyFont="1">
      <alignment shrinkToFit="0" vertical="bottom" wrapText="0"/>
    </xf>
    <xf borderId="1" fillId="0" fontId="6" numFmtId="0" xfId="0" applyBorder="1" applyFont="1"/>
    <xf borderId="1" fillId="11" fontId="9" numFmtId="166" xfId="0" applyAlignment="1" applyBorder="1" applyFont="1" applyNumberFormat="1">
      <alignment horizontal="center" readingOrder="0" shrinkToFit="0" vertical="bottom" wrapText="0"/>
    </xf>
    <xf borderId="1" fillId="11" fontId="9" numFmtId="0" xfId="0" applyAlignment="1" applyBorder="1" applyFont="1">
      <alignment horizontal="center" readingOrder="0" shrinkToFit="0" vertical="top" wrapText="0"/>
    </xf>
    <xf borderId="1" fillId="11" fontId="9" numFmtId="0" xfId="0" applyAlignment="1" applyBorder="1" applyFont="1">
      <alignment horizontal="center" readingOrder="0" shrinkToFit="0" vertical="bottom" wrapText="0"/>
    </xf>
    <xf borderId="1" fillId="11" fontId="9" numFmtId="165" xfId="0" applyAlignment="1" applyBorder="1" applyFont="1" applyNumberFormat="1">
      <alignment horizontal="center" readingOrder="0" shrinkToFit="0" vertical="bottom" wrapText="0"/>
    </xf>
    <xf borderId="1" fillId="0" fontId="9" numFmtId="168" xfId="0" applyAlignment="1" applyBorder="1" applyFont="1" applyNumberFormat="1">
      <alignment horizontal="center" readingOrder="0" shrinkToFit="0" vertical="bottom" wrapText="0"/>
    </xf>
    <xf borderId="1" fillId="11" fontId="9" numFmtId="0" xfId="0" applyAlignment="1" applyBorder="1" applyFont="1">
      <alignment horizontal="center" shrinkToFit="0" vertical="top" wrapText="0"/>
    </xf>
    <xf borderId="1" fillId="11" fontId="9" numFmtId="0" xfId="0" applyAlignment="1" applyBorder="1" applyFont="1">
      <alignment horizontal="center" shrinkToFit="0" vertical="bottom" wrapText="0"/>
    </xf>
    <xf borderId="1" fillId="11" fontId="4" numFmtId="0" xfId="0" applyAlignment="1" applyBorder="1" applyFont="1">
      <alignment horizontal="center" readingOrder="0" shrinkToFit="0" vertical="bottom" wrapText="0"/>
    </xf>
    <xf borderId="1" fillId="11" fontId="28" numFmtId="0" xfId="0" applyAlignment="1" applyBorder="1" applyFont="1">
      <alignment readingOrder="0" shrinkToFit="0" vertical="bottom" wrapText="0"/>
    </xf>
    <xf borderId="1" fillId="11" fontId="29" numFmtId="0" xfId="0" applyAlignment="1" applyBorder="1" applyFont="1">
      <alignment readingOrder="0" shrinkToFit="0" vertical="bottom" wrapText="0"/>
    </xf>
    <xf borderId="1" fillId="11" fontId="30" numFmtId="0" xfId="0" applyAlignment="1" applyBorder="1" applyFont="1">
      <alignment horizontal="left" readingOrder="0" shrinkToFit="0" vertical="bottom" wrapText="0"/>
    </xf>
    <xf borderId="1" fillId="11" fontId="9" numFmtId="0" xfId="0" applyAlignment="1" applyBorder="1" applyFont="1">
      <alignment horizontal="left" shrinkToFit="0" vertical="bottom" wrapText="0"/>
    </xf>
    <xf borderId="1" fillId="11" fontId="9" numFmtId="0" xfId="0" applyAlignment="1" applyBorder="1" applyFont="1">
      <alignment shrinkToFit="0" vertical="bottom" wrapText="0"/>
    </xf>
    <xf borderId="1" fillId="11" fontId="9" numFmtId="0" xfId="0" applyAlignment="1" applyBorder="1" applyFont="1">
      <alignment shrinkToFit="0" vertical="top" wrapText="0"/>
    </xf>
    <xf borderId="1" fillId="0" fontId="9" numFmtId="0" xfId="0" applyAlignment="1" applyBorder="1" applyFont="1">
      <alignment horizontal="center" shrinkToFit="0" vertical="bottom" wrapText="0"/>
    </xf>
    <xf borderId="1" fillId="11" fontId="4" numFmtId="0" xfId="0" applyAlignment="1" applyBorder="1" applyFont="1">
      <alignment readingOrder="0" shrinkToFit="0" vertical="bottom" wrapText="0"/>
    </xf>
    <xf borderId="1" fillId="10" fontId="9" numFmtId="0" xfId="0" applyAlignment="1" applyBorder="1" applyFont="1">
      <alignment horizontal="center" readingOrder="0" shrinkToFit="0" vertical="top" wrapText="0"/>
    </xf>
    <xf borderId="1" fillId="10" fontId="9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1" fillId="0" fontId="32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1" fillId="0" fontId="9" numFmtId="165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11" fontId="9" numFmtId="0" xfId="0" applyAlignment="1" applyBorder="1" applyFont="1">
      <alignment horizontal="center" readingOrder="0" shrinkToFit="0" vertical="bottom" wrapText="0"/>
    </xf>
    <xf borderId="1" fillId="11" fontId="9" numFmtId="0" xfId="0" applyAlignment="1" applyBorder="1" applyFont="1">
      <alignment readingOrder="0" shrinkToFit="0" vertical="bottom" wrapText="0"/>
    </xf>
    <xf borderId="1" fillId="11" fontId="9" numFmtId="0" xfId="0" applyAlignment="1" applyBorder="1" applyFont="1">
      <alignment horizontal="left" readingOrder="0" shrinkToFit="0" vertical="bottom" wrapText="0"/>
    </xf>
    <xf borderId="1" fillId="9" fontId="9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1" fillId="16" fontId="9" numFmtId="0" xfId="0" applyAlignment="1" applyBorder="1" applyFont="1">
      <alignment readingOrder="0" shrinkToFit="0" vertical="top" wrapText="0"/>
    </xf>
    <xf borderId="1" fillId="15" fontId="9" numFmtId="166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15" fontId="9" numFmtId="0" xfId="0" applyAlignment="1" applyBorder="1" applyFont="1">
      <alignment horizontal="center" shrinkToFit="0" vertical="top" wrapText="0"/>
    </xf>
    <xf borderId="1" fillId="15" fontId="9" numFmtId="165" xfId="0" applyAlignment="1" applyBorder="1" applyFont="1" applyNumberFormat="1">
      <alignment horizontal="center" shrinkToFit="0" vertical="bottom" wrapText="0"/>
    </xf>
    <xf borderId="1" fillId="15" fontId="9" numFmtId="0" xfId="0" applyAlignment="1" applyBorder="1" applyFont="1">
      <alignment horizontal="center" readingOrder="0" shrinkToFit="0" vertical="bottom" wrapText="0"/>
    </xf>
    <xf borderId="1" fillId="15" fontId="9" numFmtId="0" xfId="0" applyAlignment="1" applyBorder="1" applyFont="1">
      <alignment vertical="top"/>
    </xf>
    <xf borderId="1" fillId="15" fontId="9" numFmtId="0" xfId="0" applyAlignment="1" applyBorder="1" applyFont="1">
      <alignment vertical="bottom"/>
    </xf>
    <xf borderId="1" fillId="15" fontId="9" numFmtId="0" xfId="0" applyAlignment="1" applyBorder="1" applyFont="1">
      <alignment horizontal="center" shrinkToFit="0" vertical="bottom" wrapText="0"/>
    </xf>
    <xf borderId="1" fillId="15" fontId="33" numFmtId="0" xfId="0" applyAlignment="1" applyBorder="1" applyFont="1">
      <alignment horizontal="center" shrinkToFit="0" vertical="bottom" wrapText="0"/>
    </xf>
    <xf borderId="1" fillId="15" fontId="34" numFmtId="0" xfId="0" applyAlignment="1" applyBorder="1" applyFont="1">
      <alignment shrinkToFit="0" vertical="bottom" wrapText="0"/>
    </xf>
    <xf borderId="1" fillId="15" fontId="9" numFmtId="0" xfId="0" applyAlignment="1" applyBorder="1" applyFont="1">
      <alignment vertical="bottom"/>
    </xf>
    <xf borderId="1" fillId="15" fontId="9" numFmtId="0" xfId="0" applyAlignment="1" applyBorder="1" applyFont="1">
      <alignment shrinkToFit="0" vertical="bottom" wrapText="0"/>
    </xf>
    <xf borderId="1" fillId="15" fontId="9" numFmtId="0" xfId="0" applyAlignment="1" applyBorder="1" applyFont="1">
      <alignment vertical="top"/>
    </xf>
    <xf borderId="1" fillId="15" fontId="35" numFmtId="0" xfId="0" applyAlignment="1" applyBorder="1" applyFont="1">
      <alignment horizontal="center" shrinkToFit="0" vertical="bottom" wrapText="0"/>
    </xf>
    <xf borderId="1" fillId="22" fontId="9" numFmtId="165" xfId="0" applyAlignment="1" applyBorder="1" applyFill="1" applyFont="1" applyNumberFormat="1">
      <alignment horizontal="center" readingOrder="0" shrinkToFit="0" vertical="bottom" wrapText="0"/>
    </xf>
    <xf borderId="1" fillId="10" fontId="14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horizontal="left" readingOrder="0" shrinkToFit="0" vertical="bottom" wrapText="0"/>
    </xf>
    <xf borderId="2" fillId="0" fontId="9" numFmtId="0" xfId="0" applyAlignment="1" applyBorder="1" applyFont="1">
      <alignment horizontal="left" shrinkToFit="0" vertical="bottom" wrapText="0"/>
    </xf>
    <xf borderId="1" fillId="16" fontId="9" numFmtId="0" xfId="0" applyAlignment="1" applyBorder="1" applyFont="1">
      <alignment horizontal="center" readingOrder="0" shrinkToFit="0" vertical="bottom" wrapText="0"/>
    </xf>
    <xf borderId="1" fillId="15" fontId="9" numFmtId="0" xfId="0" applyAlignment="1" applyBorder="1" applyFont="1">
      <alignment readingOrder="0" shrinkToFit="0" vertical="bottom" wrapText="0"/>
    </xf>
    <xf borderId="1" fillId="23" fontId="9" numFmtId="0" xfId="0" applyAlignment="1" applyBorder="1" applyFill="1" applyFont="1">
      <alignment readingOrder="0" shrinkToFit="0" vertical="bottom" wrapText="0"/>
    </xf>
    <xf borderId="1" fillId="15" fontId="36" numFmtId="0" xfId="0" applyAlignment="1" applyBorder="1" applyFont="1">
      <alignment readingOrder="0" shrinkToFit="0" wrapText="0"/>
    </xf>
    <xf borderId="1" fillId="0" fontId="37" numFmtId="0" xfId="0" applyAlignment="1" applyBorder="1" applyFont="1">
      <alignment readingOrder="0"/>
    </xf>
    <xf borderId="2" fillId="16" fontId="9" numFmtId="165" xfId="0" applyAlignment="1" applyBorder="1" applyFont="1" applyNumberFormat="1">
      <alignment horizontal="center" readingOrder="0" shrinkToFit="0" vertical="bottom" wrapText="0"/>
    </xf>
    <xf borderId="1" fillId="0" fontId="38" numFmtId="0" xfId="0" applyAlignment="1" applyBorder="1" applyFont="1">
      <alignment readingOrder="0" shrinkToFit="0" vertical="bottom" wrapText="0"/>
    </xf>
    <xf borderId="2" fillId="8" fontId="9" numFmtId="165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horizontal="left" vertical="bottom"/>
    </xf>
    <xf borderId="1" fillId="21" fontId="4" numFmtId="0" xfId="0" applyAlignment="1" applyBorder="1" applyFont="1">
      <alignment readingOrder="0" shrinkToFit="0" vertical="bottom" wrapText="0"/>
    </xf>
    <xf borderId="1" fillId="21" fontId="4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15" fontId="38" numFmtId="0" xfId="0" applyAlignment="1" applyBorder="1" applyFont="1">
      <alignment readingOrder="0"/>
    </xf>
    <xf borderId="1" fillId="0" fontId="9" numFmtId="165" xfId="0" applyAlignment="1" applyBorder="1" applyFont="1" applyNumberFormat="1">
      <alignment horizontal="left" readingOrder="0" shrinkToFit="0" vertical="bottom" wrapText="0"/>
    </xf>
    <xf borderId="1" fillId="11" fontId="4" numFmtId="0" xfId="0" applyAlignment="1" applyBorder="1" applyFont="1">
      <alignment readingOrder="0" shrinkToFit="0" vertical="bottom" wrapText="0"/>
    </xf>
    <xf borderId="1" fillId="16" fontId="9" numFmtId="165" xfId="0" applyAlignment="1" applyBorder="1" applyFont="1" applyNumberFormat="1">
      <alignment horizontal="center" shrinkToFit="0" vertical="bottom" wrapText="0"/>
    </xf>
    <xf borderId="0" fillId="15" fontId="9" numFmtId="0" xfId="0" applyAlignment="1" applyFont="1">
      <alignment vertical="bottom"/>
    </xf>
    <xf borderId="2" fillId="8" fontId="9" numFmtId="165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readingOrder="0"/>
    </xf>
    <xf borderId="1" fillId="0" fontId="9" numFmtId="165" xfId="0" applyAlignment="1" applyBorder="1" applyFont="1" applyNumberFormat="1">
      <alignment horizontal="center" readingOrder="0" shrinkToFit="0" vertical="bottom" wrapText="0"/>
    </xf>
    <xf borderId="1" fillId="15" fontId="38" numFmtId="0" xfId="0" applyAlignment="1" applyBorder="1" applyFont="1">
      <alignment readingOrder="0"/>
    </xf>
    <xf borderId="1" fillId="0" fontId="39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/>
    </xf>
    <xf borderId="1" fillId="0" fontId="40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shrinkToFit="0" vertical="top" wrapText="0"/>
    </xf>
    <xf borderId="1" fillId="0" fontId="9" numFmtId="166" xfId="0" applyAlignment="1" applyBorder="1" applyFont="1" applyNumberFormat="1">
      <alignment horizontal="center" shrinkToFit="0" vertical="top" wrapText="0"/>
    </xf>
    <xf borderId="1" fillId="0" fontId="9" numFmtId="0" xfId="0" applyAlignment="1" applyBorder="1" applyFont="1">
      <alignment horizontal="left" shrinkToFit="0" vertical="top" wrapText="0"/>
    </xf>
    <xf borderId="0" fillId="0" fontId="9" numFmtId="166" xfId="0" applyAlignment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vertical="top" wrapText="0"/>
    </xf>
    <xf borderId="0" fillId="0" fontId="9" numFmtId="0" xfId="0" applyAlignment="1" applyFont="1">
      <alignment horizontal="center" readingOrder="0" shrinkToFit="0" vertical="bottom" wrapText="0"/>
    </xf>
    <xf borderId="0" fillId="8" fontId="9" numFmtId="165" xfId="0" applyAlignment="1" applyFont="1" applyNumberFormat="1">
      <alignment horizontal="center" readingOrder="0" shrinkToFit="0" vertical="bottom" wrapText="0"/>
    </xf>
    <xf borderId="0" fillId="0" fontId="9" numFmtId="165" xfId="0" applyAlignment="1" applyFont="1" applyNumberForma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top" wrapText="0"/>
    </xf>
    <xf borderId="0" fillId="0" fontId="9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0"/>
    </xf>
    <xf borderId="0" fillId="2" fontId="9" numFmtId="0" xfId="0" applyFont="1"/>
    <xf borderId="1" fillId="4" fontId="1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0"/>
    </xf>
    <xf borderId="1" fillId="20" fontId="5" numFmtId="0" xfId="0" applyAlignment="1" applyBorder="1" applyFont="1">
      <alignment horizontal="center" readingOrder="0" vertical="center"/>
    </xf>
    <xf borderId="1" fillId="24" fontId="5" numFmtId="0" xfId="0" applyAlignment="1" applyBorder="1" applyFill="1" applyFont="1">
      <alignment horizontal="center" readingOrder="0" vertical="center"/>
    </xf>
    <xf borderId="1" fillId="25" fontId="5" numFmtId="0" xfId="0" applyAlignment="1" applyBorder="1" applyFill="1" applyFont="1">
      <alignment horizontal="center" readingOrder="0" vertical="center"/>
    </xf>
    <xf borderId="1" fillId="21" fontId="5" numFmtId="0" xfId="0" applyAlignment="1" applyBorder="1" applyFont="1">
      <alignment horizontal="center" readingOrder="0" shrinkToFit="0" vertical="center" wrapText="1"/>
    </xf>
    <xf borderId="1" fillId="21" fontId="5" numFmtId="0" xfId="0" applyAlignment="1" applyBorder="1" applyFont="1">
      <alignment horizontal="center" readingOrder="0" vertical="center"/>
    </xf>
    <xf borderId="1" fillId="26" fontId="5" numFmtId="0" xfId="0" applyAlignment="1" applyBorder="1" applyFill="1" applyFont="1">
      <alignment horizontal="center" readingOrder="0" shrinkToFit="0" vertical="center" wrapText="0"/>
    </xf>
    <xf borderId="1" fillId="27" fontId="5" numFmtId="0" xfId="0" applyAlignment="1" applyBorder="1" applyFill="1" applyFont="1">
      <alignment horizontal="center" readingOrder="0" shrinkToFit="0" vertical="center" wrapText="0"/>
    </xf>
    <xf borderId="1" fillId="28" fontId="41" numFmtId="0" xfId="0" applyAlignment="1" applyBorder="1" applyFill="1" applyFont="1">
      <alignment horizontal="center" readingOrder="0" shrinkToFit="0" vertical="center" wrapText="0"/>
    </xf>
    <xf borderId="1" fillId="29" fontId="41" numFmtId="0" xfId="0" applyAlignment="1" applyBorder="1" applyFill="1" applyFont="1">
      <alignment horizontal="center" readingOrder="0" shrinkToFit="0" vertical="center" wrapText="0"/>
    </xf>
    <xf borderId="3" fillId="0" fontId="6" numFmtId="166" xfId="0" applyAlignment="1" applyBorder="1" applyFont="1" applyNumberFormat="1">
      <alignment horizontal="center" readingOrder="0" vertical="top"/>
    </xf>
    <xf borderId="2" fillId="0" fontId="6" numFmtId="0" xfId="0" applyAlignment="1" applyBorder="1" applyFont="1">
      <alignment horizontal="center" readingOrder="0" vertical="top"/>
    </xf>
    <xf borderId="2" fillId="0" fontId="6" numFmtId="0" xfId="0" applyAlignment="1" applyBorder="1" applyFont="1">
      <alignment horizontal="center" readingOrder="0" shrinkToFit="0" vertical="top" wrapText="0"/>
    </xf>
    <xf borderId="2" fillId="0" fontId="3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left" shrinkToFit="0" wrapText="0"/>
    </xf>
    <xf borderId="4" fillId="0" fontId="6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left" readingOrder="0" shrinkToFit="0" wrapText="0"/>
    </xf>
    <xf quotePrefix="1" borderId="1" fillId="0" fontId="6" numFmtId="0" xfId="0" applyAlignment="1" applyBorder="1" applyFont="1">
      <alignment horizontal="left" readingOrder="0" shrinkToFit="0" wrapText="0"/>
    </xf>
    <xf borderId="5" fillId="0" fontId="6" numFmtId="0" xfId="0" applyAlignment="1" applyBorder="1" applyFont="1">
      <alignment horizontal="left" shrinkToFit="0" wrapText="0"/>
    </xf>
    <xf borderId="1" fillId="0" fontId="32" numFmtId="0" xfId="0" applyAlignment="1" applyBorder="1" applyFont="1">
      <alignment horizontal="left" readingOrder="0" shrinkToFit="0" wrapText="0"/>
    </xf>
    <xf borderId="1" fillId="0" fontId="42" numFmtId="164" xfId="0" applyAlignment="1" applyBorder="1" applyFont="1" applyNumberFormat="1">
      <alignment horizontal="left" readingOrder="0" shrinkToFit="0" wrapText="0"/>
    </xf>
    <xf quotePrefix="1" borderId="1" fillId="0" fontId="42" numFmtId="0" xfId="0" applyAlignment="1" applyBorder="1" applyFont="1">
      <alignment horizontal="left" readingOrder="0" shrinkToFit="0" wrapText="0"/>
    </xf>
    <xf borderId="1" fillId="0" fontId="42" numFmtId="0" xfId="0" applyAlignment="1" applyBorder="1" applyFont="1">
      <alignment horizontal="left" readingOrder="0" shrinkToFit="0" wrapText="0"/>
    </xf>
    <xf quotePrefix="1" borderId="1" fillId="0" fontId="42" numFmtId="164" xfId="0" applyAlignment="1" applyBorder="1" applyFont="1" applyNumberFormat="1">
      <alignment horizontal="left" readingOrder="0" shrinkToFit="0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1"/>
    </xf>
    <xf borderId="1" fillId="0" fontId="6" numFmtId="166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11" fontId="3" numFmtId="0" xfId="0" applyAlignment="1" applyBorder="1" applyFont="1">
      <alignment horizontal="center" readingOrder="0" shrinkToFit="0" vertical="top" wrapText="1"/>
    </xf>
    <xf borderId="1" fillId="0" fontId="42" numFmtId="0" xfId="0" applyAlignment="1" applyBorder="1" applyFont="1">
      <alignment horizontal="left" shrinkToFit="0" wrapText="0"/>
    </xf>
    <xf borderId="1" fillId="0" fontId="9" numFmtId="0" xfId="0" applyAlignment="1" applyBorder="1" applyFont="1">
      <alignment horizontal="center" readingOrder="0" vertical="top"/>
    </xf>
    <xf quotePrefix="1" borderId="1" fillId="0" fontId="43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left" readingOrder="0" shrinkToFit="0" wrapText="0"/>
    </xf>
    <xf borderId="1" fillId="15" fontId="6" numFmtId="0" xfId="0" applyAlignment="1" applyBorder="1" applyFont="1">
      <alignment horizontal="center" readingOrder="0" vertical="top"/>
    </xf>
    <xf borderId="1" fillId="15" fontId="9" numFmtId="0" xfId="0" applyAlignment="1" applyBorder="1" applyFont="1">
      <alignment horizontal="center" readingOrder="0" vertical="top"/>
    </xf>
    <xf borderId="1" fillId="11" fontId="6" numFmtId="0" xfId="0" applyAlignment="1" applyBorder="1" applyFont="1">
      <alignment horizontal="center" readingOrder="0" vertical="top"/>
    </xf>
    <xf borderId="1" fillId="0" fontId="3" numFmtId="166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4" fillId="0" fontId="9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shrinkToFit="0" wrapText="0"/>
    </xf>
    <xf borderId="1" fillId="0" fontId="44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left" readingOrder="0" shrinkToFit="0" vertical="top" wrapText="0"/>
    </xf>
    <xf borderId="1" fillId="0" fontId="9" numFmtId="166" xfId="0" applyAlignment="1" applyBorder="1" applyFont="1" applyNumberFormat="1">
      <alignment horizontal="center" readingOrder="0" vertical="top"/>
    </xf>
    <xf borderId="1" fillId="0" fontId="9" numFmtId="0" xfId="0" applyAlignment="1" applyBorder="1" applyFont="1">
      <alignment horizontal="center" vertical="top"/>
    </xf>
    <xf borderId="1" fillId="0" fontId="9" numFmtId="166" xfId="0" applyAlignment="1" applyBorder="1" applyFont="1" applyNumberFormat="1">
      <alignment horizontal="center" vertical="top"/>
    </xf>
    <xf borderId="1" fillId="0" fontId="9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shrinkToFit="0" wrapText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horizontal="center" readingOrder="0"/>
    </xf>
    <xf borderId="0" fillId="12" fontId="6" numFmtId="0" xfId="0" applyAlignment="1" applyFont="1">
      <alignment readingOrder="0"/>
    </xf>
    <xf borderId="0" fillId="12" fontId="6" numFmtId="166" xfId="0" applyAlignment="1" applyFont="1" applyNumberFormat="1">
      <alignment horizontal="center"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5" numFmtId="0" xfId="0" applyAlignment="1" applyFont="1">
      <alignment readingOrder="0"/>
    </xf>
    <xf borderId="1" fillId="27" fontId="46" numFmtId="0" xfId="0" applyAlignment="1" applyBorder="1" applyFont="1">
      <alignment horizontal="center" readingOrder="0" vertical="center"/>
    </xf>
    <xf borderId="1" fillId="27" fontId="46" numFmtId="0" xfId="0" applyAlignment="1" applyBorder="1" applyFont="1">
      <alignment horizontal="center" readingOrder="0" shrinkToFit="0" vertical="center" wrapText="1"/>
    </xf>
    <xf borderId="0" fillId="0" fontId="46" numFmtId="0" xfId="0" applyFont="1"/>
    <xf borderId="1" fillId="0" fontId="46" numFmtId="165" xfId="0" applyAlignment="1" applyBorder="1" applyFont="1" applyNumberFormat="1">
      <alignment horizontal="center" readingOrder="0" vertical="top"/>
    </xf>
    <xf borderId="1" fillId="0" fontId="46" numFmtId="0" xfId="0" applyAlignment="1" applyBorder="1" applyFont="1">
      <alignment horizontal="center" readingOrder="0" vertical="top"/>
    </xf>
    <xf borderId="1" fillId="0" fontId="46" numFmtId="0" xfId="0" applyAlignment="1" applyBorder="1" applyFont="1">
      <alignment readingOrder="0" shrinkToFit="0" vertical="top" wrapText="1"/>
    </xf>
    <xf borderId="1" fillId="0" fontId="47" numFmtId="0" xfId="0" applyAlignment="1" applyBorder="1" applyFont="1">
      <alignment readingOrder="0" vertical="top"/>
    </xf>
    <xf borderId="1" fillId="0" fontId="46" numFmtId="0" xfId="0" applyAlignment="1" applyBorder="1" applyFont="1">
      <alignment vertical="top"/>
    </xf>
    <xf borderId="1" fillId="0" fontId="46" numFmtId="165" xfId="0" applyAlignment="1" applyBorder="1" applyFont="1" applyNumberFormat="1">
      <alignment horizontal="center" vertical="top"/>
    </xf>
    <xf borderId="1" fillId="0" fontId="46" numFmtId="0" xfId="0" applyAlignment="1" applyBorder="1" applyFont="1">
      <alignment horizontal="center" vertical="top"/>
    </xf>
    <xf borderId="1" fillId="0" fontId="46" numFmtId="0" xfId="0" applyAlignment="1" applyBorder="1" applyFont="1">
      <alignment shrinkToFit="0" vertical="top" wrapText="1"/>
    </xf>
    <xf borderId="0" fillId="0" fontId="46" numFmtId="0" xfId="0" applyAlignment="1" applyFont="1">
      <alignment horizontal="center"/>
    </xf>
    <xf borderId="0" fillId="0" fontId="4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66675</xdr:rowOff>
    </xdr:from>
    <xdr:ext cx="752475" cy="257175"/>
    <xdr:sp>
      <xdr:nvSpPr>
        <xdr:cNvPr id="3" name="Shape 3"/>
        <xdr:cNvSpPr/>
      </xdr:nvSpPr>
      <xdr:spPr>
        <a:xfrm>
          <a:off x="1649750" y="453325"/>
          <a:ext cx="1134900" cy="347700"/>
        </a:xfrm>
        <a:prstGeom prst="roundRect">
          <a:avLst>
            <a:gd fmla="val 16667" name="adj"/>
          </a:avLst>
        </a:prstGeom>
        <a:solidFill>
          <a:srgbClr val="FF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In progress</a:t>
          </a:r>
          <a:endParaRPr b="1" sz="1200"/>
        </a:p>
      </xdr:txBody>
    </xdr:sp>
    <xdr:clientData fLocksWithSheet="0"/>
  </xdr:oneCellAnchor>
  <xdr:oneCellAnchor>
    <xdr:from>
      <xdr:col>0</xdr:col>
      <xdr:colOff>257175</xdr:colOff>
      <xdr:row>0</xdr:row>
      <xdr:rowOff>352425</xdr:rowOff>
    </xdr:from>
    <xdr:ext cx="752475" cy="257175"/>
    <xdr:sp>
      <xdr:nvSpPr>
        <xdr:cNvPr id="4" name="Shape 4"/>
        <xdr:cNvSpPr/>
      </xdr:nvSpPr>
      <xdr:spPr>
        <a:xfrm>
          <a:off x="1649750" y="453325"/>
          <a:ext cx="1134900" cy="347700"/>
        </a:xfrm>
        <a:prstGeom prst="roundRect">
          <a:avLst>
            <a:gd fmla="val 16667" name="adj"/>
          </a:avLst>
        </a:prstGeom>
        <a:solidFill>
          <a:srgbClr val="FF99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Pending</a:t>
          </a:r>
          <a:endParaRPr b="1" sz="1200"/>
        </a:p>
      </xdr:txBody>
    </xdr:sp>
    <xdr:clientData fLocksWithSheet="0"/>
  </xdr:oneCellAnchor>
  <xdr:oneCellAnchor>
    <xdr:from>
      <xdr:col>1</xdr:col>
      <xdr:colOff>219075</xdr:colOff>
      <xdr:row>0</xdr:row>
      <xdr:rowOff>66675</xdr:rowOff>
    </xdr:from>
    <xdr:ext cx="752475" cy="257175"/>
    <xdr:sp>
      <xdr:nvSpPr>
        <xdr:cNvPr id="5" name="Shape 5"/>
        <xdr:cNvSpPr/>
      </xdr:nvSpPr>
      <xdr:spPr>
        <a:xfrm>
          <a:off x="1649750" y="453325"/>
          <a:ext cx="1134900" cy="347700"/>
        </a:xfrm>
        <a:prstGeom prst="roundRect">
          <a:avLst>
            <a:gd fmla="val 16667" name="adj"/>
          </a:avLst>
        </a:prstGeom>
        <a:solidFill>
          <a:srgbClr val="00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Done</a:t>
          </a:r>
          <a:endParaRPr b="1" sz="1200"/>
        </a:p>
      </xdr:txBody>
    </xdr:sp>
    <xdr:clientData fLocksWithSheet="0"/>
  </xdr:oneCellAnchor>
  <xdr:oneCellAnchor>
    <xdr:from>
      <xdr:col>1</xdr:col>
      <xdr:colOff>219075</xdr:colOff>
      <xdr:row>0</xdr:row>
      <xdr:rowOff>352425</xdr:rowOff>
    </xdr:from>
    <xdr:ext cx="752475" cy="257175"/>
    <xdr:sp>
      <xdr:nvSpPr>
        <xdr:cNvPr id="6" name="Shape 6"/>
        <xdr:cNvSpPr/>
      </xdr:nvSpPr>
      <xdr:spPr>
        <a:xfrm>
          <a:off x="1649750" y="504450"/>
          <a:ext cx="1134900" cy="347700"/>
        </a:xfrm>
        <a:prstGeom prst="roundRect">
          <a:avLst>
            <a:gd fmla="val 16667" name="adj"/>
          </a:avLst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Delivered</a:t>
          </a:r>
          <a:endParaRPr b="1" sz="1200"/>
        </a:p>
      </xdr:txBody>
    </xdr:sp>
    <xdr:clientData fLocksWithSheet="0"/>
  </xdr:oneCellAnchor>
  <xdr:oneCellAnchor>
    <xdr:from>
      <xdr:col>1</xdr:col>
      <xdr:colOff>1009650</xdr:colOff>
      <xdr:row>0</xdr:row>
      <xdr:rowOff>66675</xdr:rowOff>
    </xdr:from>
    <xdr:ext cx="752475" cy="257175"/>
    <xdr:sp>
      <xdr:nvSpPr>
        <xdr:cNvPr id="7" name="Shape 7"/>
        <xdr:cNvSpPr/>
      </xdr:nvSpPr>
      <xdr:spPr>
        <a:xfrm>
          <a:off x="1649750" y="453325"/>
          <a:ext cx="1134900" cy="347700"/>
        </a:xfrm>
        <a:prstGeom prst="roundRect">
          <a:avLst>
            <a:gd fmla="val 16667" name="adj"/>
          </a:avLst>
        </a:prstGeom>
        <a:solidFill>
          <a:srgbClr val="FF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Cancelled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1009650</xdr:colOff>
      <xdr:row>0</xdr:row>
      <xdr:rowOff>352425</xdr:rowOff>
    </xdr:from>
    <xdr:ext cx="752475" cy="257175"/>
    <xdr:sp>
      <xdr:nvSpPr>
        <xdr:cNvPr id="8" name="Shape 8"/>
        <xdr:cNvSpPr/>
      </xdr:nvSpPr>
      <xdr:spPr>
        <a:xfrm>
          <a:off x="1649750" y="453325"/>
          <a:ext cx="1134900" cy="347700"/>
        </a:xfrm>
        <a:prstGeom prst="roundRect">
          <a:avLst>
            <a:gd fmla="val 16667" name="adj"/>
          </a:avLst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All</a:t>
          </a:r>
          <a:endParaRPr b="1" sz="1200"/>
        </a:p>
      </xdr:txBody>
    </xdr:sp>
    <xdr:clientData fLocksWithSheet="0"/>
  </xdr:oneCellAnchor>
  <xdr:oneCellAnchor>
    <xdr:from>
      <xdr:col>1</xdr:col>
      <xdr:colOff>1800225</xdr:colOff>
      <xdr:row>0</xdr:row>
      <xdr:rowOff>66675</xdr:rowOff>
    </xdr:from>
    <xdr:ext cx="752475" cy="257175"/>
    <xdr:sp>
      <xdr:nvSpPr>
        <xdr:cNvPr id="9" name="Shape 9"/>
        <xdr:cNvSpPr/>
      </xdr:nvSpPr>
      <xdr:spPr>
        <a:xfrm>
          <a:off x="2519475" y="925775"/>
          <a:ext cx="1209900" cy="456900"/>
        </a:xfrm>
        <a:prstGeom prst="roundRect">
          <a:avLst>
            <a:gd fmla="val 16667" name="adj"/>
          </a:avLst>
        </a:prstGeom>
        <a:solidFill>
          <a:srgbClr val="FF00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Waiting for approval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4</xdr:col>
      <xdr:colOff>466725</xdr:colOff>
      <xdr:row>0</xdr:row>
      <xdr:rowOff>76200</xdr:rowOff>
    </xdr:from>
    <xdr:ext cx="457200" cy="238125"/>
    <xdr:sp>
      <xdr:nvSpPr>
        <xdr:cNvPr id="10" name="Shape 10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9. VV</a:t>
          </a:r>
          <a:endParaRPr b="1" sz="1200"/>
        </a:p>
      </xdr:txBody>
    </xdr:sp>
    <xdr:clientData fLocksWithSheet="0"/>
  </xdr:oneCellAnchor>
  <xdr:oneCellAnchor>
    <xdr:from>
      <xdr:col>4</xdr:col>
      <xdr:colOff>466725</xdr:colOff>
      <xdr:row>0</xdr:row>
      <xdr:rowOff>361950</xdr:rowOff>
    </xdr:from>
    <xdr:ext cx="457200" cy="238125"/>
    <xdr:sp>
      <xdr:nvSpPr>
        <xdr:cNvPr id="11" name="Shape 11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10. NV</a:t>
          </a:r>
          <a:endParaRPr b="1" sz="1200"/>
        </a:p>
      </xdr:txBody>
    </xdr:sp>
    <xdr:clientData fLocksWithSheet="0"/>
  </xdr:oneCellAnchor>
  <xdr:oneCellAnchor>
    <xdr:from>
      <xdr:col>5</xdr:col>
      <xdr:colOff>57150</xdr:colOff>
      <xdr:row>0</xdr:row>
      <xdr:rowOff>76200</xdr:rowOff>
    </xdr:from>
    <xdr:ext cx="457200" cy="238125"/>
    <xdr:sp>
      <xdr:nvSpPr>
        <xdr:cNvPr id="12" name="Shape 12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12. CN</a:t>
          </a:r>
          <a:endParaRPr b="1" sz="1200"/>
        </a:p>
      </xdr:txBody>
    </xdr:sp>
    <xdr:clientData fLocksWithSheet="0"/>
  </xdr:oneCellAnchor>
  <xdr:oneCellAnchor>
    <xdr:from>
      <xdr:col>5</xdr:col>
      <xdr:colOff>57150</xdr:colOff>
      <xdr:row>0</xdr:row>
      <xdr:rowOff>361950</xdr:rowOff>
    </xdr:from>
    <xdr:ext cx="457200" cy="238125"/>
    <xdr:sp>
      <xdr:nvSpPr>
        <xdr:cNvPr id="13" name="Shape 13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13. AR</a:t>
          </a:r>
          <a:endParaRPr b="1" sz="1200"/>
        </a:p>
      </xdr:txBody>
    </xdr:sp>
    <xdr:clientData fLocksWithSheet="0"/>
  </xdr:oneCellAnchor>
  <xdr:oneCellAnchor>
    <xdr:from>
      <xdr:col>5</xdr:col>
      <xdr:colOff>561975</xdr:colOff>
      <xdr:row>0</xdr:row>
      <xdr:rowOff>76200</xdr:rowOff>
    </xdr:from>
    <xdr:ext cx="457200" cy="238125"/>
    <xdr:sp>
      <xdr:nvSpPr>
        <xdr:cNvPr id="14" name="Shape 14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14. EI</a:t>
          </a:r>
          <a:endParaRPr b="1" sz="1200"/>
        </a:p>
      </xdr:txBody>
    </xdr:sp>
    <xdr:clientData fLocksWithSheet="0"/>
  </xdr:oneCellAnchor>
  <xdr:oneCellAnchor>
    <xdr:from>
      <xdr:col>5</xdr:col>
      <xdr:colOff>561975</xdr:colOff>
      <xdr:row>0</xdr:row>
      <xdr:rowOff>361950</xdr:rowOff>
    </xdr:from>
    <xdr:ext cx="457200" cy="238125"/>
    <xdr:sp>
      <xdr:nvSpPr>
        <xdr:cNvPr id="15" name="Shape 15"/>
        <xdr:cNvSpPr/>
      </xdr:nvSpPr>
      <xdr:spPr>
        <a:xfrm>
          <a:off x="2357050" y="1017125"/>
          <a:ext cx="8427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15. HG</a:t>
          </a:r>
          <a:endParaRPr b="1" sz="1200"/>
        </a:p>
      </xdr:txBody>
    </xdr:sp>
    <xdr:clientData fLocksWithSheet="0"/>
  </xdr:oneCellAnchor>
  <xdr:oneCellAnchor>
    <xdr:from>
      <xdr:col>6</xdr:col>
      <xdr:colOff>228600</xdr:colOff>
      <xdr:row>0</xdr:row>
      <xdr:rowOff>76200</xdr:rowOff>
    </xdr:from>
    <xdr:ext cx="457200" cy="238125"/>
    <xdr:sp>
      <xdr:nvSpPr>
        <xdr:cNvPr id="16" name="Shape 16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16. VG</a:t>
          </a:r>
          <a:endParaRPr b="1" sz="1200"/>
        </a:p>
      </xdr:txBody>
    </xdr:sp>
    <xdr:clientData fLocksWithSheet="0"/>
  </xdr:oneCellAnchor>
  <xdr:oneCellAnchor>
    <xdr:from>
      <xdr:col>6</xdr:col>
      <xdr:colOff>228600</xdr:colOff>
      <xdr:row>0</xdr:row>
      <xdr:rowOff>361950</xdr:rowOff>
    </xdr:from>
    <xdr:ext cx="457200" cy="238125"/>
    <xdr:sp>
      <xdr:nvSpPr>
        <xdr:cNvPr id="17" name="Shape 17"/>
        <xdr:cNvSpPr/>
      </xdr:nvSpPr>
      <xdr:spPr>
        <a:xfrm>
          <a:off x="2357050" y="1017125"/>
          <a:ext cx="8832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17. VW</a:t>
          </a:r>
          <a:endParaRPr b="1" sz="1200"/>
        </a:p>
      </xdr:txBody>
    </xdr:sp>
    <xdr:clientData fLocksWithSheet="0"/>
  </xdr:oneCellAnchor>
  <xdr:oneCellAnchor>
    <xdr:from>
      <xdr:col>7</xdr:col>
      <xdr:colOff>123825</xdr:colOff>
      <xdr:row>0</xdr:row>
      <xdr:rowOff>352425</xdr:rowOff>
    </xdr:from>
    <xdr:ext cx="457200" cy="238125"/>
    <xdr:sp>
      <xdr:nvSpPr>
        <xdr:cNvPr id="18" name="Shape 18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21. LI</a:t>
          </a:r>
          <a:endParaRPr b="1" sz="1200"/>
        </a:p>
      </xdr:txBody>
    </xdr:sp>
    <xdr:clientData fLocksWithSheet="0"/>
  </xdr:oneCellAnchor>
  <xdr:oneCellAnchor>
    <xdr:from>
      <xdr:col>8</xdr:col>
      <xdr:colOff>114300</xdr:colOff>
      <xdr:row>0</xdr:row>
      <xdr:rowOff>76200</xdr:rowOff>
    </xdr:from>
    <xdr:ext cx="457200" cy="238125"/>
    <xdr:sp>
      <xdr:nvSpPr>
        <xdr:cNvPr id="19" name="Shape 19"/>
        <xdr:cNvSpPr/>
      </xdr:nvSpPr>
      <xdr:spPr>
        <a:xfrm>
          <a:off x="2357050" y="1017125"/>
          <a:ext cx="9237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22. VBB</a:t>
          </a:r>
          <a:endParaRPr b="1" sz="1200"/>
        </a:p>
      </xdr:txBody>
    </xdr:sp>
    <xdr:clientData fLocksWithSheet="0"/>
  </xdr:oneCellAnchor>
  <xdr:oneCellAnchor>
    <xdr:from>
      <xdr:col>8</xdr:col>
      <xdr:colOff>104775</xdr:colOff>
      <xdr:row>0</xdr:row>
      <xdr:rowOff>352425</xdr:rowOff>
    </xdr:from>
    <xdr:ext cx="457200" cy="238125"/>
    <xdr:sp>
      <xdr:nvSpPr>
        <xdr:cNvPr id="20" name="Shape 20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23. RA</a:t>
          </a:r>
          <a:endParaRPr b="1" sz="1200"/>
        </a:p>
      </xdr:txBody>
    </xdr:sp>
    <xdr:clientData fLocksWithSheet="0"/>
  </xdr:oneCellAnchor>
  <xdr:oneCellAnchor>
    <xdr:from>
      <xdr:col>9</xdr:col>
      <xdr:colOff>19050</xdr:colOff>
      <xdr:row>0</xdr:row>
      <xdr:rowOff>76200</xdr:rowOff>
    </xdr:from>
    <xdr:ext cx="457200" cy="238125"/>
    <xdr:sp>
      <xdr:nvSpPr>
        <xdr:cNvPr id="21" name="Shape 21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24. VU</a:t>
          </a:r>
          <a:endParaRPr b="1" sz="1200"/>
        </a:p>
      </xdr:txBody>
    </xdr:sp>
    <xdr:clientData fLocksWithSheet="0"/>
  </xdr:oneCellAnchor>
  <xdr:oneCellAnchor>
    <xdr:from>
      <xdr:col>10</xdr:col>
      <xdr:colOff>19050</xdr:colOff>
      <xdr:row>0</xdr:row>
      <xdr:rowOff>76200</xdr:rowOff>
    </xdr:from>
    <xdr:ext cx="457200" cy="238125"/>
    <xdr:sp>
      <xdr:nvSpPr>
        <xdr:cNvPr id="22" name="Shape 22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26. VS</a:t>
          </a:r>
          <a:endParaRPr b="1" sz="1200"/>
        </a:p>
      </xdr:txBody>
    </xdr:sp>
    <xdr:clientData fLocksWithSheet="0"/>
  </xdr:oneCellAnchor>
  <xdr:oneCellAnchor>
    <xdr:from>
      <xdr:col>10</xdr:col>
      <xdr:colOff>19050</xdr:colOff>
      <xdr:row>0</xdr:row>
      <xdr:rowOff>352425</xdr:rowOff>
    </xdr:from>
    <xdr:ext cx="457200" cy="238125"/>
    <xdr:sp>
      <xdr:nvSpPr>
        <xdr:cNvPr id="23" name="Shape 23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27. PG</a:t>
          </a:r>
          <a:endParaRPr b="1" sz="1200"/>
        </a:p>
      </xdr:txBody>
    </xdr:sp>
    <xdr:clientData fLocksWithSheet="0"/>
  </xdr:oneCellAnchor>
  <xdr:oneCellAnchor>
    <xdr:from>
      <xdr:col>10</xdr:col>
      <xdr:colOff>523875</xdr:colOff>
      <xdr:row>0</xdr:row>
      <xdr:rowOff>76200</xdr:rowOff>
    </xdr:from>
    <xdr:ext cx="457200" cy="238125"/>
    <xdr:sp>
      <xdr:nvSpPr>
        <xdr:cNvPr id="24" name="Shape 24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28. VI</a:t>
          </a:r>
          <a:endParaRPr b="1" sz="1200"/>
        </a:p>
      </xdr:txBody>
    </xdr:sp>
    <xdr:clientData fLocksWithSheet="0"/>
  </xdr:oneCellAnchor>
  <xdr:oneCellAnchor>
    <xdr:from>
      <xdr:col>10</xdr:col>
      <xdr:colOff>523875</xdr:colOff>
      <xdr:row>0</xdr:row>
      <xdr:rowOff>352425</xdr:rowOff>
    </xdr:from>
    <xdr:ext cx="457200" cy="238125"/>
    <xdr:sp>
      <xdr:nvSpPr>
        <xdr:cNvPr id="25" name="Shape 25"/>
        <xdr:cNvSpPr/>
      </xdr:nvSpPr>
      <xdr:spPr>
        <a:xfrm>
          <a:off x="2357050" y="1017125"/>
          <a:ext cx="8832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29. QG</a:t>
          </a:r>
          <a:endParaRPr b="1" sz="1200"/>
        </a:p>
      </xdr:txBody>
    </xdr:sp>
    <xdr:clientData fLocksWithSheet="0"/>
  </xdr:oneCellAnchor>
  <xdr:oneCellAnchor>
    <xdr:from>
      <xdr:col>11</xdr:col>
      <xdr:colOff>247650</xdr:colOff>
      <xdr:row>0</xdr:row>
      <xdr:rowOff>76200</xdr:rowOff>
    </xdr:from>
    <xdr:ext cx="457200" cy="238125"/>
    <xdr:sp>
      <xdr:nvSpPr>
        <xdr:cNvPr id="26" name="Shape 26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30. BT</a:t>
          </a:r>
          <a:endParaRPr b="1" sz="1200"/>
        </a:p>
      </xdr:txBody>
    </xdr:sp>
    <xdr:clientData fLocksWithSheet="0"/>
  </xdr:oneCellAnchor>
  <xdr:oneCellAnchor>
    <xdr:from>
      <xdr:col>11</xdr:col>
      <xdr:colOff>247650</xdr:colOff>
      <xdr:row>0</xdr:row>
      <xdr:rowOff>352425</xdr:rowOff>
    </xdr:from>
    <xdr:ext cx="457200" cy="238125"/>
    <xdr:sp>
      <xdr:nvSpPr>
        <xdr:cNvPr id="27" name="Shape 27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31. TM</a:t>
          </a:r>
          <a:endParaRPr b="1" sz="1200"/>
        </a:p>
      </xdr:txBody>
    </xdr:sp>
    <xdr:clientData fLocksWithSheet="0"/>
  </xdr:oneCellAnchor>
  <xdr:oneCellAnchor>
    <xdr:from>
      <xdr:col>1</xdr:col>
      <xdr:colOff>1800225</xdr:colOff>
      <xdr:row>0</xdr:row>
      <xdr:rowOff>352425</xdr:rowOff>
    </xdr:from>
    <xdr:ext cx="752475" cy="257175"/>
    <xdr:sp>
      <xdr:nvSpPr>
        <xdr:cNvPr id="28" name="Shape 28"/>
        <xdr:cNvSpPr/>
      </xdr:nvSpPr>
      <xdr:spPr>
        <a:xfrm>
          <a:off x="1649750" y="453325"/>
          <a:ext cx="1407600" cy="347700"/>
        </a:xfrm>
        <a:prstGeom prst="roundRect">
          <a:avLst>
            <a:gd fmla="val 16667" name="adj"/>
          </a:avLst>
        </a:prstGeom>
        <a:solidFill>
          <a:srgbClr val="1155CC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FFFFFF"/>
              </a:solidFill>
            </a:rPr>
            <a:t>Date requested</a:t>
          </a:r>
          <a:endParaRPr b="1"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11</xdr:col>
      <xdr:colOff>752475</xdr:colOff>
      <xdr:row>0</xdr:row>
      <xdr:rowOff>76200</xdr:rowOff>
    </xdr:from>
    <xdr:ext cx="457200" cy="238125"/>
    <xdr:sp>
      <xdr:nvSpPr>
        <xdr:cNvPr id="29" name="Shape 29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32. TI</a:t>
          </a:r>
          <a:endParaRPr b="1" sz="1200"/>
        </a:p>
      </xdr:txBody>
    </xdr:sp>
    <xdr:clientData fLocksWithSheet="0"/>
  </xdr:oneCellAnchor>
  <xdr:oneCellAnchor>
    <xdr:from>
      <xdr:col>11</xdr:col>
      <xdr:colOff>752475</xdr:colOff>
      <xdr:row>0</xdr:row>
      <xdr:rowOff>352425</xdr:rowOff>
    </xdr:from>
    <xdr:ext cx="457200" cy="238125"/>
    <xdr:sp>
      <xdr:nvSpPr>
        <xdr:cNvPr id="30" name="Shape 30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33. IK</a:t>
          </a:r>
          <a:endParaRPr b="1" sz="1200"/>
        </a:p>
      </xdr:txBody>
    </xdr:sp>
    <xdr:clientData fLocksWithSheet="0"/>
  </xdr:oneCellAnchor>
  <xdr:oneCellAnchor>
    <xdr:from>
      <xdr:col>11</xdr:col>
      <xdr:colOff>1257300</xdr:colOff>
      <xdr:row>0</xdr:row>
      <xdr:rowOff>76200</xdr:rowOff>
    </xdr:from>
    <xdr:ext cx="457200" cy="238125"/>
    <xdr:sp>
      <xdr:nvSpPr>
        <xdr:cNvPr id="31" name="Shape 31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34. EN</a:t>
          </a:r>
          <a:endParaRPr b="1" sz="1200"/>
        </a:p>
      </xdr:txBody>
    </xdr:sp>
    <xdr:clientData fLocksWithSheet="0"/>
  </xdr:oneCellAnchor>
  <xdr:oneCellAnchor>
    <xdr:from>
      <xdr:col>11</xdr:col>
      <xdr:colOff>1257300</xdr:colOff>
      <xdr:row>0</xdr:row>
      <xdr:rowOff>361950</xdr:rowOff>
    </xdr:from>
    <xdr:ext cx="457200" cy="238125"/>
    <xdr:sp>
      <xdr:nvSpPr>
        <xdr:cNvPr id="32" name="Shape 32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36. FU</a:t>
          </a:r>
          <a:endParaRPr b="1" sz="1200"/>
        </a:p>
      </xdr:txBody>
    </xdr:sp>
    <xdr:clientData fLocksWithSheet="0"/>
  </xdr:oneCellAnchor>
  <xdr:oneCellAnchor>
    <xdr:from>
      <xdr:col>11</xdr:col>
      <xdr:colOff>1762125</xdr:colOff>
      <xdr:row>0</xdr:row>
      <xdr:rowOff>76200</xdr:rowOff>
    </xdr:from>
    <xdr:ext cx="457200" cy="238125"/>
    <xdr:sp>
      <xdr:nvSpPr>
        <xdr:cNvPr id="33" name="Shape 33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37. MT</a:t>
          </a:r>
          <a:endParaRPr b="1" sz="1200"/>
        </a:p>
      </xdr:txBody>
    </xdr:sp>
    <xdr:clientData fLocksWithSheet="0"/>
  </xdr:oneCellAnchor>
  <xdr:oneCellAnchor>
    <xdr:from>
      <xdr:col>11</xdr:col>
      <xdr:colOff>1762125</xdr:colOff>
      <xdr:row>0</xdr:row>
      <xdr:rowOff>352425</xdr:rowOff>
    </xdr:from>
    <xdr:ext cx="457200" cy="238125"/>
    <xdr:sp>
      <xdr:nvSpPr>
        <xdr:cNvPr id="34" name="Shape 34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38. KK</a:t>
          </a:r>
          <a:endParaRPr b="1" sz="1200"/>
        </a:p>
      </xdr:txBody>
    </xdr:sp>
    <xdr:clientData fLocksWithSheet="0"/>
  </xdr:oneCellAnchor>
  <xdr:oneCellAnchor>
    <xdr:from>
      <xdr:col>9</xdr:col>
      <xdr:colOff>9525</xdr:colOff>
      <xdr:row>0</xdr:row>
      <xdr:rowOff>352425</xdr:rowOff>
    </xdr:from>
    <xdr:ext cx="457200" cy="238125"/>
    <xdr:sp>
      <xdr:nvSpPr>
        <xdr:cNvPr id="35" name="Shape 35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25. PZ</a:t>
          </a:r>
          <a:endParaRPr b="1" sz="1200"/>
        </a:p>
      </xdr:txBody>
    </xdr:sp>
    <xdr:clientData fLocksWithSheet="0"/>
  </xdr:oneCellAnchor>
  <xdr:oneCellAnchor>
    <xdr:from>
      <xdr:col>11</xdr:col>
      <xdr:colOff>2266950</xdr:colOff>
      <xdr:row>0</xdr:row>
      <xdr:rowOff>76200</xdr:rowOff>
    </xdr:from>
    <xdr:ext cx="457200" cy="238125"/>
    <xdr:sp>
      <xdr:nvSpPr>
        <xdr:cNvPr id="36" name="Shape 36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39. HV</a:t>
          </a:r>
          <a:endParaRPr b="1" sz="1200"/>
        </a:p>
      </xdr:txBody>
    </xdr:sp>
    <xdr:clientData fLocksWithSheet="0"/>
  </xdr:oneCellAnchor>
  <xdr:oneCellAnchor>
    <xdr:from>
      <xdr:col>11</xdr:col>
      <xdr:colOff>2266950</xdr:colOff>
      <xdr:row>0</xdr:row>
      <xdr:rowOff>352425</xdr:rowOff>
    </xdr:from>
    <xdr:ext cx="457200" cy="238125"/>
    <xdr:sp>
      <xdr:nvSpPr>
        <xdr:cNvPr id="37" name="Shape 37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40</a:t>
          </a:r>
          <a:r>
            <a:rPr b="1" lang="en-US" sz="1200"/>
            <a:t>. FS</a:t>
          </a:r>
          <a:endParaRPr b="1" sz="1200"/>
        </a:p>
      </xdr:txBody>
    </xdr:sp>
    <xdr:clientData fLocksWithSheet="0"/>
  </xdr:oneCellAnchor>
  <xdr:oneCellAnchor>
    <xdr:from>
      <xdr:col>11</xdr:col>
      <xdr:colOff>2771775</xdr:colOff>
      <xdr:row>0</xdr:row>
      <xdr:rowOff>76200</xdr:rowOff>
    </xdr:from>
    <xdr:ext cx="457200" cy="238125"/>
    <xdr:sp>
      <xdr:nvSpPr>
        <xdr:cNvPr id="38" name="Shape 38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41</a:t>
          </a:r>
          <a:r>
            <a:rPr b="1" lang="en-US" sz="1200"/>
            <a:t>. CC</a:t>
          </a:r>
          <a:endParaRPr b="1" sz="1200"/>
        </a:p>
      </xdr:txBody>
    </xdr:sp>
    <xdr:clientData fLocksWithSheet="0"/>
  </xdr:oneCellAnchor>
  <xdr:oneCellAnchor>
    <xdr:from>
      <xdr:col>11</xdr:col>
      <xdr:colOff>2771775</xdr:colOff>
      <xdr:row>0</xdr:row>
      <xdr:rowOff>352425</xdr:rowOff>
    </xdr:from>
    <xdr:ext cx="457200" cy="238125"/>
    <xdr:sp>
      <xdr:nvSpPr>
        <xdr:cNvPr id="39" name="Shape 39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42. DI</a:t>
          </a:r>
          <a:endParaRPr b="1" sz="1200"/>
        </a:p>
      </xdr:txBody>
    </xdr:sp>
    <xdr:clientData fLocksWithSheet="0"/>
  </xdr:oneCellAnchor>
  <xdr:oneCellAnchor>
    <xdr:from>
      <xdr:col>11</xdr:col>
      <xdr:colOff>3276600</xdr:colOff>
      <xdr:row>0</xdr:row>
      <xdr:rowOff>76200</xdr:rowOff>
    </xdr:from>
    <xdr:ext cx="457200" cy="238125"/>
    <xdr:sp>
      <xdr:nvSpPr>
        <xdr:cNvPr id="40" name="Shape 40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43. BA</a:t>
          </a:r>
          <a:endParaRPr b="1" sz="1200"/>
        </a:p>
      </xdr:txBody>
    </xdr:sp>
    <xdr:clientData fLocksWithSheet="0"/>
  </xdr:oneCellAnchor>
  <xdr:oneCellAnchor>
    <xdr:from>
      <xdr:col>11</xdr:col>
      <xdr:colOff>3276600</xdr:colOff>
      <xdr:row>0</xdr:row>
      <xdr:rowOff>352425</xdr:rowOff>
    </xdr:from>
    <xdr:ext cx="457200" cy="238125"/>
    <xdr:sp>
      <xdr:nvSpPr>
        <xdr:cNvPr id="41" name="Shape 41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44. GG</a:t>
          </a:r>
          <a:endParaRPr b="1" sz="1200"/>
        </a:p>
      </xdr:txBody>
    </xdr:sp>
    <xdr:clientData fLocksWithSheet="0"/>
  </xdr:oneCellAnchor>
  <xdr:oneCellAnchor>
    <xdr:from>
      <xdr:col>11</xdr:col>
      <xdr:colOff>3781425</xdr:colOff>
      <xdr:row>0</xdr:row>
      <xdr:rowOff>76200</xdr:rowOff>
    </xdr:from>
    <xdr:ext cx="457200" cy="238125"/>
    <xdr:sp>
      <xdr:nvSpPr>
        <xdr:cNvPr id="42" name="Shape 42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46. MM</a:t>
          </a:r>
          <a:endParaRPr b="1" sz="1200"/>
        </a:p>
      </xdr:txBody>
    </xdr:sp>
    <xdr:clientData fLocksWithSheet="0"/>
  </xdr:oneCellAnchor>
  <xdr:oneCellAnchor>
    <xdr:from>
      <xdr:col>11</xdr:col>
      <xdr:colOff>3781425</xdr:colOff>
      <xdr:row>0</xdr:row>
      <xdr:rowOff>352425</xdr:rowOff>
    </xdr:from>
    <xdr:ext cx="457200" cy="238125"/>
    <xdr:sp>
      <xdr:nvSpPr>
        <xdr:cNvPr id="43" name="Shape 43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47. FB</a:t>
          </a:r>
          <a:endParaRPr b="1" sz="1200"/>
        </a:p>
      </xdr:txBody>
    </xdr:sp>
    <xdr:clientData fLocksWithSheet="0"/>
  </xdr:oneCellAnchor>
  <xdr:oneCellAnchor>
    <xdr:from>
      <xdr:col>7</xdr:col>
      <xdr:colOff>133350</xdr:colOff>
      <xdr:row>0</xdr:row>
      <xdr:rowOff>76200</xdr:rowOff>
    </xdr:from>
    <xdr:ext cx="457200" cy="238125"/>
    <xdr:sp>
      <xdr:nvSpPr>
        <xdr:cNvPr id="44" name="Shape 44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19</a:t>
          </a:r>
          <a:r>
            <a:rPr b="1" lang="en-US" sz="1200"/>
            <a:t>. DE</a:t>
          </a:r>
          <a:endParaRPr b="1" sz="1200"/>
        </a:p>
      </xdr:txBody>
    </xdr:sp>
    <xdr:clientData fLocksWithSheet="0"/>
  </xdr:oneCellAnchor>
  <xdr:oneCellAnchor>
    <xdr:from>
      <xdr:col>11</xdr:col>
      <xdr:colOff>4286250</xdr:colOff>
      <xdr:row>0</xdr:row>
      <xdr:rowOff>76200</xdr:rowOff>
    </xdr:from>
    <xdr:ext cx="457200" cy="238125"/>
    <xdr:sp>
      <xdr:nvSpPr>
        <xdr:cNvPr id="45" name="Shape 45"/>
        <xdr:cNvSpPr/>
      </xdr:nvSpPr>
      <xdr:spPr>
        <a:xfrm>
          <a:off x="2357050" y="1017125"/>
          <a:ext cx="7815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48. HP</a:t>
          </a:r>
          <a:endParaRPr b="1" sz="1200"/>
        </a:p>
      </xdr:txBody>
    </xdr:sp>
    <xdr:clientData fLocksWithSheet="0"/>
  </xdr:oneCellAnchor>
  <xdr:oneCellAnchor>
    <xdr:from>
      <xdr:col>11</xdr:col>
      <xdr:colOff>4286250</xdr:colOff>
      <xdr:row>0</xdr:row>
      <xdr:rowOff>361950</xdr:rowOff>
    </xdr:from>
    <xdr:ext cx="457200" cy="238125"/>
    <xdr:sp>
      <xdr:nvSpPr>
        <xdr:cNvPr id="46" name="Shape 46"/>
        <xdr:cNvSpPr/>
      </xdr:nvSpPr>
      <xdr:spPr>
        <a:xfrm>
          <a:off x="2357050" y="1017125"/>
          <a:ext cx="8832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17. HS</a:t>
          </a:r>
          <a:endParaRPr b="1" sz="1200"/>
        </a:p>
      </xdr:txBody>
    </xdr:sp>
    <xdr:clientData fLocksWithSheet="0"/>
  </xdr:oneCellAnchor>
  <xdr:oneCellAnchor>
    <xdr:from>
      <xdr:col>3</xdr:col>
      <xdr:colOff>1285875</xdr:colOff>
      <xdr:row>0</xdr:row>
      <xdr:rowOff>76200</xdr:rowOff>
    </xdr:from>
    <xdr:ext cx="457200" cy="238125"/>
    <xdr:sp>
      <xdr:nvSpPr>
        <xdr:cNvPr id="47" name="Shape 47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7</a:t>
          </a:r>
          <a:r>
            <a:rPr b="1" lang="en-US" sz="1200"/>
            <a:t>. DX</a:t>
          </a:r>
          <a:endParaRPr b="1" sz="1200"/>
        </a:p>
      </xdr:txBody>
    </xdr:sp>
    <xdr:clientData fLocksWithSheet="0"/>
  </xdr:oneCellAnchor>
  <xdr:oneCellAnchor>
    <xdr:from>
      <xdr:col>3</xdr:col>
      <xdr:colOff>1285875</xdr:colOff>
      <xdr:row>0</xdr:row>
      <xdr:rowOff>361950</xdr:rowOff>
    </xdr:from>
    <xdr:ext cx="457200" cy="238125"/>
    <xdr:sp>
      <xdr:nvSpPr>
        <xdr:cNvPr id="48" name="Shape 48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8</a:t>
          </a:r>
          <a:r>
            <a:rPr b="1" lang="en-US" sz="1200"/>
            <a:t>. KB</a:t>
          </a:r>
          <a:endParaRPr b="1" sz="1200"/>
        </a:p>
      </xdr:txBody>
    </xdr:sp>
    <xdr:clientData fLocksWithSheet="0"/>
  </xdr:oneCellAnchor>
  <xdr:oneCellAnchor>
    <xdr:from>
      <xdr:col>3</xdr:col>
      <xdr:colOff>781050</xdr:colOff>
      <xdr:row>0</xdr:row>
      <xdr:rowOff>76200</xdr:rowOff>
    </xdr:from>
    <xdr:ext cx="457200" cy="238125"/>
    <xdr:sp>
      <xdr:nvSpPr>
        <xdr:cNvPr id="49" name="Shape 49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5</a:t>
          </a:r>
          <a:r>
            <a:rPr b="1" lang="en-US" sz="1200"/>
            <a:t>. HI</a:t>
          </a:r>
          <a:endParaRPr b="1" sz="1200"/>
        </a:p>
      </xdr:txBody>
    </xdr:sp>
    <xdr:clientData fLocksWithSheet="0"/>
  </xdr:oneCellAnchor>
  <xdr:oneCellAnchor>
    <xdr:from>
      <xdr:col>3</xdr:col>
      <xdr:colOff>781050</xdr:colOff>
      <xdr:row>0</xdr:row>
      <xdr:rowOff>361950</xdr:rowOff>
    </xdr:from>
    <xdr:ext cx="457200" cy="238125"/>
    <xdr:sp>
      <xdr:nvSpPr>
        <xdr:cNvPr id="50" name="Shape 50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6</a:t>
          </a:r>
          <a:r>
            <a:rPr b="1" lang="en-US" sz="1200"/>
            <a:t>. RD</a:t>
          </a:r>
          <a:endParaRPr b="1" sz="1200"/>
        </a:p>
      </xdr:txBody>
    </xdr:sp>
    <xdr:clientData fLocksWithSheet="0"/>
  </xdr:oneCellAnchor>
  <xdr:oneCellAnchor>
    <xdr:from>
      <xdr:col>3</xdr:col>
      <xdr:colOff>276225</xdr:colOff>
      <xdr:row>0</xdr:row>
      <xdr:rowOff>76200</xdr:rowOff>
    </xdr:from>
    <xdr:ext cx="457200" cy="238125"/>
    <xdr:sp>
      <xdr:nvSpPr>
        <xdr:cNvPr id="51" name="Shape 51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1. VB</a:t>
          </a:r>
          <a:endParaRPr b="1" sz="1200"/>
        </a:p>
      </xdr:txBody>
    </xdr:sp>
    <xdr:clientData fLocksWithSheet="0"/>
  </xdr:oneCellAnchor>
  <xdr:oneCellAnchor>
    <xdr:from>
      <xdr:col>3</xdr:col>
      <xdr:colOff>276225</xdr:colOff>
      <xdr:row>0</xdr:row>
      <xdr:rowOff>361950</xdr:rowOff>
    </xdr:from>
    <xdr:ext cx="457200" cy="238125"/>
    <xdr:sp>
      <xdr:nvSpPr>
        <xdr:cNvPr id="52" name="Shape 52"/>
        <xdr:cNvSpPr/>
      </xdr:nvSpPr>
      <xdr:spPr>
        <a:xfrm>
          <a:off x="2357050" y="1017125"/>
          <a:ext cx="7716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3D</a:t>
          </a:r>
          <a:endParaRPr b="1" sz="1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0</xdr:row>
      <xdr:rowOff>114300</xdr:rowOff>
    </xdr:from>
    <xdr:ext cx="904875" cy="285750"/>
    <xdr:sp>
      <xdr:nvSpPr>
        <xdr:cNvPr id="53" name="Shape 53"/>
        <xdr:cNvSpPr/>
      </xdr:nvSpPr>
      <xdr:spPr>
        <a:xfrm>
          <a:off x="1649750" y="453325"/>
          <a:ext cx="1134900" cy="347700"/>
        </a:xfrm>
        <a:prstGeom prst="roundRect">
          <a:avLst>
            <a:gd fmla="val 16667" name="adj"/>
          </a:avLst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New order</a:t>
          </a:r>
          <a:endParaRPr b="1" sz="1200"/>
        </a:p>
      </xdr:txBody>
    </xdr:sp>
    <xdr:clientData fLocksWithSheet="0"/>
  </xdr:oneCellAnchor>
  <xdr:oneCellAnchor>
    <xdr:from>
      <xdr:col>3</xdr:col>
      <xdr:colOff>200025</xdr:colOff>
      <xdr:row>0</xdr:row>
      <xdr:rowOff>57150</xdr:rowOff>
    </xdr:from>
    <xdr:ext cx="352425" cy="419100"/>
    <xdr:grpSp>
      <xdr:nvGrpSpPr>
        <xdr:cNvPr id="2" name="Shape 2" title="Drawing"/>
        <xdr:cNvGrpSpPr/>
      </xdr:nvGrpSpPr>
      <xdr:grpSpPr>
        <a:xfrm>
          <a:off x="3204025" y="780550"/>
          <a:ext cx="777200" cy="940800"/>
          <a:chOff x="3204025" y="780550"/>
          <a:chExt cx="777200" cy="940800"/>
        </a:xfrm>
      </xdr:grpSpPr>
      <xdr:sp>
        <xdr:nvSpPr>
          <xdr:cNvPr id="54" name="Shape 54"/>
          <xdr:cNvSpPr/>
        </xdr:nvSpPr>
        <xdr:spPr>
          <a:xfrm>
            <a:off x="3204025" y="780550"/>
            <a:ext cx="122700" cy="940800"/>
          </a:xfrm>
          <a:prstGeom prst="rect">
            <a:avLst/>
          </a:prstGeom>
          <a:solidFill>
            <a:srgbClr val="351C75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3367650" y="780550"/>
            <a:ext cx="122700" cy="940800"/>
          </a:xfrm>
          <a:prstGeom prst="rect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3531275" y="780550"/>
            <a:ext cx="122700" cy="940800"/>
          </a:xfrm>
          <a:prstGeom prst="rect">
            <a:avLst/>
          </a:prstGeom>
          <a:solidFill>
            <a:srgbClr val="8E7CC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94900" y="780550"/>
            <a:ext cx="122700" cy="940800"/>
          </a:xfrm>
          <a:prstGeom prst="rect">
            <a:avLst/>
          </a:prstGeom>
          <a:solidFill>
            <a:srgbClr val="B4A7D6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3858525" y="780550"/>
            <a:ext cx="122700" cy="940800"/>
          </a:xfrm>
          <a:prstGeom prst="rect">
            <a:avLst/>
          </a:prstGeom>
          <a:solidFill>
            <a:srgbClr val="D9D2E9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990600</xdr:colOff>
      <xdr:row>0</xdr:row>
      <xdr:rowOff>57150</xdr:rowOff>
    </xdr:from>
    <xdr:ext cx="352425" cy="419100"/>
    <xdr:grpSp>
      <xdr:nvGrpSpPr>
        <xdr:cNvPr id="2" name="Shape 2" title="Drawing"/>
        <xdr:cNvGrpSpPr/>
      </xdr:nvGrpSpPr>
      <xdr:grpSpPr>
        <a:xfrm>
          <a:off x="3204025" y="780550"/>
          <a:ext cx="777200" cy="940800"/>
          <a:chOff x="3204025" y="780550"/>
          <a:chExt cx="777200" cy="940800"/>
        </a:xfrm>
      </xdr:grpSpPr>
      <xdr:sp>
        <xdr:nvSpPr>
          <xdr:cNvPr id="59" name="Shape 59"/>
          <xdr:cNvSpPr/>
        </xdr:nvSpPr>
        <xdr:spPr>
          <a:xfrm>
            <a:off x="3204025" y="780550"/>
            <a:ext cx="122700" cy="940800"/>
          </a:xfrm>
          <a:prstGeom prst="rect">
            <a:avLst/>
          </a:prstGeom>
          <a:solidFill>
            <a:srgbClr val="D9D2E9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3367650" y="780550"/>
            <a:ext cx="122700" cy="940800"/>
          </a:xfrm>
          <a:prstGeom prst="rect">
            <a:avLst/>
          </a:prstGeom>
          <a:solidFill>
            <a:srgbClr val="B4A7D6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531275" y="780550"/>
            <a:ext cx="122700" cy="940800"/>
          </a:xfrm>
          <a:prstGeom prst="rect">
            <a:avLst/>
          </a:prstGeom>
          <a:solidFill>
            <a:srgbClr val="8E7CC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3694900" y="780550"/>
            <a:ext cx="122700" cy="940800"/>
          </a:xfrm>
          <a:prstGeom prst="rect">
            <a:avLst/>
          </a:prstGeom>
          <a:solidFill>
            <a:srgbClr val="674EA7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3858525" y="780550"/>
            <a:ext cx="122700" cy="940800"/>
          </a:xfrm>
          <a:prstGeom prst="rect">
            <a:avLst/>
          </a:prstGeom>
          <a:solidFill>
            <a:srgbClr val="351C75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2</xdr:col>
      <xdr:colOff>142875</xdr:colOff>
      <xdr:row>0</xdr:row>
      <xdr:rowOff>114300</xdr:rowOff>
    </xdr:from>
    <xdr:ext cx="904875" cy="285750"/>
    <xdr:sp>
      <xdr:nvSpPr>
        <xdr:cNvPr id="64" name="Shape 64"/>
        <xdr:cNvSpPr/>
      </xdr:nvSpPr>
      <xdr:spPr>
        <a:xfrm>
          <a:off x="1649750" y="504450"/>
          <a:ext cx="1134900" cy="347700"/>
        </a:xfrm>
        <a:prstGeom prst="roundRect">
          <a:avLst>
            <a:gd fmla="val 16667" name="adj"/>
          </a:avLst>
        </a:prstGeom>
        <a:solidFill>
          <a:srgbClr val="00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All</a:t>
          </a:r>
          <a:endParaRPr b="1" sz="1200"/>
        </a:p>
      </xdr:txBody>
    </xdr:sp>
    <xdr:clientData fLocksWithSheet="0"/>
  </xdr:oneCellAnchor>
  <xdr:oneCellAnchor>
    <xdr:from>
      <xdr:col>3</xdr:col>
      <xdr:colOff>657225</xdr:colOff>
      <xdr:row>0</xdr:row>
      <xdr:rowOff>123825</xdr:rowOff>
    </xdr:from>
    <xdr:ext cx="466725" cy="285750"/>
    <xdr:sp>
      <xdr:nvSpPr>
        <xdr:cNvPr id="65" name="Shape 65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3D</a:t>
          </a:r>
          <a:endParaRPr b="1" sz="1200"/>
        </a:p>
      </xdr:txBody>
    </xdr:sp>
    <xdr:clientData fLocksWithSheet="0"/>
  </xdr:oneCellAnchor>
  <xdr:oneCellAnchor>
    <xdr:from>
      <xdr:col>4</xdr:col>
      <xdr:colOff>571500</xdr:colOff>
      <xdr:row>0</xdr:row>
      <xdr:rowOff>123825</xdr:rowOff>
    </xdr:from>
    <xdr:ext cx="466725" cy="285750"/>
    <xdr:sp>
      <xdr:nvSpPr>
        <xdr:cNvPr id="66" name="Shape 66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BH</a:t>
          </a:r>
          <a:endParaRPr b="1" sz="1200"/>
        </a:p>
      </xdr:txBody>
    </xdr:sp>
    <xdr:clientData fLocksWithSheet="0"/>
  </xdr:oneCellAnchor>
  <xdr:oneCellAnchor>
    <xdr:from>
      <xdr:col>5</xdr:col>
      <xdr:colOff>466725</xdr:colOff>
      <xdr:row>0</xdr:row>
      <xdr:rowOff>123825</xdr:rowOff>
    </xdr:from>
    <xdr:ext cx="466725" cy="285750"/>
    <xdr:sp>
      <xdr:nvSpPr>
        <xdr:cNvPr id="67" name="Shape 67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BT</a:t>
          </a:r>
          <a:endParaRPr b="1" sz="1200"/>
        </a:p>
      </xdr:txBody>
    </xdr:sp>
    <xdr:clientData fLocksWithSheet="0"/>
  </xdr:oneCellAnchor>
  <xdr:oneCellAnchor>
    <xdr:from>
      <xdr:col>5</xdr:col>
      <xdr:colOff>1038225</xdr:colOff>
      <xdr:row>0</xdr:row>
      <xdr:rowOff>123825</xdr:rowOff>
    </xdr:from>
    <xdr:ext cx="466725" cy="285750"/>
    <xdr:sp>
      <xdr:nvSpPr>
        <xdr:cNvPr id="68" name="Shape 68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CC</a:t>
          </a:r>
          <a:endParaRPr b="1" sz="1200"/>
        </a:p>
      </xdr:txBody>
    </xdr:sp>
    <xdr:clientData fLocksWithSheet="0"/>
  </xdr:oneCellAnchor>
  <xdr:oneCellAnchor>
    <xdr:from>
      <xdr:col>6</xdr:col>
      <xdr:colOff>190500</xdr:colOff>
      <xdr:row>0</xdr:row>
      <xdr:rowOff>123825</xdr:rowOff>
    </xdr:from>
    <xdr:ext cx="466725" cy="285750"/>
    <xdr:sp>
      <xdr:nvSpPr>
        <xdr:cNvPr id="69" name="Shape 69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HV</a:t>
          </a:r>
          <a:endParaRPr b="1" sz="1200"/>
        </a:p>
      </xdr:txBody>
    </xdr:sp>
    <xdr:clientData fLocksWithSheet="0"/>
  </xdr:oneCellAnchor>
  <xdr:oneCellAnchor>
    <xdr:from>
      <xdr:col>7</xdr:col>
      <xdr:colOff>180975</xdr:colOff>
      <xdr:row>0</xdr:row>
      <xdr:rowOff>123825</xdr:rowOff>
    </xdr:from>
    <xdr:ext cx="466725" cy="285750"/>
    <xdr:sp>
      <xdr:nvSpPr>
        <xdr:cNvPr id="70" name="Shape 70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KB</a:t>
          </a:r>
          <a:endParaRPr b="1" sz="1200"/>
        </a:p>
      </xdr:txBody>
    </xdr:sp>
    <xdr:clientData fLocksWithSheet="0"/>
  </xdr:oneCellAnchor>
  <xdr:oneCellAnchor>
    <xdr:from>
      <xdr:col>7</xdr:col>
      <xdr:colOff>752475</xdr:colOff>
      <xdr:row>0</xdr:row>
      <xdr:rowOff>123825</xdr:rowOff>
    </xdr:from>
    <xdr:ext cx="466725" cy="285750"/>
    <xdr:sp>
      <xdr:nvSpPr>
        <xdr:cNvPr id="71" name="Shape 71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NV</a:t>
          </a:r>
          <a:endParaRPr b="1" sz="1200"/>
        </a:p>
      </xdr:txBody>
    </xdr:sp>
    <xdr:clientData fLocksWithSheet="0"/>
  </xdr:oneCellAnchor>
  <xdr:oneCellAnchor>
    <xdr:from>
      <xdr:col>7</xdr:col>
      <xdr:colOff>1323975</xdr:colOff>
      <xdr:row>0</xdr:row>
      <xdr:rowOff>123825</xdr:rowOff>
    </xdr:from>
    <xdr:ext cx="466725" cy="285750"/>
    <xdr:sp>
      <xdr:nvSpPr>
        <xdr:cNvPr id="72" name="Shape 72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RD</a:t>
          </a:r>
          <a:endParaRPr b="1" sz="1200"/>
        </a:p>
      </xdr:txBody>
    </xdr:sp>
    <xdr:clientData fLocksWithSheet="0"/>
  </xdr:oneCellAnchor>
  <xdr:oneCellAnchor>
    <xdr:from>
      <xdr:col>8</xdr:col>
      <xdr:colOff>504825</xdr:colOff>
      <xdr:row>0</xdr:row>
      <xdr:rowOff>123825</xdr:rowOff>
    </xdr:from>
    <xdr:ext cx="466725" cy="285750"/>
    <xdr:sp>
      <xdr:nvSpPr>
        <xdr:cNvPr id="73" name="Shape 73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TM</a:t>
          </a:r>
          <a:endParaRPr b="1" sz="1200"/>
        </a:p>
      </xdr:txBody>
    </xdr:sp>
    <xdr:clientData fLocksWithSheet="0"/>
  </xdr:oneCellAnchor>
  <xdr:oneCellAnchor>
    <xdr:from>
      <xdr:col>9</xdr:col>
      <xdr:colOff>419100</xdr:colOff>
      <xdr:row>0</xdr:row>
      <xdr:rowOff>123825</xdr:rowOff>
    </xdr:from>
    <xdr:ext cx="466725" cy="285750"/>
    <xdr:sp>
      <xdr:nvSpPr>
        <xdr:cNvPr id="74" name="Shape 74"/>
        <xdr:cNvSpPr/>
      </xdr:nvSpPr>
      <xdr:spPr>
        <a:xfrm>
          <a:off x="2357050" y="1017125"/>
          <a:ext cx="730800" cy="365400"/>
        </a:xfrm>
        <a:prstGeom prst="roundRect">
          <a:avLst>
            <a:gd fmla="val 16667" name="adj"/>
          </a:avLst>
        </a:prstGeom>
        <a:solidFill>
          <a:srgbClr val="D9D2E9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VV</a:t>
          </a:r>
          <a:endParaRPr b="1" sz="12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rijnland.maps.arcgis.com/apps/instant/sidebar/index.html?appid=2b214417eea74ae9a56119c251ffa960" TargetMode="External"/><Relationship Id="rId391" Type="http://schemas.openxmlformats.org/officeDocument/2006/relationships/hyperlink" Target="https://app.pdok.nl/viewer/" TargetMode="External"/><Relationship Id="rId390" Type="http://schemas.openxmlformats.org/officeDocument/2006/relationships/hyperlink" Target="https://www.google.com/maps/place/Paradijslaan+34,+2405+CC+Alphen+aan+den+Rijn/@52.1283752,4.6598614,244m/data=!3m1!1e3!4m6!3m5!1s0x47c5daf1272120e3:0xe8992c7ed8f30732!8m2!3d52.1283537!4d4.6608017!16s%2Fg%2F11x37djc37?entry=ttu&amp;g_ep=EgoyMDI2MDExOS4wIKXMDSoASAFQAw%3D%3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google.com/maps/place/Middendijk+63,+7397+ND+Nijbroek/@52.2992787,6.0606131,243m/data=!3m1!1e3!4m6!3m5!1s0x47c7c3dd80d3e451:0x4a459e51529ffa5b!8m2!3d52.2989146!4d6.0613354!16s%2Fg%2F11rtshyghm?entry=ttu&amp;g_ep=EgoyMDI2MDMxMS4wIKXMDSoASAFQAw%3D%3D" TargetMode="External"/><Relationship Id="rId3" Type="http://schemas.openxmlformats.org/officeDocument/2006/relationships/hyperlink" Target="https://app.pdok.nl/viewer/" TargetMode="External"/><Relationship Id="rId4" Type="http://schemas.openxmlformats.org/officeDocument/2006/relationships/hyperlink" Target="https://open-geodata-portaal-valleienveluwe.hub.arcgis.com/apps/e75d12ac1ccb47daa53c1b53916be4e9/explore" TargetMode="External"/><Relationship Id="rId9" Type="http://schemas.openxmlformats.org/officeDocument/2006/relationships/hyperlink" Target="https://app.pdok.nl/viewer/" TargetMode="External"/><Relationship Id="rId385" Type="http://schemas.openxmlformats.org/officeDocument/2006/relationships/hyperlink" Target="https://www.google.com/maps/place/Noordeinde+16,+1121+AD+Landsmeer/@52.442731,4.9146993,204m/data=!3m1!1e3!4m6!3m5!1s0x47c607c37a6588c5:0xb16b80279fb2cf4f!8m2!3d52.4428388!4d4.913944!16s%2Fg%2F11c5pgw1_8?entry=ttu&amp;g_ep=EgoyMDI2MDEyMS4wIKXMDSoASAFQAw%3D%3D" TargetMode="External"/><Relationship Id="rId384" Type="http://schemas.openxmlformats.org/officeDocument/2006/relationships/hyperlink" Target="https://noorderzijlvest.maps.arcgis.com/apps/mapviewer/index.html?webmap=75bbdaca80be4378b404d26c4bce099b" TargetMode="External"/><Relationship Id="rId383" Type="http://schemas.openxmlformats.org/officeDocument/2006/relationships/hyperlink" Target="https://app.pdok.nl/viewer/" TargetMode="External"/><Relationship Id="rId382" Type="http://schemas.openxmlformats.org/officeDocument/2006/relationships/hyperlink" Target="https://www.google.com/maps/place/Schouwerzijlsterweg+1,+9951+TG+Winsum/@53.3329937,6.510589,168m/data=!3m1!1e3!4m6!3m5!1s0x47c9cedb4f8f3bf7:0x6980345c2f812ec7!8m2!3d53.332705!4d6.5107819!16s%2Fg%2F11cpflz09j?entry=ttu&amp;g_ep=EgoyMDI2MDEyMS4wIKXMDSoASAFQAw%3D%3D" TargetMode="External"/><Relationship Id="rId5" Type="http://schemas.openxmlformats.org/officeDocument/2006/relationships/hyperlink" Target="https://www.google.com/maps/place/Middelerstraat+4,+8121+RP+Olst/@52.3524167,6.1409929,344m/data=!3m1!1e3!4m6!3m5!1s0x47c7c2a2b782ff03:0x4cd638912b6448aa!8m2!3d52.3523149!4d6.1415465!16s%2Fg%2F11hgjxl3cl?entry=ttu&amp;g_ep=EgoyMDI2MDMwOS4wIKXMDSoASAFQAw%3D%3D" TargetMode="External"/><Relationship Id="rId389" Type="http://schemas.openxmlformats.org/officeDocument/2006/relationships/hyperlink" Target="https://www.klicviewer.nl/klic-viewer/uitlevering/5a8921b7-a9eb-4932-aaa2-75c5aa7e0d5d" TargetMode="External"/><Relationship Id="rId6" Type="http://schemas.openxmlformats.org/officeDocument/2006/relationships/hyperlink" Target="https://app.pdok.nl/viewer/" TargetMode="External"/><Relationship Id="rId388" Type="http://schemas.openxmlformats.org/officeDocument/2006/relationships/hyperlink" Target="https://kaarten.hhnk.nl/portal/apps/experiencebuilder/experience/?id=44d528c37de546e9846eb2bcaebee084" TargetMode="External"/><Relationship Id="rId7" Type="http://schemas.openxmlformats.org/officeDocument/2006/relationships/hyperlink" Target="https://wdodelta.maps.arcgis.com/apps/instant/basic/index.html?appid=b84164114b70469ca1ba12d662946309" TargetMode="External"/><Relationship Id="rId387" Type="http://schemas.openxmlformats.org/officeDocument/2006/relationships/hyperlink" Target="https://kaarten.hhnk.nl/portal/apps/webappviewer/index.html?id=d2de3caed0ba442290991e1f5b404e1a" TargetMode="External"/><Relationship Id="rId8" Type="http://schemas.openxmlformats.org/officeDocument/2006/relationships/hyperlink" Target="https://www.google.com/maps/place/52%C2%B011'23.1%22N+4%C2%B059'00.3%22E/@52.1897657,4.9832368,205m/data=!3m1!1e3!4m4!3m3!8m2!3d52.18974!4d4.983414?entry=ttu&amp;g_ep=EgoyMDI2MDMwOS4wIKXMDSoASAFQAw%3D%3D" TargetMode="External"/><Relationship Id="rId386" Type="http://schemas.openxmlformats.org/officeDocument/2006/relationships/hyperlink" Target="https://app.pdok.nl/viewer/" TargetMode="External"/><Relationship Id="rId381" Type="http://schemas.openxmlformats.org/officeDocument/2006/relationships/hyperlink" Target="https://www.klicviewer.nl/klic-viewer/uitlevering/b5afe9de-4a0c-4ca2-8fde-e4a5947382b7" TargetMode="External"/><Relationship Id="rId380" Type="http://schemas.openxmlformats.org/officeDocument/2006/relationships/hyperlink" Target="https://noorderzijlvest.maps.arcgis.com/apps/mapviewer/index.html?webmap=75bbdaca80be4378b404d26c4bce099b" TargetMode="External"/><Relationship Id="rId379" Type="http://schemas.openxmlformats.org/officeDocument/2006/relationships/hyperlink" Target="https://app.pdok.nl/viewer/" TargetMode="External"/><Relationship Id="rId374" Type="http://schemas.openxmlformats.org/officeDocument/2006/relationships/hyperlink" Target="https://www.google.com/maps/place/Rotbrinksweg+10,+7731+TC+Ommen/@52.5291212,6.4206739,204m/data=!3m1!1e3!4m15!1m8!3m7!1s0x47c807ff6fac6d17:0x64f775ff7b8fc777!2sBalkerweg+5,+7731+RX+Ommen!3b1!8m2!3d52.5298417!4d6.4177161!16s%2Fg%2F11c3s948tz!3m5!1s0x47c807f8a08718e7:0x25db1f1dd2b95c99!8m2!3d52.5288787!4d6.4213399!16s%2Fg%2F11c4bnzn9q?entry=ttu&amp;g_ep=EgoyMDI2MDEyNi4wIKXMDSoASAFQAw%3D%3D" TargetMode="External"/><Relationship Id="rId373" Type="http://schemas.openxmlformats.org/officeDocument/2006/relationships/hyperlink" Target="https://rijnland.maps.arcgis.com/apps/instant/sidebar/index.html?appid=2b214417eea74ae9a56119c251ffa960" TargetMode="External"/><Relationship Id="rId372" Type="http://schemas.openxmlformats.org/officeDocument/2006/relationships/hyperlink" Target="https://app.pdok.nl/viewer/" TargetMode="External"/><Relationship Id="rId371" Type="http://schemas.openxmlformats.org/officeDocument/2006/relationships/hyperlink" Target="https://www.google.com/maps/place/Rijksweg+289,+1991+AA+Velserbroek/@52.4419351,4.652066,343m/data=!3m1!1e3!4m6!3m5!1s0x47c5f01d5ca48005:0xde702fa96f41dabb!8m2!3d52.4410738!4d4.6539731!16s%2Fg%2F11bw3z72y4?entry=ttu&amp;g_ep=EgoyMDI2MDEyNi4wIKXMDSoASAFQAw%3D%3D" TargetMode="External"/><Relationship Id="rId378" Type="http://schemas.openxmlformats.org/officeDocument/2006/relationships/hyperlink" Target="https://www.google.com/maps/place/Schouwerzijlsterweg+1,+9951+TG+Winsum/@53.3329937,6.510589,168m/data=!3m1!1e3!4m6!3m5!1s0x47c9cedb4f8f3bf7:0x6980345c2f812ec7!8m2!3d53.332705!4d6.5107819!16s%2Fg%2F11cpflz09j?entry=ttu&amp;g_ep=EgoyMDI2MDEyMS4wIKXMDSoASAFQAw%3D%3D" TargetMode="External"/><Relationship Id="rId377" Type="http://schemas.openxmlformats.org/officeDocument/2006/relationships/hyperlink" Target="https://www.klicviewer.nl/klic-viewer/uitlevering/b5afe9de-4a0c-4ca2-8fde-e4a5947382b7" TargetMode="External"/><Relationship Id="rId376" Type="http://schemas.openxmlformats.org/officeDocument/2006/relationships/hyperlink" Target="https://vechtstromen.maps.arcgis.com/apps/webappviewer/index.html?id=157236e98867443696757e2091ebc25a" TargetMode="External"/><Relationship Id="rId375" Type="http://schemas.openxmlformats.org/officeDocument/2006/relationships/hyperlink" Target="https://app.pdok.nl/viewer/" TargetMode="External"/><Relationship Id="rId396" Type="http://schemas.openxmlformats.org/officeDocument/2006/relationships/hyperlink" Target="https://www.google.com/maps/place/Straatweg+19,+8535+WG+Follega/@52.8773668,5.7336628,240m/data=!3m1!1e3!4m6!3m5!1s0x47c88b656ffc5679:0x33b4492c6e79d0d6!8m2!3d52.8774067!4d5.7343427!16s%2Fg%2F11c5fc1fg2?entry=ttu&amp;g_ep=EgoyMDI2MDExOS4wIKXMDSoASAFQAw%3D%3D" TargetMode="External"/><Relationship Id="rId395" Type="http://schemas.openxmlformats.org/officeDocument/2006/relationships/hyperlink" Target="https://www.klicviewer.nl/klic-viewer/uitlevering/b5eec71b-84f8-405c-af45-e6643464aa1d" TargetMode="External"/><Relationship Id="rId394" Type="http://schemas.openxmlformats.org/officeDocument/2006/relationships/hyperlink" Target="https://rijnland.maps.arcgis.com/apps/instant/sidebar/index.html?appid=5469a9663c5e4643b10efe6da9a15ae2" TargetMode="External"/><Relationship Id="rId393" Type="http://schemas.openxmlformats.org/officeDocument/2006/relationships/hyperlink" Target="https://www.rijnland.net/regels-op-een-rij/legger/" TargetMode="External"/><Relationship Id="rId399" Type="http://schemas.openxmlformats.org/officeDocument/2006/relationships/hyperlink" Target="https://gis.wetterskipfryslan.nl/portal/apps/experiencebuilder/experience/?id=a0e444b2c8874407bc63d3f81d61367c" TargetMode="External"/><Relationship Id="rId398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397" Type="http://schemas.openxmlformats.org/officeDocument/2006/relationships/hyperlink" Target="https://app.pdok.nl/viewer/" TargetMode="External"/><Relationship Id="rId1730" Type="http://schemas.openxmlformats.org/officeDocument/2006/relationships/hyperlink" Target="https://app.pdok.nl/viewer/" TargetMode="External"/><Relationship Id="rId1731" Type="http://schemas.openxmlformats.org/officeDocument/2006/relationships/hyperlink" Target="https://rijnland.maps.arcgis.com/apps/webappviewer/index.html?id=354c405809234724b839558ed8bc1a9e" TargetMode="External"/><Relationship Id="rId1732" Type="http://schemas.openxmlformats.org/officeDocument/2006/relationships/hyperlink" Target="https://rijnland.maps.arcgis.com/apps/webappviewer/index.html?id=25694eb316fc45e08a47413f80ae8f9f" TargetMode="External"/><Relationship Id="rId173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34" Type="http://schemas.openxmlformats.org/officeDocument/2006/relationships/hyperlink" Target="https://www.klicviewer.nl/klic-viewer/uitlevering/5a09a688-d2f6-4e22-bd88-91de9107fead" TargetMode="External"/><Relationship Id="rId1735" Type="http://schemas.openxmlformats.org/officeDocument/2006/relationships/hyperlink" Target="https://maps.app.goo.gl/pTSMa6i6frEjE3yC8" TargetMode="External"/><Relationship Id="rId1736" Type="http://schemas.openxmlformats.org/officeDocument/2006/relationships/hyperlink" Target="https://app.pdok.nl/viewer/" TargetMode="External"/><Relationship Id="rId1737" Type="http://schemas.openxmlformats.org/officeDocument/2006/relationships/hyperlink" Target="https://rijnland.maps.arcgis.com/apps/webappviewer/index.html?id=354c405809234724b839558ed8bc1a9e" TargetMode="External"/><Relationship Id="rId1738" Type="http://schemas.openxmlformats.org/officeDocument/2006/relationships/hyperlink" Target="https://rijnland.maps.arcgis.com/apps/webappviewer/index.html?id=25694eb316fc45e08a47413f80ae8f9f" TargetMode="External"/><Relationship Id="rId1739" Type="http://schemas.openxmlformats.org/officeDocument/2006/relationships/hyperlink" Target="https://rijnland.maps.arcgis.com/apps/MinimalGallery/index.html?appid=24180ed35ccf40a7829334b391816442" TargetMode="External"/><Relationship Id="rId1720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21" Type="http://schemas.openxmlformats.org/officeDocument/2006/relationships/hyperlink" Target="https://www.klicviewer.nl/klic-viewer/uitlevering/648e1056-d81d-44de-aa2d-7c41ea09a3bf" TargetMode="External"/><Relationship Id="rId1722" Type="http://schemas.openxmlformats.org/officeDocument/2006/relationships/hyperlink" Target="https://maps.app.goo.gl/FDKgHaJSXLNQkSXP7" TargetMode="External"/><Relationship Id="rId1723" Type="http://schemas.openxmlformats.org/officeDocument/2006/relationships/hyperlink" Target="https://app.pdok.nl/viewer/" TargetMode="External"/><Relationship Id="rId1724" Type="http://schemas.openxmlformats.org/officeDocument/2006/relationships/hyperlink" Target="https://rijnland.maps.arcgis.com/apps/instant/interactivelegend/index.html?appid=7bc3198037d24d54a9743987ad0731d2" TargetMode="External"/><Relationship Id="rId1725" Type="http://schemas.openxmlformats.org/officeDocument/2006/relationships/hyperlink" Target="https://rijnland.maps.arcgis.com/apps/instant/interactivelegend/index.html?appid=ac183c60750a435db95b1705d25b3121" TargetMode="External"/><Relationship Id="rId1726" Type="http://schemas.openxmlformats.org/officeDocument/2006/relationships/hyperlink" Target="https://rijnland.maps.arcgis.com/apps/instant/sidebar/index.html?appid=5469a9663c5e4643b10efe6da9a15ae2" TargetMode="External"/><Relationship Id="rId1727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28" Type="http://schemas.openxmlformats.org/officeDocument/2006/relationships/hyperlink" Target="https://www.klicviewer.nl/klic-viewer/uitlevering/5a09a688-d2f6-4e22-bd88-91de9107fead" TargetMode="External"/><Relationship Id="rId1729" Type="http://schemas.openxmlformats.org/officeDocument/2006/relationships/hyperlink" Target="https://maps.app.goo.gl/pTSMa6i6frEjE3yC8" TargetMode="External"/><Relationship Id="rId1752" Type="http://schemas.openxmlformats.org/officeDocument/2006/relationships/hyperlink" Target="https://rijnland.maps.arcgis.com/apps/instant/interactivelegend/index.html?appid=ac183c60750a435db95b1705d25b3121" TargetMode="External"/><Relationship Id="rId1753" Type="http://schemas.openxmlformats.org/officeDocument/2006/relationships/hyperlink" Target="https://rijnland.maps.arcgis.com/apps/instant/sidebar/index.html?appid=5469a9663c5e4643b10efe6da9a15ae2" TargetMode="External"/><Relationship Id="rId1754" Type="http://schemas.openxmlformats.org/officeDocument/2006/relationships/drawing" Target="../drawings/drawing1.xml"/><Relationship Id="rId1755" Type="http://schemas.openxmlformats.org/officeDocument/2006/relationships/vmlDrawing" Target="../drawings/vmlDrawing1.vml"/><Relationship Id="rId808" Type="http://schemas.openxmlformats.org/officeDocument/2006/relationships/hyperlink" Target="https://maps.app.goo.gl/RojAQsE5M1cdCCbC9" TargetMode="External"/><Relationship Id="rId807" Type="http://schemas.openxmlformats.org/officeDocument/2006/relationships/hyperlink" Target="https://www.klicviewer.nl/klic-viewer/uitlevering/f325aa12-cdbb-4dbf-b15c-35ddf19b0e67" TargetMode="External"/><Relationship Id="rId806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805" Type="http://schemas.openxmlformats.org/officeDocument/2006/relationships/hyperlink" Target="https://rijnland.maps.arcgis.com/apps/instant/sidebar/index.html?appid=5469a9663c5e4643b10efe6da9a15ae2" TargetMode="External"/><Relationship Id="rId809" Type="http://schemas.openxmlformats.org/officeDocument/2006/relationships/hyperlink" Target="https://app.pdok.nl/viewer/" TargetMode="External"/><Relationship Id="rId800" Type="http://schemas.openxmlformats.org/officeDocument/2006/relationships/hyperlink" Target="https://www.klicviewer.nl/klic-viewer/uitlevering/00f10be1-c2d7-4416-9aa3-462899707e69" TargetMode="External"/><Relationship Id="rId804" Type="http://schemas.openxmlformats.org/officeDocument/2006/relationships/hyperlink" Target="https://rijnland.maps.arcgis.com/apps/instant/sidebar/index.html?appid=f0fd839278474fe7841a12800fcc3e39" TargetMode="External"/><Relationship Id="rId803" Type="http://schemas.openxmlformats.org/officeDocument/2006/relationships/hyperlink" Target="https://rijnland.maps.arcgis.com/apps/instant/sidebar/index.html?appid=2b214417eea74ae9a56119c251ffa960" TargetMode="External"/><Relationship Id="rId802" Type="http://schemas.openxmlformats.org/officeDocument/2006/relationships/hyperlink" Target="https://app.pdok.nl/viewer/" TargetMode="External"/><Relationship Id="rId801" Type="http://schemas.openxmlformats.org/officeDocument/2006/relationships/hyperlink" Target="https://maps.app.goo.gl/vWgai7xFsP6WcKTM6" TargetMode="External"/><Relationship Id="rId1750" Type="http://schemas.openxmlformats.org/officeDocument/2006/relationships/hyperlink" Target="https://app.pdok.nl/viewer/" TargetMode="External"/><Relationship Id="rId1751" Type="http://schemas.openxmlformats.org/officeDocument/2006/relationships/hyperlink" Target="https://rijnland.maps.arcgis.com/apps/instant/interactivelegend/index.html?appid=7bc3198037d24d54a9743987ad0731d2" TargetMode="External"/><Relationship Id="rId1741" Type="http://schemas.openxmlformats.org/officeDocument/2006/relationships/hyperlink" Target="https://www.klicviewer.nl/klic-viewer/uitlevering/811acd8c-9ffd-4930-9d36-0cdb3f641412" TargetMode="External"/><Relationship Id="rId1742" Type="http://schemas.openxmlformats.org/officeDocument/2006/relationships/hyperlink" Target="https://maps.app.goo.gl/QNtNwuXJBga7WiHs7" TargetMode="External"/><Relationship Id="rId1743" Type="http://schemas.openxmlformats.org/officeDocument/2006/relationships/hyperlink" Target="https://app.pdok.nl/viewer/" TargetMode="External"/><Relationship Id="rId1744" Type="http://schemas.openxmlformats.org/officeDocument/2006/relationships/hyperlink" Target="https://rijnland.maps.arcgis.com/apps/instant/interactivelegend/index.html?appid=7bc3198037d24d54a9743987ad0731d2" TargetMode="External"/><Relationship Id="rId1745" Type="http://schemas.openxmlformats.org/officeDocument/2006/relationships/hyperlink" Target="https://rijnland.maps.arcgis.com/apps/instant/interactivelegend/index.html?appid=ac183c60750a435db95b1705d25b3121" TargetMode="External"/><Relationship Id="rId1746" Type="http://schemas.openxmlformats.org/officeDocument/2006/relationships/hyperlink" Target="https://rijnland.maps.arcgis.com/apps/instant/sidebar/index.html?appid=5469a9663c5e4643b10efe6da9a15ae2" TargetMode="External"/><Relationship Id="rId1747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48" Type="http://schemas.openxmlformats.org/officeDocument/2006/relationships/hyperlink" Target="https://www.klicviewer.nl/klic-viewer/uitlevering/811acd8c-9ffd-4930-9d36-0cdb3f641412" TargetMode="External"/><Relationship Id="rId1749" Type="http://schemas.openxmlformats.org/officeDocument/2006/relationships/hyperlink" Target="https://maps.app.goo.gl/QNtNwuXJBga7WiHs7" TargetMode="External"/><Relationship Id="rId1740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10" Type="http://schemas.openxmlformats.org/officeDocument/2006/relationships/hyperlink" Target="https://rijnland.maps.arcgis.com/apps/instant/interactivelegend/index.html?appid=7bc3198037d24d54a9743987ad0731d2" TargetMode="External"/><Relationship Id="rId1711" Type="http://schemas.openxmlformats.org/officeDocument/2006/relationships/hyperlink" Target="https://www.rijnland.net/regels-op-een-rij/legger/" TargetMode="External"/><Relationship Id="rId1712" Type="http://schemas.openxmlformats.org/officeDocument/2006/relationships/hyperlink" Target="https://rijnland.maps.arcgis.com/apps/instant/sidebar/index.html?appid=5469a9663c5e4643b10efe6da9a15ae2" TargetMode="External"/><Relationship Id="rId171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14" Type="http://schemas.openxmlformats.org/officeDocument/2006/relationships/hyperlink" Target="https://www.klicviewer.nl/klic-viewer/uitlevering/168a3b34-be55-4532-91fc-569b7491159e" TargetMode="External"/><Relationship Id="rId1715" Type="http://schemas.openxmlformats.org/officeDocument/2006/relationships/hyperlink" Target="https://maps.app.goo.gl/FDKgHaJSXLNQkSXP7" TargetMode="External"/><Relationship Id="rId1716" Type="http://schemas.openxmlformats.org/officeDocument/2006/relationships/hyperlink" Target="https://app.pdok.nl/viewer/" TargetMode="External"/><Relationship Id="rId1717" Type="http://schemas.openxmlformats.org/officeDocument/2006/relationships/hyperlink" Target="https://rijnland.maps.arcgis.com/apps/instant/interactivelegend/index.html?appid=7bc3198037d24d54a9743987ad0731d2" TargetMode="External"/><Relationship Id="rId1718" Type="http://schemas.openxmlformats.org/officeDocument/2006/relationships/hyperlink" Target="https://www.rijnland.net/regels-op-een-rij/legger/" TargetMode="External"/><Relationship Id="rId1719" Type="http://schemas.openxmlformats.org/officeDocument/2006/relationships/hyperlink" Target="https://rijnland.maps.arcgis.com/apps/instant/sidebar/index.html?appid=5469a9663c5e4643b10efe6da9a15ae2" TargetMode="External"/><Relationship Id="rId1700" Type="http://schemas.openxmlformats.org/officeDocument/2006/relationships/hyperlink" Target="https://www.klicviewer.nl/klic-viewer/uitlevering/beed4b11-46e8-4e32-a0f8-e7c693895ea5" TargetMode="External"/><Relationship Id="rId1701" Type="http://schemas.openxmlformats.org/officeDocument/2006/relationships/hyperlink" Target="https://maps.app.goo.gl/FDKgHaJSXLNQkSXP7" TargetMode="External"/><Relationship Id="rId1702" Type="http://schemas.openxmlformats.org/officeDocument/2006/relationships/hyperlink" Target="https://app.pdok.nl/viewer/" TargetMode="External"/><Relationship Id="rId1703" Type="http://schemas.openxmlformats.org/officeDocument/2006/relationships/hyperlink" Target="https://rijnland.maps.arcgis.com/apps/instant/interactivelegend/index.html?appid=7bc3198037d24d54a9743987ad0731d2" TargetMode="External"/><Relationship Id="rId1704" Type="http://schemas.openxmlformats.org/officeDocument/2006/relationships/hyperlink" Target="https://www.rijnland.net/regels-op-een-rij/legger/" TargetMode="External"/><Relationship Id="rId1705" Type="http://schemas.openxmlformats.org/officeDocument/2006/relationships/hyperlink" Target="https://rijnland.maps.arcgis.com/apps/instant/sidebar/index.html?appid=5469a9663c5e4643b10efe6da9a15ae2" TargetMode="External"/><Relationship Id="rId1706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707" Type="http://schemas.openxmlformats.org/officeDocument/2006/relationships/hyperlink" Target="https://www.klicviewer.nl/klic-viewer/uitlevering/d5eb883d-0988-4fb6-abbe-343e2839a3ec" TargetMode="External"/><Relationship Id="rId1708" Type="http://schemas.openxmlformats.org/officeDocument/2006/relationships/hyperlink" Target="https://maps.app.goo.gl/FDKgHaJSXLNQkSXP7" TargetMode="External"/><Relationship Id="rId1709" Type="http://schemas.openxmlformats.org/officeDocument/2006/relationships/hyperlink" Target="https://app.pdok.nl/viewer/" TargetMode="External"/><Relationship Id="rId40" Type="http://schemas.openxmlformats.org/officeDocument/2006/relationships/hyperlink" Target="https://wdodelta.maps.arcgis.com/apps/instant/basic/index.html?appid=b84164114b70469ca1ba12d662946309" TargetMode="External"/><Relationship Id="rId1334" Type="http://schemas.openxmlformats.org/officeDocument/2006/relationships/hyperlink" Target="https://dmmb.ipm4pro.nl/port.html?guid=98aa06ef-c370-45ee-8e91-0bb776a96118" TargetMode="External"/><Relationship Id="rId1335" Type="http://schemas.openxmlformats.org/officeDocument/2006/relationships/hyperlink" Target="https://rijnland.maps.arcgis.com/apps/instant/interactivelegend/index.html?appid=7bc3198037d24d54a9743987ad0731d2" TargetMode="External"/><Relationship Id="rId42" Type="http://schemas.openxmlformats.org/officeDocument/2006/relationships/hyperlink" Target="https://www.google.com/maps/place/Buitenbrinkweg+28,+3853+LX+Ermelo/@52.3151091,5.5828969,122m/data=!3m1!1e3!4m5!3m4!1s0x47c6314b493ed0a1:0xf2ec3b4f6440393c!8m2!3d52.3150512!4d5.5839841?entry=ttu&amp;g_ep=EgoyMDI2MDIyNS4wIKXMDSoASAFQAw%3D%3D" TargetMode="External"/><Relationship Id="rId1336" Type="http://schemas.openxmlformats.org/officeDocument/2006/relationships/hyperlink" Target="https://rijnland.maps.arcgis.com/apps/instant/interactivelegend/index.html?appid=ac183c60750a435db95b1705d25b3121" TargetMode="External"/><Relationship Id="rId41" Type="http://schemas.openxmlformats.org/officeDocument/2006/relationships/hyperlink" Target="https://www.klicviewer.nl/klic-viewer/uitlevering/4f188180-3ba5-4091-b6ab-440fe59acada" TargetMode="External"/><Relationship Id="rId1337" Type="http://schemas.openxmlformats.org/officeDocument/2006/relationships/hyperlink" Target="https://rijnland.maps.arcgis.com/apps/instant/sidebar/index.html?appid=5469a9663c5e4643b10efe6da9a15ae2" TargetMode="External"/><Relationship Id="rId44" Type="http://schemas.openxmlformats.org/officeDocument/2006/relationships/hyperlink" Target="https://www.vallei-veluwe.nl/actueel/actuele-thema/geodata/" TargetMode="External"/><Relationship Id="rId1338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43" Type="http://schemas.openxmlformats.org/officeDocument/2006/relationships/hyperlink" Target="https://app.pdok.nl/viewer/" TargetMode="External"/><Relationship Id="rId1339" Type="http://schemas.openxmlformats.org/officeDocument/2006/relationships/hyperlink" Target="https://www.klicviewer.nl/klic-viewer/uitlevering/25505da7-92c9-4dc3-a93e-626bb848a2f5" TargetMode="External"/><Relationship Id="rId46" Type="http://schemas.openxmlformats.org/officeDocument/2006/relationships/hyperlink" Target="https://www.google.com/maps/place/Aquilastraat+7,+6515+DV+Nijmegen/@51.8747284,5.8479154,174m/data=!3m1!1e3!4m14!1m7!3m6!1s0x47c70802b8a1cf0f:0x5e30e199b7950bbf!2sTerralaan+7,+Nijmegen!3b1!8m2!3d51.8749619!4d5.8477813!3m5!1s0x47c70802ccf118cd:0xa197a0097aea5761!8m2!3d51.8746299!4d5.8489164!16s%2Fg%2F11f7b3_ph3?entry=ttu&amp;g_ep=EgoyMDI2MDIyNS4wIKXMDSoASAFQAw%3D%3D" TargetMode="External"/><Relationship Id="rId45" Type="http://schemas.openxmlformats.org/officeDocument/2006/relationships/hyperlink" Target="https://www.klicviewer.nl/klic-viewer/uitlevering/d1d226bd-4a12-44ec-b184-72c0acfa05a1" TargetMode="External"/><Relationship Id="rId745" Type="http://schemas.openxmlformats.org/officeDocument/2006/relationships/hyperlink" Target="https://maps.app.goo.gl/iKh8t6AhAv3dZsa76" TargetMode="External"/><Relationship Id="rId744" Type="http://schemas.openxmlformats.org/officeDocument/2006/relationships/hyperlink" Target="https://www.klicviewer.nl/klic-viewer/uitlevering/5656fe22-1c01-494f-8374-36fe6bd563c2" TargetMode="External"/><Relationship Id="rId743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42" Type="http://schemas.openxmlformats.org/officeDocument/2006/relationships/hyperlink" Target="https://rijnland.maps.arcgis.com/apps/instant/sidebar/index.html?appid=5469a9663c5e4643b10efe6da9a15ae2" TargetMode="External"/><Relationship Id="rId749" Type="http://schemas.openxmlformats.org/officeDocument/2006/relationships/hyperlink" Target="https://rijnland.maps.arcgis.com/apps/instant/sidebar/index.html?appid=5469a9663c5e4643b10efe6da9a15ae2" TargetMode="External"/><Relationship Id="rId748" Type="http://schemas.openxmlformats.org/officeDocument/2006/relationships/hyperlink" Target="https://rijnland.maps.arcgis.com/apps/instant/sidebar/index.html?appid=f0fd839278474fe7841a12800fcc3e39" TargetMode="External"/><Relationship Id="rId747" Type="http://schemas.openxmlformats.org/officeDocument/2006/relationships/hyperlink" Target="https://rijnland.maps.arcgis.com/apps/instant/sidebar/index.html?appid=2b214417eea74ae9a56119c251ffa960" TargetMode="External"/><Relationship Id="rId746" Type="http://schemas.openxmlformats.org/officeDocument/2006/relationships/hyperlink" Target="https://app.pdok.nl/viewer/" TargetMode="External"/><Relationship Id="rId48" Type="http://schemas.openxmlformats.org/officeDocument/2006/relationships/hyperlink" Target="https://experience.arcgis.com/experience/ff9e6ee747524d3cbce7712338ad0e89/page/Pagina-1" TargetMode="External"/><Relationship Id="rId47" Type="http://schemas.openxmlformats.org/officeDocument/2006/relationships/hyperlink" Target="https://app.pdok.nl/viewer/" TargetMode="External"/><Relationship Id="rId49" Type="http://schemas.openxmlformats.org/officeDocument/2006/relationships/hyperlink" Target="https://www.klicviewer.nl/klic-viewer/uitlevering/46b82dc3-1253-496b-8409-ccb1411e1ae3" TargetMode="External"/><Relationship Id="rId741" Type="http://schemas.openxmlformats.org/officeDocument/2006/relationships/hyperlink" Target="https://rijnland.maps.arcgis.com/apps/instant/sidebar/index.html?appid=f0fd839278474fe7841a12800fcc3e39" TargetMode="External"/><Relationship Id="rId1330" Type="http://schemas.openxmlformats.org/officeDocument/2006/relationships/hyperlink" Target="https://rijnland.maps.arcgis.com/apps/instant/sidebar/index.html?appid=5469a9663c5e4643b10efe6da9a15ae2" TargetMode="External"/><Relationship Id="rId740" Type="http://schemas.openxmlformats.org/officeDocument/2006/relationships/hyperlink" Target="https://rijnland.maps.arcgis.com/apps/instant/sidebar/index.html?appid=2b214417eea74ae9a56119c251ffa960" TargetMode="External"/><Relationship Id="rId1331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332" Type="http://schemas.openxmlformats.org/officeDocument/2006/relationships/hyperlink" Target="https://www.klicviewer.nl/klic-viewer/uitlevering/7ef3c1e3-fc97-4f2d-b331-79943149a0db" TargetMode="External"/><Relationship Id="rId1333" Type="http://schemas.openxmlformats.org/officeDocument/2006/relationships/hyperlink" Target="https://maps.app.goo.gl/1tiYLrpm3q3VAvGdA" TargetMode="External"/><Relationship Id="rId1323" Type="http://schemas.openxmlformats.org/officeDocument/2006/relationships/hyperlink" Target="https://rijnland.maps.arcgis.com/apps/instant/sidebar/index.html?appid=5469a9663c5e4643b10efe6da9a15ae2" TargetMode="External"/><Relationship Id="rId1324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1" Type="http://schemas.openxmlformats.org/officeDocument/2006/relationships/hyperlink" Target="https://app.pdok.nl/viewer/" TargetMode="External"/><Relationship Id="rId1325" Type="http://schemas.openxmlformats.org/officeDocument/2006/relationships/hyperlink" Target="https://www.klicviewer.nl/klic-viewer/uitlevering/599b8be0-8bcf-4dc0-8648-0aa9c90f25ad" TargetMode="External"/><Relationship Id="rId30" Type="http://schemas.openxmlformats.org/officeDocument/2006/relationships/hyperlink" Target="https://www.google.com/maps/place/Purmerenderweg+14,+1463+DA+Noordbeemster/@52.5725975,4.9738936,576m/data=!3m1!1e3!4m6!3m5!1s0x47c601bbdc84a6ad:0xd4dd7d600f11886d!8m2!3d52.571177!4d4.975752!16s%2Fg%2F11bw3_yh55?entry=ttu&amp;g_ep=EgoyMDI2MDMwMi4wIKXMDSoASAFQAw%3D%3D" TargetMode="External"/><Relationship Id="rId1326" Type="http://schemas.openxmlformats.org/officeDocument/2006/relationships/hyperlink" Target="https://maps.app.goo.gl/1tiYLrpm3q3VAvGdA" TargetMode="External"/><Relationship Id="rId33" Type="http://schemas.openxmlformats.org/officeDocument/2006/relationships/hyperlink" Target="https://kaarten.hhnk.nl/portal/apps/experiencebuilder/experience/?id=44d528c37de546e9846eb2bcaebee084" TargetMode="External"/><Relationship Id="rId1327" Type="http://schemas.openxmlformats.org/officeDocument/2006/relationships/hyperlink" Target="https://dmmb.ipm4pro.nl/port.html?guid=98aa06ef-c370-45ee-8e91-0bb776a96118" TargetMode="External"/><Relationship Id="rId32" Type="http://schemas.openxmlformats.org/officeDocument/2006/relationships/hyperlink" Target="https://kaarten.hhnk.nl/portal/apps/webappviewer/index.html?id=d2de3caed0ba442290991e1f5b404e1a" TargetMode="External"/><Relationship Id="rId1328" Type="http://schemas.openxmlformats.org/officeDocument/2006/relationships/hyperlink" Target="https://rijnland.maps.arcgis.com/apps/instant/interactivelegend/index.html?appid=7bc3198037d24d54a9743987ad0731d2" TargetMode="External"/><Relationship Id="rId35" Type="http://schemas.openxmlformats.org/officeDocument/2006/relationships/hyperlink" Target="https://app.pdok.nl/viewer/" TargetMode="External"/><Relationship Id="rId1329" Type="http://schemas.openxmlformats.org/officeDocument/2006/relationships/hyperlink" Target="https://rijnland.maps.arcgis.com/apps/instant/interactivelegend/index.html?appid=ac183c60750a435db95b1705d25b3121" TargetMode="External"/><Relationship Id="rId34" Type="http://schemas.openxmlformats.org/officeDocument/2006/relationships/hyperlink" Target="https://www.google.com/maps/place/Piet+Heinkade+193,+1019+HC+Amsterdam/@52.3766407,4.9209263,486m/data=!3m1!1e3!4m5!3m4!1s0x47c609a7fffb52ab:0xcdf2bc73f97bde73!8m2!3d52.376727!4d4.9231845?entry=ttu&amp;g_ep=EgoyMDI2MDMwMi4wIKXMDSoASAFQAw%3D%3D" TargetMode="External"/><Relationship Id="rId739" Type="http://schemas.openxmlformats.org/officeDocument/2006/relationships/hyperlink" Target="https://app.pdok.nl/viewer/" TargetMode="External"/><Relationship Id="rId734" Type="http://schemas.openxmlformats.org/officeDocument/2006/relationships/hyperlink" Target="https://rijnland.maps.arcgis.com/apps/instant/sidebar/index.html?appid=f0fd839278474fe7841a12800fcc3e39" TargetMode="External"/><Relationship Id="rId733" Type="http://schemas.openxmlformats.org/officeDocument/2006/relationships/hyperlink" Target="https://rijnland.maps.arcgis.com/apps/instant/sidebar/index.html?appid=2b214417eea74ae9a56119c251ffa960" TargetMode="External"/><Relationship Id="rId732" Type="http://schemas.openxmlformats.org/officeDocument/2006/relationships/hyperlink" Target="https://app.pdok.nl/viewer/" TargetMode="External"/><Relationship Id="rId731" Type="http://schemas.openxmlformats.org/officeDocument/2006/relationships/hyperlink" Target="https://maps.app.goo.gl/2QnpSqV2o1Vkdn7bA" TargetMode="External"/><Relationship Id="rId738" Type="http://schemas.openxmlformats.org/officeDocument/2006/relationships/hyperlink" Target="https://maps.app.goo.gl/sGGLyvZTqknAN6US8" TargetMode="External"/><Relationship Id="rId737" Type="http://schemas.openxmlformats.org/officeDocument/2006/relationships/hyperlink" Target="https://www.klicviewer.nl/klic-viewer/uitlevering/3c306b33-3f3f-4e66-8fe4-75976c02913b" TargetMode="External"/><Relationship Id="rId736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35" Type="http://schemas.openxmlformats.org/officeDocument/2006/relationships/hyperlink" Target="https://rijnland.maps.arcgis.com/apps/instant/sidebar/index.html?appid=5469a9663c5e4643b10efe6da9a15ae2" TargetMode="External"/><Relationship Id="rId37" Type="http://schemas.openxmlformats.org/officeDocument/2006/relationships/hyperlink" Target="https://www.klicviewer.nl/klic-viewer/uitlevering/d21d2081-061b-4677-8859-d5a7c0a742d3" TargetMode="External"/><Relationship Id="rId36" Type="http://schemas.openxmlformats.org/officeDocument/2006/relationships/hyperlink" Target="https://maps.waternet.nl/portal/apps/experiencebuilder/experience/?id=36500ca8332b489182bf9ab83427cbc1" TargetMode="External"/><Relationship Id="rId39" Type="http://schemas.openxmlformats.org/officeDocument/2006/relationships/hyperlink" Target="https://app.pdok.nl/viewer/" TargetMode="External"/><Relationship Id="rId38" Type="http://schemas.openxmlformats.org/officeDocument/2006/relationships/hyperlink" Target="https://www.google.com/maps/place/One80+Zwolle/@52.5182973,6.0722107,171m/data=!3m1!1e3!4m15!1m8!3m7!1s0x47c7d8ce5581332f:0xfcdc24d2dc8c0a47!2sGasthuisdijk+11,+8041+AE+Zwolle!3b1!8m2!3d52.5178227!4d6.0721614!16s%2Fg%2F11bw4crfg_!3m5!1s0x47c7d8cef248f5dd:0x36209c80362ce182!8m2!3d52.5183088!4d6.0734277!16s%2Fg%2F11c5rwtjl9?entry=ttu&amp;g_ep=EgoyMDI2MDIyNS4wIKXMDSoASAFQAw%3D%3D" TargetMode="External"/><Relationship Id="rId730" Type="http://schemas.openxmlformats.org/officeDocument/2006/relationships/hyperlink" Target="https://www.klicviewer.nl/klic-viewer/uitlevering/50f86afe-2948-48c6-8b9f-726877b7bdc1" TargetMode="External"/><Relationship Id="rId1320" Type="http://schemas.openxmlformats.org/officeDocument/2006/relationships/hyperlink" Target="https://dmmb.ipm4pro.nl/port.html?guid=98aa06ef-c370-45ee-8e91-0bb776a96118" TargetMode="External"/><Relationship Id="rId1321" Type="http://schemas.openxmlformats.org/officeDocument/2006/relationships/hyperlink" Target="https://rijnland.maps.arcgis.com/apps/instant/interactivelegend/index.html?appid=7bc3198037d24d54a9743987ad0731d2" TargetMode="External"/><Relationship Id="rId1322" Type="http://schemas.openxmlformats.org/officeDocument/2006/relationships/hyperlink" Target="https://rijnland.maps.arcgis.com/apps/instant/interactivelegend/index.html?appid=ac183c60750a435db95b1705d25b3121" TargetMode="External"/><Relationship Id="rId1356" Type="http://schemas.openxmlformats.org/officeDocument/2006/relationships/hyperlink" Target="https://vechtstromen.maps.arcgis.com/apps/webappviewer/index.html?id=157236e98867443696757e2091ebc25a" TargetMode="External"/><Relationship Id="rId1357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20" Type="http://schemas.openxmlformats.org/officeDocument/2006/relationships/hyperlink" Target="https://rijnland.maps.arcgis.com/apps/instant/sidebar/index.html?appid=f0fd839278474fe7841a12800fcc3e39" TargetMode="External"/><Relationship Id="rId1358" Type="http://schemas.openxmlformats.org/officeDocument/2006/relationships/hyperlink" Target="https://www.klicviewer.nl/klic-viewer/uitlevering/db274eac-eabc-483d-9b90-33b63faed38c" TargetMode="External"/><Relationship Id="rId1359" Type="http://schemas.openxmlformats.org/officeDocument/2006/relationships/hyperlink" Target="https://maps.app.goo.gl/Qf98VzJXg4VHzwp46" TargetMode="External"/><Relationship Id="rId22" Type="http://schemas.openxmlformats.org/officeDocument/2006/relationships/hyperlink" Target="https://www.google.com/maps/place/Bouwlustlaan+3,+6684+DM+Ressen/@51.891499,5.8588713,695m/data=!3m1!1e3!4m6!3m5!1s0x47c7a7ec053844f7:0xa7bd24bfc1f8f465!8m2!3d51.8911491!4d5.8599671!16s%2Fg%2F11c4t43_yv?entry=ttu&amp;g_ep=EgoyMDI2MDMwMi4wIKXMDSoASAFQAw%3D%3D" TargetMode="External"/><Relationship Id="rId21" Type="http://schemas.openxmlformats.org/officeDocument/2006/relationships/hyperlink" Target="https://rijnland.maps.arcgis.com/apps/instant/sidebar/index.html?appid=5469a9663c5e4643b10efe6da9a15ae2" TargetMode="External"/><Relationship Id="rId24" Type="http://schemas.openxmlformats.org/officeDocument/2006/relationships/hyperlink" Target="https://experience.arcgis.com/experience/ff9e6ee747524d3cbce7712338ad0e89/page/Pagina-1" TargetMode="External"/><Relationship Id="rId23" Type="http://schemas.openxmlformats.org/officeDocument/2006/relationships/hyperlink" Target="https://app.pdok.nl/viewer/" TargetMode="External"/><Relationship Id="rId767" Type="http://schemas.openxmlformats.org/officeDocument/2006/relationships/hyperlink" Target="https://app.pdok.nl/viewer/" TargetMode="External"/><Relationship Id="rId766" Type="http://schemas.openxmlformats.org/officeDocument/2006/relationships/hyperlink" Target="https://maps.app.goo.gl/ATe5f3nLm44Ht8YPA" TargetMode="External"/><Relationship Id="rId765" Type="http://schemas.openxmlformats.org/officeDocument/2006/relationships/hyperlink" Target="https://www.klicviewer.nl/klic-viewer/uitlevering/f3544c63-1559-41ff-b34c-8dcb76f18664" TargetMode="External"/><Relationship Id="rId764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69" Type="http://schemas.openxmlformats.org/officeDocument/2006/relationships/hyperlink" Target="https://rijnland.maps.arcgis.com/apps/instant/sidebar/index.html?appid=f0fd839278474fe7841a12800fcc3e39" TargetMode="External"/><Relationship Id="rId768" Type="http://schemas.openxmlformats.org/officeDocument/2006/relationships/hyperlink" Target="https://rijnland.maps.arcgis.com/apps/instant/sidebar/index.html?appid=2b214417eea74ae9a56119c251ffa960" TargetMode="External"/><Relationship Id="rId26" Type="http://schemas.openxmlformats.org/officeDocument/2006/relationships/hyperlink" Target="https://wsrl.maps.arcgis.com/apps/instant/sidebar/index.html?appid=cbf893b541074183a43c4653524c3359" TargetMode="External"/><Relationship Id="rId25" Type="http://schemas.openxmlformats.org/officeDocument/2006/relationships/hyperlink" Target="https://experience.arcgis.com/experience/c58cad477757430f9ad8c6c1673058fc/page/Pagina-1" TargetMode="External"/><Relationship Id="rId28" Type="http://schemas.openxmlformats.org/officeDocument/2006/relationships/hyperlink" Target="https://app.pdok.nl/viewer/" TargetMode="External"/><Relationship Id="rId1350" Type="http://schemas.openxmlformats.org/officeDocument/2006/relationships/hyperlink" Target="https://www.google.com/maps/place/Herenweg+78B,+1433+HB+Kudelstaart/@52.2328037,4.7264199,122m/data=!3m1!1e3!4m15!1m8!3m7!1s0x47c5ddd05e309f81:0xbd27f5f4bcc1982f!2sHerenweg+78,+1433+HB+Kudelstaart!3b1!8m2!3d52.2334783!4d4.7288442!16s%2Fg%2F11snp_1q6p!3m5!1s0x47c5ddd039af079b:0xa7cc3e0bd48047fc!8m2!3d52.2330734!4d4.7271392!16s%2Fg%2F11c4vn6s14?entry=ttu&amp;g_ep=EgoyMDI1MTAxNC4wIKXMDSoASAFQAw%3D%3D" TargetMode="External"/><Relationship Id="rId27" Type="http://schemas.openxmlformats.org/officeDocument/2006/relationships/hyperlink" Target="https://www.google.com/maps/place/Kerklaan+93,+1241+CL+Kortenhoef/@52.2407755,5.112368,172m/data=!3m1!1e3!4m15!1m8!3m7!1s0x47c66cd9d7b9af43:0xd5ac61558f445758!2sKerklaan+91,+1241+CL+Kortenhoef!3b1!8m2!3d52.2399489!4d5.1147044!16s%2Fg%2F11c3q3vhtk!3m5!1s0x47c66cd7f3185db3:0x9f5eb71e6207c1f6!8m2!3d52.240651!4d5.1123548!16s%2Fg%2F11c5jhb3fp?entry=ttu&amp;g_ep=EgoyMDI2MDMwMi4wIKXMDSoASAFQAw%3D%3D" TargetMode="External"/><Relationship Id="rId1351" Type="http://schemas.openxmlformats.org/officeDocument/2006/relationships/hyperlink" Target="https://app.pdok.nl/viewer/" TargetMode="External"/><Relationship Id="rId763" Type="http://schemas.openxmlformats.org/officeDocument/2006/relationships/hyperlink" Target="https://rijnland.maps.arcgis.com/apps/instant/sidebar/index.html?appid=5469a9663c5e4643b10efe6da9a15ae2" TargetMode="External"/><Relationship Id="rId1352" Type="http://schemas.openxmlformats.org/officeDocument/2006/relationships/hyperlink" Target="https://maps.waternet.nl/portal/apps/experiencebuilder/experience/?id=36500ca8332b489182bf9ab83427cbc1" TargetMode="External"/><Relationship Id="rId29" Type="http://schemas.openxmlformats.org/officeDocument/2006/relationships/hyperlink" Target="https://maps.waternet.nl/portal/apps/experiencebuilder/experience/?id=36500ca8332b489182bf9ab83427cbc1" TargetMode="External"/><Relationship Id="rId762" Type="http://schemas.openxmlformats.org/officeDocument/2006/relationships/hyperlink" Target="https://rijnland.maps.arcgis.com/apps/instant/sidebar/index.html?appid=f0fd839278474fe7841a12800fcc3e39" TargetMode="External"/><Relationship Id="rId1353" Type="http://schemas.openxmlformats.org/officeDocument/2006/relationships/hyperlink" Target="https://www.klicviewer.nl/klic-viewer/uitlevering/3bf9b9b5-5ce2-429b-b80b-6a7015045bea" TargetMode="External"/><Relationship Id="rId761" Type="http://schemas.openxmlformats.org/officeDocument/2006/relationships/hyperlink" Target="https://rijnland.maps.arcgis.com/apps/instant/sidebar/index.html?appid=2b214417eea74ae9a56119c251ffa960" TargetMode="External"/><Relationship Id="rId1354" Type="http://schemas.openxmlformats.org/officeDocument/2006/relationships/hyperlink" Target="https://www.google.com/maps/place/Wegtersweg+18E,+7556+BR+Hengelo/@52.2790185,6.7754097,205m/data=!3m1!1e3!4m6!3m5!1s0x47b80e3b795b2381:0x1e4b2a5e8f7c0564!8m2!3d52.2794284!4d6.7754547!16s%2Fg%2F11xtwc91j7?entry=ttu&amp;g_ep=EgoyMDI1MTAyMC4wIKXMDSoASAFQAw%3D%3D" TargetMode="External"/><Relationship Id="rId760" Type="http://schemas.openxmlformats.org/officeDocument/2006/relationships/hyperlink" Target="https://app.pdok.nl/viewer/" TargetMode="External"/><Relationship Id="rId1355" Type="http://schemas.openxmlformats.org/officeDocument/2006/relationships/hyperlink" Target="https://app.pdok.nl/viewer/" TargetMode="External"/><Relationship Id="rId1345" Type="http://schemas.openxmlformats.org/officeDocument/2006/relationships/hyperlink" Target="https://www.klicviewer.nl/klic-viewer/uitlevering/342ef002-3119-4250-bedf-cd8cb4d6d997" TargetMode="External"/><Relationship Id="rId1346" Type="http://schemas.openxmlformats.org/officeDocument/2006/relationships/hyperlink" Target="https://www.google.com/maps/place/Keucheniusstraat+26,+9602+TH+Hoogezand/@53.1522743,6.7458357,338m/data=!3m1!1e3!4m6!3m5!1s0x47c82a5977d918e7:0x1850e88a4470a67d!8m2!3d53.1519508!4d6.74657!16s%2Fg%2F11c5m9dn17?entry=ttu&amp;g_ep=EgoyMDI1MTAxNC4wIKXMDSoASAFQAw%3D%3D" TargetMode="External"/><Relationship Id="rId1347" Type="http://schemas.openxmlformats.org/officeDocument/2006/relationships/hyperlink" Target="https://app.pdok.nl/viewer/" TargetMode="External"/><Relationship Id="rId1348" Type="http://schemas.openxmlformats.org/officeDocument/2006/relationships/hyperlink" Target="https://opendata.hunzeenaas.nl/opendataportaal/srv/dut/catalog.search" TargetMode="External"/><Relationship Id="rId11" Type="http://schemas.openxmlformats.org/officeDocument/2006/relationships/hyperlink" Target="https://www.google.com/maps/place/52%C2%B014'07.5%22N+6%C2%B030'24.9%22E/@52.2358099,6.5060574,345m/data=!3m1!1e3!4m4!3m3!8m2!3d52.235419!4d6.506905?entry=ttu&amp;g_ep=EgoyMDI2MDMwOS4wIKXMDSoASAFQAw%3D%3D" TargetMode="External"/><Relationship Id="rId1349" Type="http://schemas.openxmlformats.org/officeDocument/2006/relationships/hyperlink" Target="https://www.klicviewer.nl/klic-viewer/uitlevering/3721b41e-d724-4e88-a426-3aa2fcd1b54a" TargetMode="External"/><Relationship Id="rId10" Type="http://schemas.openxmlformats.org/officeDocument/2006/relationships/hyperlink" Target="https://maps.waternet.nl/portal/apps/experiencebuilder/experience/?id=36500ca8332b489182bf9ab83427cbc1" TargetMode="External"/><Relationship Id="rId13" Type="http://schemas.openxmlformats.org/officeDocument/2006/relationships/hyperlink" Target="https://wrij.maps.arcgis.com/apps/instant/sidebar/index.html?appid=51e2324fc55148c795406bb1aa8c6579" TargetMode="External"/><Relationship Id="rId12" Type="http://schemas.openxmlformats.org/officeDocument/2006/relationships/hyperlink" Target="https://app.pdok.nl/viewer/" TargetMode="External"/><Relationship Id="rId756" Type="http://schemas.openxmlformats.org/officeDocument/2006/relationships/hyperlink" Target="https://rijnland.maps.arcgis.com/apps/instant/sidebar/index.html?appid=5469a9663c5e4643b10efe6da9a15ae2" TargetMode="External"/><Relationship Id="rId755" Type="http://schemas.openxmlformats.org/officeDocument/2006/relationships/hyperlink" Target="https://rijnland.maps.arcgis.com/apps/instant/sidebar/index.html?appid=f0fd839278474fe7841a12800fcc3e39" TargetMode="External"/><Relationship Id="rId754" Type="http://schemas.openxmlformats.org/officeDocument/2006/relationships/hyperlink" Target="https://rijnland.maps.arcgis.com/apps/instant/sidebar/index.html?appid=2b214417eea74ae9a56119c251ffa960" TargetMode="External"/><Relationship Id="rId753" Type="http://schemas.openxmlformats.org/officeDocument/2006/relationships/hyperlink" Target="https://app.pdok.nl/viewer/" TargetMode="External"/><Relationship Id="rId759" Type="http://schemas.openxmlformats.org/officeDocument/2006/relationships/hyperlink" Target="https://maps.app.goo.gl/Vt2Xo7CvTT27PSvd6" TargetMode="External"/><Relationship Id="rId758" Type="http://schemas.openxmlformats.org/officeDocument/2006/relationships/hyperlink" Target="https://www.klicviewer.nl/klic-viewer/uitlevering/8b522834-9a63-47c5-a69c-d0dbe87e6a3e" TargetMode="External"/><Relationship Id="rId757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5" Type="http://schemas.openxmlformats.org/officeDocument/2006/relationships/hyperlink" Target="https://app.pdok.nl/viewer/" TargetMode="External"/><Relationship Id="rId14" Type="http://schemas.openxmlformats.org/officeDocument/2006/relationships/hyperlink" Target="https://www.google.com/maps/place/Voltaweg+29,+3752+LN+Bunschoten-Spakenburg/@52.2302189,5.3588053,172m/data=!3m1!1e3!4m14!1m7!3m6!1s0x47c640a509171af5:0xe5a6e174b03a810!2sVoltaweg+3,+3752+LP+Bunschoten-Spakenburg!3b1!8m2!3d52.2319048!4d5.3603549!3m5!1s0x47c640a538cbdbb9:0xf358b60569323e9b!8m2!3d52.2300393!4d5.3597821!16s%2Fg%2F11bw4__6k7?entry=ttu&amp;g_ep=EgoyMDI2MDMwOC4wIKXMDSoASAFQAw%3D%3D" TargetMode="External"/><Relationship Id="rId17" Type="http://schemas.openxmlformats.org/officeDocument/2006/relationships/hyperlink" Target="https://www.google.com/maps/place/Omloop+28,+2771+NL+Boskoop/@52.0701981,4.6825101,490m/data=!3m1!1e3!4m6!3m5!1s0x47c5d0e9bedba61f:0x2279722dc5b0a0c6!8m2!3d52.0702274!4d4.6830484!16s%2Fg%2F11yx9sgfvg?entry=ttu&amp;g_ep=EgoyMDI2MDMwNS4wIKXMDSoASAFQAw%3D%3D" TargetMode="External"/><Relationship Id="rId16" Type="http://schemas.openxmlformats.org/officeDocument/2006/relationships/hyperlink" Target="https://open-geodata-portaal-valleienveluwe.hub.arcgis.com/apps/e75d12ac1ccb47daa53c1b53916be4e9/explore" TargetMode="External"/><Relationship Id="rId1340" Type="http://schemas.openxmlformats.org/officeDocument/2006/relationships/hyperlink" Target="https://maps.app.goo.gl/1tiYLrpm3q3VAvGdA" TargetMode="External"/><Relationship Id="rId19" Type="http://schemas.openxmlformats.org/officeDocument/2006/relationships/hyperlink" Target="https://rijnland.maps.arcgis.com/apps/instant/sidebar/index.html?appid=2b214417eea74ae9a56119c251ffa960" TargetMode="External"/><Relationship Id="rId752" Type="http://schemas.openxmlformats.org/officeDocument/2006/relationships/hyperlink" Target="https://maps.app.goo.gl/KAL1wGyAqdDoZi7G7" TargetMode="External"/><Relationship Id="rId1341" Type="http://schemas.openxmlformats.org/officeDocument/2006/relationships/hyperlink" Target="https://dmmb.ipm4pro.nl/port.html?guid=98aa06ef-c370-45ee-8e91-0bb776a96118" TargetMode="External"/><Relationship Id="rId18" Type="http://schemas.openxmlformats.org/officeDocument/2006/relationships/hyperlink" Target="https://app.pdok.nl/viewer/" TargetMode="External"/><Relationship Id="rId751" Type="http://schemas.openxmlformats.org/officeDocument/2006/relationships/hyperlink" Target="https://www.klicviewer.nl/klic-viewer/uitlevering/7149aba5-b22f-4baa-ac75-94c3afc6f535" TargetMode="External"/><Relationship Id="rId1342" Type="http://schemas.openxmlformats.org/officeDocument/2006/relationships/hyperlink" Target="https://rijnland.maps.arcgis.com/apps/instant/interactivelegend/index.html?appid=7bc3198037d24d54a9743987ad0731d2" TargetMode="External"/><Relationship Id="rId750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343" Type="http://schemas.openxmlformats.org/officeDocument/2006/relationships/hyperlink" Target="https://rijnland.maps.arcgis.com/apps/instant/interactivelegend/index.html?appid=ac183c60750a435db95b1705d25b3121" TargetMode="External"/><Relationship Id="rId1344" Type="http://schemas.openxmlformats.org/officeDocument/2006/relationships/hyperlink" Target="https://rijnland.maps.arcgis.com/apps/instant/sidebar/index.html?appid=5469a9663c5e4643b10efe6da9a15ae2" TargetMode="External"/><Relationship Id="rId84" Type="http://schemas.openxmlformats.org/officeDocument/2006/relationships/hyperlink" Target="https://kaarten.hhnk.nl/portal/apps/webappviewer/index.html?id=d2de3caed0ba442290991e1f5b404e1a" TargetMode="External"/><Relationship Id="rId83" Type="http://schemas.openxmlformats.org/officeDocument/2006/relationships/hyperlink" Target="https://app.pdok.nl/viewer/" TargetMode="External"/><Relationship Id="rId86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85" Type="http://schemas.openxmlformats.org/officeDocument/2006/relationships/hyperlink" Target="https://kaarten.hhnk.nl/portal/apps/experiencebuilder/experience/?id=44d528c37de546e9846eb2bcaebee084" TargetMode="External"/><Relationship Id="rId88" Type="http://schemas.openxmlformats.org/officeDocument/2006/relationships/hyperlink" Target="https://maps.app.goo.gl/8wENoY5De2L9auXX9" TargetMode="External"/><Relationship Id="rId87" Type="http://schemas.openxmlformats.org/officeDocument/2006/relationships/hyperlink" Target="https://klicviewer.nl/klic-viewer/uitlevering/093b96bc-7e13-4722-a3f3-a8dd0a739342" TargetMode="External"/><Relationship Id="rId89" Type="http://schemas.openxmlformats.org/officeDocument/2006/relationships/hyperlink" Target="https://app.pdok.nl/viewer/" TargetMode="External"/><Relationship Id="rId709" Type="http://schemas.openxmlformats.org/officeDocument/2006/relationships/hyperlink" Target="https://www.klicviewer.nl/klic-viewer/uitlevering/50f86afe-2948-48c6-8b9f-726877b7bdc1" TargetMode="External"/><Relationship Id="rId708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07" Type="http://schemas.openxmlformats.org/officeDocument/2006/relationships/hyperlink" Target="https://aaenmaas.maps.arcgis.com/apps/webappviewer/index.html?id=ce8fafa7b6e3461ca554961b5bb4d4c8" TargetMode="External"/><Relationship Id="rId706" Type="http://schemas.openxmlformats.org/officeDocument/2006/relationships/hyperlink" Target="https://app.pdok.nl/viewer/" TargetMode="External"/><Relationship Id="rId80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82" Type="http://schemas.openxmlformats.org/officeDocument/2006/relationships/hyperlink" Target="https://maps.app.goo.gl/8wENoY5De2L9auXX9" TargetMode="External"/><Relationship Id="rId81" Type="http://schemas.openxmlformats.org/officeDocument/2006/relationships/hyperlink" Target="https://klicviewer.nl/klic-viewer/uitlevering/6f190404-8f4d-487f-b216-f25502ae949d" TargetMode="External"/><Relationship Id="rId701" Type="http://schemas.openxmlformats.org/officeDocument/2006/relationships/hyperlink" Target="https://maps.app.goo.gl/E99PFyt6o52HinEf9" TargetMode="External"/><Relationship Id="rId700" Type="http://schemas.openxmlformats.org/officeDocument/2006/relationships/hyperlink" Target="https://www.klicviewer.nl/klic-viewer/uitlevering/5c2a9fb0-d2f7-4f71-908f-fd559204fff4" TargetMode="External"/><Relationship Id="rId705" Type="http://schemas.openxmlformats.org/officeDocument/2006/relationships/hyperlink" Target="https://www.google.com/maps/place/Arte+Groep/@51.444316,5.7002598,702m/data=!3m1!1e3!4m15!1m8!3m7!1s0x47c7248ec25c6a9d:0x418828b256e0e20c!2sMaisdijk,+Helmond!3b1!8m2!3d51.4465979!4d5.7021355!16s%2Fg%2F1tgw47ml!3m5!1s0x47c7248eafd8dbfd:0xd0d49e7904f46da0!8m2!3d51.4456217!4d5.701257!16s%2Fg%2F1v_s53km?entry=ttu&amp;g_ep=EgoyMDI1MTEyMy4xIKXMDSoASAFQAw%3D%3D" TargetMode="External"/><Relationship Id="rId704" Type="http://schemas.openxmlformats.org/officeDocument/2006/relationships/hyperlink" Target="https://www.klicviewer.nl/klic-viewer/uitlevering/866c6c55-9c88-484b-9e53-dc339653a90f" TargetMode="External"/><Relationship Id="rId703" Type="http://schemas.openxmlformats.org/officeDocument/2006/relationships/hyperlink" Target="https://rijnland.maps.arcgis.com/apps/instant/sidebar/index.html?appid=2b214417eea74ae9a56119c251ffa960" TargetMode="External"/><Relationship Id="rId702" Type="http://schemas.openxmlformats.org/officeDocument/2006/relationships/hyperlink" Target="https://app.pdok.nl/viewer/" TargetMode="External"/><Relationship Id="rId73" Type="http://schemas.openxmlformats.org/officeDocument/2006/relationships/hyperlink" Target="https://app.pdok.nl/viewer/" TargetMode="External"/><Relationship Id="rId72" Type="http://schemas.openxmlformats.org/officeDocument/2006/relationships/hyperlink" Target="https://www.google.com/maps/place/52%C2%B008'33.9%22N+6%C2%B044'53.7%22E/@52.1430449,6.7481019,145m/data=!3m1!1e3!4m4!3m3!8m2!3d52.142759!4d6.74825?entry=ttu&amp;g_ep=EgoyMDI2MDIyNS4wIKXMDSoASAFQAw%3D%3D" TargetMode="External"/><Relationship Id="rId75" Type="http://schemas.openxmlformats.org/officeDocument/2006/relationships/hyperlink" Target="https://www.klicviewer.nl/klic-viewer/uitlevering/a354ea9b-a107-4d3a-a7bb-128dcffbba31" TargetMode="External"/><Relationship Id="rId74" Type="http://schemas.openxmlformats.org/officeDocument/2006/relationships/hyperlink" Target="https://wrij.maps.arcgis.com/apps/instant/sidebar/index.html?appid=bfd392c53e014c3aafc0cb588efd8a52" TargetMode="External"/><Relationship Id="rId77" Type="http://schemas.openxmlformats.org/officeDocument/2006/relationships/hyperlink" Target="https://app.pdok.nl/viewer/" TargetMode="External"/><Relationship Id="rId76" Type="http://schemas.openxmlformats.org/officeDocument/2006/relationships/hyperlink" Target="https://www.google.com/maps/place/51%C2%B052'56.6%22N+4%C2%B036'11.9%22E/@51.8824563,4.6032386,174m/data=!3m1!1e3!4m4!3m3!8m2!3d51.882391!4d4.60331?entry=ttu&amp;g_ep=EgoyMDI2MDIyNS4wIKXMDSoASAFQAw%3D%3D" TargetMode="External"/><Relationship Id="rId79" Type="http://schemas.openxmlformats.org/officeDocument/2006/relationships/hyperlink" Target="https://opendata-wshd.hub.arcgis.com/" TargetMode="External"/><Relationship Id="rId78" Type="http://schemas.openxmlformats.org/officeDocument/2006/relationships/hyperlink" Target="https://wshd.maps.arcgis.com/apps/instant/sidebar/index.html?appid=e9fc292e4b9446068b8fcc1b938df522" TargetMode="External"/><Relationship Id="rId71" Type="http://schemas.openxmlformats.org/officeDocument/2006/relationships/hyperlink" Target="https://www.klicviewer.nl/klic-viewer/uitlevering/5ba1ac13-930d-4784-acd3-17d59d7e4f3d" TargetMode="External"/><Relationship Id="rId70" Type="http://schemas.openxmlformats.org/officeDocument/2006/relationships/hyperlink" Target="https://wrij.maps.arcgis.com/apps/instant/sidebar/index.html?appid=bfd392c53e014c3aafc0cb588efd8a52" TargetMode="External"/><Relationship Id="rId62" Type="http://schemas.openxmlformats.org/officeDocument/2006/relationships/hyperlink" Target="https://kaarten.hhnk.nl/portal/apps/webappviewer/index.html?id=d2de3caed0ba442290991e1f5b404e1a" TargetMode="External"/><Relationship Id="rId1312" Type="http://schemas.openxmlformats.org/officeDocument/2006/relationships/hyperlink" Target="https://maps.app.goo.gl/1tiYLrpm3q3VAvGdA" TargetMode="External"/><Relationship Id="rId61" Type="http://schemas.openxmlformats.org/officeDocument/2006/relationships/hyperlink" Target="https://app.pdok.nl/viewer/" TargetMode="External"/><Relationship Id="rId1313" Type="http://schemas.openxmlformats.org/officeDocument/2006/relationships/hyperlink" Target="https://dmmb.ipm4pro.nl/port.html?guid=98aa06ef-c370-45ee-8e91-0bb776a96118" TargetMode="External"/><Relationship Id="rId64" Type="http://schemas.openxmlformats.org/officeDocument/2006/relationships/hyperlink" Target="https://www.google.com/maps/place/Cromme+Meth+111,+3191+TG+Hoogvliet+Rotterdam/@51.8645819,4.3612016,146m/data=!3m1!1e3!4m6!3m5!1s0x47c44a07ab4e9d1b:0xd528c9a59a87a434!8m2!3d51.864337!4d4.3616904!16s%2Fg%2F11cpn345_5?entry=ttu&amp;g_ep=EgoyMDI2MDIyNS4wIKXMDSoASAFQAw%3D%3D" TargetMode="External"/><Relationship Id="rId1314" Type="http://schemas.openxmlformats.org/officeDocument/2006/relationships/hyperlink" Target="https://rijnland.maps.arcgis.com/apps/instant/interactivelegend/index.html?appid=7bc3198037d24d54a9743987ad0731d2" TargetMode="External"/><Relationship Id="rId63" Type="http://schemas.openxmlformats.org/officeDocument/2006/relationships/hyperlink" Target="https://www.klicviewer.nl/klic-viewer/uitlevering/71f977e2-3381-4734-b4c5-a1744398bceb" TargetMode="External"/><Relationship Id="rId1315" Type="http://schemas.openxmlformats.org/officeDocument/2006/relationships/hyperlink" Target="https://rijnland.maps.arcgis.com/apps/instant/interactivelegend/index.html?appid=ac183c60750a435db95b1705d25b3121" TargetMode="External"/><Relationship Id="rId66" Type="http://schemas.openxmlformats.org/officeDocument/2006/relationships/hyperlink" Target="https://wshd.maps.arcgis.com/apps/instant/sidebar/index.html?appid=e9fc292e4b9446068b8fcc1b938df522" TargetMode="External"/><Relationship Id="rId1316" Type="http://schemas.openxmlformats.org/officeDocument/2006/relationships/hyperlink" Target="https://rijnland.maps.arcgis.com/apps/instant/sidebar/index.html?appid=5469a9663c5e4643b10efe6da9a15ae2" TargetMode="External"/><Relationship Id="rId65" Type="http://schemas.openxmlformats.org/officeDocument/2006/relationships/hyperlink" Target="https://app.pdok.nl/viewer/" TargetMode="External"/><Relationship Id="rId1317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68" Type="http://schemas.openxmlformats.org/officeDocument/2006/relationships/hyperlink" Target="https://www.google.com/maps/place/Rozendaalselaan+61,+6881+LB+Velp/@52.0001645,5.9683748,146m/data=!3m1!1e3!4m6!3m5!1s0x47c7a4802becd619:0x724b88ea8b054fe2!8m2!3d52.0001602!4d5.9689078!16s%2Fg%2F11vkgy1pyq?entry=ttu&amp;g_ep=EgoyMDI2MDIyNS4wIKXMDSoASAFQAw%3D%3D" TargetMode="External"/><Relationship Id="rId1318" Type="http://schemas.openxmlformats.org/officeDocument/2006/relationships/hyperlink" Target="https://www.klicviewer.nl/klic-viewer/uitlevering/b9db91de-9381-43b6-88b9-badd5ebcc3cc" TargetMode="External"/><Relationship Id="rId67" Type="http://schemas.openxmlformats.org/officeDocument/2006/relationships/hyperlink" Target="https://opendata-wshd.hub.arcgis.com/" TargetMode="External"/><Relationship Id="rId1319" Type="http://schemas.openxmlformats.org/officeDocument/2006/relationships/hyperlink" Target="https://maps.app.goo.gl/1tiYLrpm3q3VAvGdA" TargetMode="External"/><Relationship Id="rId729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28" Type="http://schemas.openxmlformats.org/officeDocument/2006/relationships/hyperlink" Target="https://rijnland.maps.arcgis.com/apps/instant/sidebar/index.html?appid=5469a9663c5e4643b10efe6da9a15ae2" TargetMode="External"/><Relationship Id="rId60" Type="http://schemas.openxmlformats.org/officeDocument/2006/relationships/hyperlink" Target="https://www.google.com/maps/place/Duinluststraat+34,+1024+WC+Amsterdam/@52.3953539,4.9518247,86m/data=!3m1!1e3!4m15!1m8!3m7!1s0x47c608e7f72b0d49:0x19460b5f767c4b05!2sDuinluststraat+32,+1024+WC+Amsterdam!3b1!8m2!3d52.3954914!4d4.9524663!16s%2Fg%2F11ng5qxdnz!3m5!1s0x47c608e7f0438267:0xb8bd0baf8c7d9b82!8m2!3d52.395547!4d4.952177!16s%2Fg%2F11rk0bx3yb?entry=ttu&amp;g_ep=EgoyMDI2MDIyNS4wIKXMDSoASAFQAw%3D%3D" TargetMode="External"/><Relationship Id="rId723" Type="http://schemas.openxmlformats.org/officeDocument/2006/relationships/hyperlink" Target="https://www.klicviewer.nl/klic-viewer/uitlevering/ccd20440-2acb-4158-a5e8-19f99bccd1e3" TargetMode="External"/><Relationship Id="rId722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21" Type="http://schemas.openxmlformats.org/officeDocument/2006/relationships/hyperlink" Target="https://rijnland.maps.arcgis.com/apps/instant/sidebar/index.html?appid=5469a9663c5e4643b10efe6da9a15ae2" TargetMode="External"/><Relationship Id="rId720" Type="http://schemas.openxmlformats.org/officeDocument/2006/relationships/hyperlink" Target="https://rijnland.maps.arcgis.com/apps/instant/sidebar/index.html?appid=f0fd839278474fe7841a12800fcc3e39" TargetMode="External"/><Relationship Id="rId727" Type="http://schemas.openxmlformats.org/officeDocument/2006/relationships/hyperlink" Target="https://rijnland.maps.arcgis.com/apps/instant/sidebar/index.html?appid=f0fd839278474fe7841a12800fcc3e39" TargetMode="External"/><Relationship Id="rId726" Type="http://schemas.openxmlformats.org/officeDocument/2006/relationships/hyperlink" Target="https://rijnland.maps.arcgis.com/apps/instant/sidebar/index.html?appid=2b214417eea74ae9a56119c251ffa960" TargetMode="External"/><Relationship Id="rId725" Type="http://schemas.openxmlformats.org/officeDocument/2006/relationships/hyperlink" Target="https://app.pdok.nl/viewer/" TargetMode="External"/><Relationship Id="rId724" Type="http://schemas.openxmlformats.org/officeDocument/2006/relationships/hyperlink" Target="https://maps.app.goo.gl/AhhPut3bVyQWYNrJ7" TargetMode="External"/><Relationship Id="rId69" Type="http://schemas.openxmlformats.org/officeDocument/2006/relationships/hyperlink" Target="https://app.pdok.nl/viewer/" TargetMode="External"/><Relationship Id="rId1310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311" Type="http://schemas.openxmlformats.org/officeDocument/2006/relationships/hyperlink" Target="https://www.klicviewer.nl/klic-viewer/uitlevering/a8dc53ba-a8f3-4a1f-9d53-6292b3943572" TargetMode="External"/><Relationship Id="rId51" Type="http://schemas.openxmlformats.org/officeDocument/2006/relationships/hyperlink" Target="https://app.pdok.nl/viewer/" TargetMode="External"/><Relationship Id="rId1301" Type="http://schemas.openxmlformats.org/officeDocument/2006/relationships/hyperlink" Target="https://rijnland.maps.arcgis.com/apps/instant/interactivelegend/index.html?appid=ac183c60750a435db95b1705d25b3121" TargetMode="External"/><Relationship Id="rId50" Type="http://schemas.openxmlformats.org/officeDocument/2006/relationships/hyperlink" Target="https://www.google.com/maps/place/Marknesserweg+1,+8356+VP+Blokzijl/@52.7270719,5.9544218,171m/data=!3m1!1e3!4m6!3m5!1s0x47c864d30783c547:0x74f3a0588a41d791!8m2!3d52.7275034!4d5.954328!16s%2Fg%2F11bw3y_pwr?entry=ttu&amp;g_ep=EgoyMDI2MDIyNS4wIKXMDSoASAFQAw%3D%3D" TargetMode="External"/><Relationship Id="rId1302" Type="http://schemas.openxmlformats.org/officeDocument/2006/relationships/hyperlink" Target="https://rijnland.maps.arcgis.com/apps/instant/sidebar/index.html?appid=5469a9663c5e4643b10efe6da9a15ae2" TargetMode="External"/><Relationship Id="rId53" Type="http://schemas.openxmlformats.org/officeDocument/2006/relationships/hyperlink" Target="https://www.klicviewer.nl/klic-viewer/uitlevering/ac178074-e52c-4028-a5e1-608f96d6e6d7" TargetMode="External"/><Relationship Id="rId130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52" Type="http://schemas.openxmlformats.org/officeDocument/2006/relationships/hyperlink" Target="https://experience.arcgis.com/experience/f3a714b052e04bb8afe63840ba9b7243/" TargetMode="External"/><Relationship Id="rId1304" Type="http://schemas.openxmlformats.org/officeDocument/2006/relationships/hyperlink" Target="https://www.klicviewer.nl/klic-viewer/uitlevering/d0cf133a-290a-4271-a51a-2592d23fac31" TargetMode="External"/><Relationship Id="rId55" Type="http://schemas.openxmlformats.org/officeDocument/2006/relationships/hyperlink" Target="https://app.pdok.nl/viewer/" TargetMode="External"/><Relationship Id="rId1305" Type="http://schemas.openxmlformats.org/officeDocument/2006/relationships/hyperlink" Target="https://maps.app.goo.gl/1tiYLrpm3q3VAvGdA" TargetMode="External"/><Relationship Id="rId54" Type="http://schemas.openxmlformats.org/officeDocument/2006/relationships/hyperlink" Target="https://www.google.com/maps/@52.2260445,5.4612253,820m/data=!3m1!1e3!4m6!1m2!10m1!1e1!11m2!2ss7K7QXsb15GsPSjQBcSdKA!3e3?entry=ttu&amp;g_ep=EgoyMDI2MDIyNS4wIKXMDSoASAFQAw%3D%3D" TargetMode="External"/><Relationship Id="rId1306" Type="http://schemas.openxmlformats.org/officeDocument/2006/relationships/hyperlink" Target="https://dmmb.ipm4pro.nl/port.html?guid=98aa06ef-c370-45ee-8e91-0bb776a96118" TargetMode="External"/><Relationship Id="rId57" Type="http://schemas.openxmlformats.org/officeDocument/2006/relationships/hyperlink" Target="https://open-geodata-portaal-valleienveluwe.hub.arcgis.com/" TargetMode="External"/><Relationship Id="rId1307" Type="http://schemas.openxmlformats.org/officeDocument/2006/relationships/hyperlink" Target="https://rijnland.maps.arcgis.com/apps/instant/interactivelegend/index.html?appid=7bc3198037d24d54a9743987ad0731d2" TargetMode="External"/><Relationship Id="rId56" Type="http://schemas.openxmlformats.org/officeDocument/2006/relationships/hyperlink" Target="https://open-geodata-portaal-valleienveluwe.hub.arcgis.com/apps/e75d12ac1ccb47daa53c1b53916be4e9/explore" TargetMode="External"/><Relationship Id="rId1308" Type="http://schemas.openxmlformats.org/officeDocument/2006/relationships/hyperlink" Target="https://rijnland.maps.arcgis.com/apps/instant/interactivelegend/index.html?appid=ac183c60750a435db95b1705d25b3121" TargetMode="External"/><Relationship Id="rId1309" Type="http://schemas.openxmlformats.org/officeDocument/2006/relationships/hyperlink" Target="https://rijnland.maps.arcgis.com/apps/instant/sidebar/index.html?appid=5469a9663c5e4643b10efe6da9a15ae2" TargetMode="External"/><Relationship Id="rId719" Type="http://schemas.openxmlformats.org/officeDocument/2006/relationships/hyperlink" Target="https://rijnland.maps.arcgis.com/apps/instant/sidebar/index.html?appid=2b214417eea74ae9a56119c251ffa960" TargetMode="External"/><Relationship Id="rId718" Type="http://schemas.openxmlformats.org/officeDocument/2006/relationships/hyperlink" Target="https://app.pdok.nl/viewer/" TargetMode="External"/><Relationship Id="rId717" Type="http://schemas.openxmlformats.org/officeDocument/2006/relationships/hyperlink" Target="https://maps.app.goo.gl/et2zyyf3JvKpmg9S9" TargetMode="External"/><Relationship Id="rId712" Type="http://schemas.openxmlformats.org/officeDocument/2006/relationships/hyperlink" Target="https://rijnland.maps.arcgis.com/apps/instant/sidebar/index.html?appid=2b214417eea74ae9a56119c251ffa960" TargetMode="External"/><Relationship Id="rId711" Type="http://schemas.openxmlformats.org/officeDocument/2006/relationships/hyperlink" Target="https://app.pdok.nl/viewer/" TargetMode="External"/><Relationship Id="rId710" Type="http://schemas.openxmlformats.org/officeDocument/2006/relationships/hyperlink" Target="https://maps.app.goo.gl/2QnpSqV2o1Vkdn7bA" TargetMode="External"/><Relationship Id="rId716" Type="http://schemas.openxmlformats.org/officeDocument/2006/relationships/hyperlink" Target="https://www.klicviewer.nl/klic-viewer/uitlevering/6af51913-9734-4804-965b-4945e7796372" TargetMode="External"/><Relationship Id="rId715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14" Type="http://schemas.openxmlformats.org/officeDocument/2006/relationships/hyperlink" Target="https://rijnland.maps.arcgis.com/apps/instant/sidebar/index.html?appid=5469a9663c5e4643b10efe6da9a15ae2" TargetMode="External"/><Relationship Id="rId713" Type="http://schemas.openxmlformats.org/officeDocument/2006/relationships/hyperlink" Target="https://rijnland.maps.arcgis.com/apps/instant/sidebar/index.html?appid=f0fd839278474fe7841a12800fcc3e39" TargetMode="External"/><Relationship Id="rId59" Type="http://schemas.openxmlformats.org/officeDocument/2006/relationships/hyperlink" Target="https://www.klicviewer.nl/klic-viewer/uitlevering/f2a9dba3-2f2c-43d0-b704-edf4439efd6e" TargetMode="External"/><Relationship Id="rId58" Type="http://schemas.openxmlformats.org/officeDocument/2006/relationships/hyperlink" Target="https://open-geodata-portaal-valleienveluwe.hub.arcgis.com/datasets/e8367b7d29fb44bf9b875541ca1d0c53_0/explore" TargetMode="External"/><Relationship Id="rId1300" Type="http://schemas.openxmlformats.org/officeDocument/2006/relationships/hyperlink" Target="https://rijnland.maps.arcgis.com/apps/instant/interactivelegend/index.html?appid=7bc3198037d24d54a9743987ad0731d2" TargetMode="External"/><Relationship Id="rId349" Type="http://schemas.openxmlformats.org/officeDocument/2006/relationships/hyperlink" Target="https://kaarten.hhnk.nl/portal/apps/webappviewer/index.html?id=d2de3caed0ba442290991e1f5b404e1a" TargetMode="External"/><Relationship Id="rId348" Type="http://schemas.openxmlformats.org/officeDocument/2006/relationships/hyperlink" Target="https://app.pdok.nl/viewer/" TargetMode="External"/><Relationship Id="rId347" Type="http://schemas.openxmlformats.org/officeDocument/2006/relationships/hyperlink" Target="https://maps.app.goo.gl/MCVqCxVc3xFTNxCK8" TargetMode="External"/><Relationship Id="rId346" Type="http://schemas.openxmlformats.org/officeDocument/2006/relationships/hyperlink" Target="https://www.klicviewer.nl/klic-viewer/uitlevering/4c6a6a21-e1d2-4634-ad66-d170d9b89094" TargetMode="External"/><Relationship Id="rId341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40" Type="http://schemas.openxmlformats.org/officeDocument/2006/relationships/hyperlink" Target="https://kaarten.hhnk.nl/portal/apps/webappviewer/index.html?id=d2de3caed0ba442290991e1f5b404e1a" TargetMode="External"/><Relationship Id="rId345" Type="http://schemas.openxmlformats.org/officeDocument/2006/relationships/hyperlink" Target="https://kaarten.hhnk.nl/portal/apps/webappviewer/index.html?id=d2de3caed0ba442290991e1f5b404e1a" TargetMode="External"/><Relationship Id="rId344" Type="http://schemas.openxmlformats.org/officeDocument/2006/relationships/hyperlink" Target="https://app.pdok.nl/viewer/" TargetMode="External"/><Relationship Id="rId343" Type="http://schemas.openxmlformats.org/officeDocument/2006/relationships/hyperlink" Target="https://maps.app.goo.gl/WTYFV3wpyEzeLi8F9" TargetMode="External"/><Relationship Id="rId342" Type="http://schemas.openxmlformats.org/officeDocument/2006/relationships/hyperlink" Target="https://www.klicviewer.nl/klic-viewer/uitlevering/78ca9be4-4494-43dc-a025-a37650fcaea3" TargetMode="External"/><Relationship Id="rId338" Type="http://schemas.openxmlformats.org/officeDocument/2006/relationships/hyperlink" Target="https://maps.app.goo.gl/WTYFV3wpyEzeLi8F9" TargetMode="External"/><Relationship Id="rId337" Type="http://schemas.openxmlformats.org/officeDocument/2006/relationships/hyperlink" Target="https://www.klicviewer.nl/klic-viewer/uitlevering/78ca9be4-4494-43dc-a025-a37650fcaea3" TargetMode="External"/><Relationship Id="rId336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35" Type="http://schemas.openxmlformats.org/officeDocument/2006/relationships/hyperlink" Target="https://maps.waternet.nl/portal/apps/experiencebuilder/experience/?id=36500ca8332b489182bf9ab83427cbc1" TargetMode="External"/><Relationship Id="rId339" Type="http://schemas.openxmlformats.org/officeDocument/2006/relationships/hyperlink" Target="https://app.pdok.nl/viewer/" TargetMode="External"/><Relationship Id="rId330" Type="http://schemas.openxmlformats.org/officeDocument/2006/relationships/hyperlink" Target="https://app.pdok.nl/viewer/" TargetMode="External"/><Relationship Id="rId334" Type="http://schemas.openxmlformats.org/officeDocument/2006/relationships/hyperlink" Target="https://app.pdok.nl/viewer/" TargetMode="External"/><Relationship Id="rId333" Type="http://schemas.openxmlformats.org/officeDocument/2006/relationships/hyperlink" Target="https://maps.app.goo.gl/DCzX5dfLYpJk7EPBA" TargetMode="External"/><Relationship Id="rId332" Type="http://schemas.openxmlformats.org/officeDocument/2006/relationships/hyperlink" Target="https://www.klicviewer.nl/klic-viewer/uitlevering/257d6369-2f48-4635-9323-bf6821971b4f" TargetMode="External"/><Relationship Id="rId331" Type="http://schemas.openxmlformats.org/officeDocument/2006/relationships/hyperlink" Target="https://maps.waternet.nl/portal/apps/experiencebuilder/experience/?id=36500ca8332b489182bf9ab83427cbc1" TargetMode="External"/><Relationship Id="rId370" Type="http://schemas.openxmlformats.org/officeDocument/2006/relationships/hyperlink" Target="https://www.klicviewer.nl/klic-viewer/uitlevering/505754f4-7413-426d-8cec-1c95cf33bc0c" TargetMode="External"/><Relationship Id="rId369" Type="http://schemas.openxmlformats.org/officeDocument/2006/relationships/hyperlink" Target="https://rijnland.maps.arcgis.com/apps/instant/sidebar/index.html?appid=5469a9663c5e4643b10efe6da9a15ae2" TargetMode="External"/><Relationship Id="rId368" Type="http://schemas.openxmlformats.org/officeDocument/2006/relationships/hyperlink" Target="https://rijnland.maps.arcgis.com/apps/instant/sidebar/index.html?appid=f0fd839278474fe7841a12800fcc3e39" TargetMode="External"/><Relationship Id="rId36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62" Type="http://schemas.openxmlformats.org/officeDocument/2006/relationships/hyperlink" Target="https://rijnland.maps.arcgis.com/apps/instant/sidebar/index.html?appid=5469a9663c5e4643b10efe6da9a15ae2" TargetMode="External"/><Relationship Id="rId361" Type="http://schemas.openxmlformats.org/officeDocument/2006/relationships/hyperlink" Target="https://rijnland.maps.arcgis.com/apps/instant/sidebar/index.html?appid=f0fd839278474fe7841a12800fcc3e39" TargetMode="External"/><Relationship Id="rId360" Type="http://schemas.openxmlformats.org/officeDocument/2006/relationships/hyperlink" Target="https://rijnland.maps.arcgis.com/apps/instant/sidebar/index.html?appid=2b214417eea74ae9a56119c251ffa960" TargetMode="External"/><Relationship Id="rId367" Type="http://schemas.openxmlformats.org/officeDocument/2006/relationships/hyperlink" Target="https://rijnland.maps.arcgis.com/apps/instant/sidebar/index.html?appid=2b214417eea74ae9a56119c251ffa960" TargetMode="External"/><Relationship Id="rId366" Type="http://schemas.openxmlformats.org/officeDocument/2006/relationships/hyperlink" Target="https://app.pdok.nl/viewer/" TargetMode="External"/><Relationship Id="rId365" Type="http://schemas.openxmlformats.org/officeDocument/2006/relationships/hyperlink" Target="https://www.google.com/maps/search/52.276520,+4.730452?entry=tts&amp;g_ep=EgoyMDI2MDIwMS4wIPu8ASoASAFQAw%3D%3D&amp;skid=71296e15-fe5e-4939-9fdc-a1b9c6e60d60" TargetMode="External"/><Relationship Id="rId364" Type="http://schemas.openxmlformats.org/officeDocument/2006/relationships/hyperlink" Target="https://www.klicviewer.nl/klic-viewer/uitlevering/930fcb35-659e-46fa-a86e-7f97f442a69d" TargetMode="External"/><Relationship Id="rId95" Type="http://schemas.openxmlformats.org/officeDocument/2006/relationships/hyperlink" Target="https://rijnland.maps.arcgis.com/apps/instant/sidebar/index.html?appid=f0fd839278474fe7841a12800fcc3e39" TargetMode="External"/><Relationship Id="rId94" Type="http://schemas.openxmlformats.org/officeDocument/2006/relationships/hyperlink" Target="https://rijnland.maps.arcgis.com/apps/instant/sidebar/index.html?appid=2b214417eea74ae9a56119c251ffa960" TargetMode="External"/><Relationship Id="rId97" Type="http://schemas.openxmlformats.org/officeDocument/2006/relationships/hyperlink" Target="https://www.klicviewer.nl/klic-viewer/uitlevering/274ed592-eaac-45ee-90e2-c86d939edd24" TargetMode="External"/><Relationship Id="rId96" Type="http://schemas.openxmlformats.org/officeDocument/2006/relationships/hyperlink" Target="https://rijnland.maps.arcgis.com/apps/instant/sidebar/index.html?appid=5469a9663c5e4643b10efe6da9a15ae2" TargetMode="External"/><Relationship Id="rId99" Type="http://schemas.openxmlformats.org/officeDocument/2006/relationships/hyperlink" Target="https://app.pdok.nl/viewer/" TargetMode="External"/><Relationship Id="rId98" Type="http://schemas.openxmlformats.org/officeDocument/2006/relationships/hyperlink" Target="https://www.google.com/maps/place/Van+Sminialeane+49,+8731+BD+Wommels/@53.1045181,5.6014128,338m/data=!3m1!1e3!4m6!3m5!1s0x47c8e575962a69a7:0x3919c88a9eb2fc26!8m2!3d53.1043024!4d5.6051625!16s%2Fg%2F11bw436bjt?entry=ttu&amp;g_ep=EgoyMDI2MDIxOC4wIKXMDSoASAFQAw%3D%3D" TargetMode="External"/><Relationship Id="rId91" Type="http://schemas.openxmlformats.org/officeDocument/2006/relationships/hyperlink" Target="https://kaarten.hhnk.nl/portal/apps/experiencebuilder/experience/?id=44d528c37de546e9846eb2bcaebee084" TargetMode="External"/><Relationship Id="rId90" Type="http://schemas.openxmlformats.org/officeDocument/2006/relationships/hyperlink" Target="https://kaarten.hhnk.nl/portal/apps/webappviewer/index.html?id=d2de3caed0ba442290991e1f5b404e1a" TargetMode="External"/><Relationship Id="rId93" Type="http://schemas.openxmlformats.org/officeDocument/2006/relationships/hyperlink" Target="https://app.pdok.nl/viewer/" TargetMode="External"/><Relationship Id="rId92" Type="http://schemas.openxmlformats.org/officeDocument/2006/relationships/hyperlink" Target="https://www.google.com/maps/place/Oosteinderweg+250,+1432+BB+Aalsmeer/@52.2802907,4.7857597,205m/data=!3m1!1e3!4m6!3m5!1s0x47c5e08e021c60e5:0x3551f8ef13c1b617!8m2!3d52.2801243!4d4.7866936!16s%2Fg%2F11csfy45vb?entry=ttu&amp;g_ep=EgoyMDI2MDIxOC4wIKXMDSoASAFQAw%3D%3D" TargetMode="External"/><Relationship Id="rId359" Type="http://schemas.openxmlformats.org/officeDocument/2006/relationships/hyperlink" Target="https://app.pdok.nl/viewer/" TargetMode="External"/><Relationship Id="rId358" Type="http://schemas.openxmlformats.org/officeDocument/2006/relationships/hyperlink" Target="https://www.google.com/maps/place/Spieringweg+1222,+2136+LR+Zwaanshoek/@52.3010094,4.6059604,172m/data=!3m1!1e3!4m15!1m8!3m7!1s0x47c5e8457626cbcb:0xfd8352a05afc4ed1!2sSpieringweg+1220,+2136+LR+Beinsdorp!3b1!8m2!3d52.3009752!4d4.6064537!16s%2Fg%2F11yc5h7rpk!3m5!1s0x47c5e84579cc3935:0x9464800e97140a58!8m2!3d52.3011462!4d4.6061089!16s%2Fg%2F11bw3z8c_k?entry=ttu&amp;g_ep=EgoyMDI2MDEyNi4wIKXMDSoASAFQAw%3D%3D" TargetMode="External"/><Relationship Id="rId357" Type="http://schemas.openxmlformats.org/officeDocument/2006/relationships/hyperlink" Target="https://www.klicviewer.nl/klic-viewer/uitlevering/019487ad-1564-487f-a1fb-c35c7d36a35d" TargetMode="External"/><Relationship Id="rId352" Type="http://schemas.openxmlformats.org/officeDocument/2006/relationships/hyperlink" Target="https://www.google.com/maps/place/Bukkersweg+1,+2371+HZ+Roelofarendsveen/@52.1929902,4.6150047,345m/data=!3m1!1e3!4m6!3m5!1s0x47c5c350e401aedd:0x1475357a29f0f300!8m2!3d52.1930794!4d4.6165594!16s%2Fg%2F11ysmkr_q5?entry=ttu&amp;g_ep=EgoyMDI2MDEyNi4wIKXMDSoASAFQAw%3D%3D" TargetMode="External"/><Relationship Id="rId351" Type="http://schemas.openxmlformats.org/officeDocument/2006/relationships/hyperlink" Target="https://www.klicviewer.nl/klic-viewer/uitlevering/f89b7b8f-af73-4f00-91c4-c102a53fb483" TargetMode="External"/><Relationship Id="rId350" Type="http://schemas.openxmlformats.org/officeDocument/2006/relationships/hyperlink" Target="https://kaarten.hhnk.nl/portal/apps/experiencebuilder/experience/?id=44d528c37de546e9846eb2bcaebee084" TargetMode="External"/><Relationship Id="rId356" Type="http://schemas.openxmlformats.org/officeDocument/2006/relationships/hyperlink" Target="https://rijnland.maps.arcgis.com/apps/instant/sidebar/index.html?appid=5469a9663c5e4643b10efe6da9a15ae2" TargetMode="External"/><Relationship Id="rId355" Type="http://schemas.openxmlformats.org/officeDocument/2006/relationships/hyperlink" Target="https://rijnland.maps.arcgis.com/apps/instant/sidebar/index.html?appid=f0fd839278474fe7841a12800fcc3e39" TargetMode="External"/><Relationship Id="rId354" Type="http://schemas.openxmlformats.org/officeDocument/2006/relationships/hyperlink" Target="https://rijnland.maps.arcgis.com/apps/instant/sidebar/index.html?appid=2b214417eea74ae9a56119c251ffa960" TargetMode="External"/><Relationship Id="rId353" Type="http://schemas.openxmlformats.org/officeDocument/2006/relationships/hyperlink" Target="https://app.pdok.nl/viewer/" TargetMode="External"/><Relationship Id="rId1378" Type="http://schemas.openxmlformats.org/officeDocument/2006/relationships/hyperlink" Target="https://www.klicviewer.nl/klic-viewer/uitlevering/c4c41683-450d-4ec8-b163-ec2b137aba5d" TargetMode="External"/><Relationship Id="rId1379" Type="http://schemas.openxmlformats.org/officeDocument/2006/relationships/hyperlink" Target="https://maps.app.goo.gl/Qf98VzJXg4VHzwp46" TargetMode="External"/><Relationship Id="rId305" Type="http://schemas.openxmlformats.org/officeDocument/2006/relationships/hyperlink" Target="https://www.klicviewer.nl/klic-viewer/uitlevering/6e5e8c59-e5db-4f4e-8e3c-3706d373cdbe" TargetMode="External"/><Relationship Id="rId789" Type="http://schemas.openxmlformats.org/officeDocument/2006/relationships/hyperlink" Target="https://rijnland.maps.arcgis.com/apps/instant/sidebar/index.html?appid=2b214417eea74ae9a56119c251ffa960" TargetMode="External"/><Relationship Id="rId304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788" Type="http://schemas.openxmlformats.org/officeDocument/2006/relationships/hyperlink" Target="https://app.pdok.nl/viewer/" TargetMode="External"/><Relationship Id="rId303" Type="http://schemas.openxmlformats.org/officeDocument/2006/relationships/hyperlink" Target="https://kaarten.hhnk.nl/portal/apps/experiencebuilder/experience/?id=51ae36990bf448248b105c8fbc9fbeb3" TargetMode="External"/><Relationship Id="rId787" Type="http://schemas.openxmlformats.org/officeDocument/2006/relationships/hyperlink" Target="https://maps.app.goo.gl/R3GqLdPV2bwRuUCu8" TargetMode="External"/><Relationship Id="rId302" Type="http://schemas.openxmlformats.org/officeDocument/2006/relationships/hyperlink" Target="https://kaarten.hhnk.nl/portal/apps/webappviewer/index.html?id=d2de3caed0ba442290991e1f5b404e1a" TargetMode="External"/><Relationship Id="rId786" Type="http://schemas.openxmlformats.org/officeDocument/2006/relationships/hyperlink" Target="https://www.klicviewer.nl/klic-viewer/uitlevering/42a4230e-41ba-45d7-8b11-8127843266c3" TargetMode="External"/><Relationship Id="rId309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08" Type="http://schemas.openxmlformats.org/officeDocument/2006/relationships/hyperlink" Target="https://kaarten.hhnk.nl/portal/apps/webappviewer/index.html?id=d2de3caed0ba442290991e1f5b404e1a" TargetMode="External"/><Relationship Id="rId307" Type="http://schemas.openxmlformats.org/officeDocument/2006/relationships/hyperlink" Target="https://app.pdok.nl/viewer/" TargetMode="External"/><Relationship Id="rId306" Type="http://schemas.openxmlformats.org/officeDocument/2006/relationships/hyperlink" Target="https://www.google.com/maps/place/52%C2%B028'27.0%22N+4%C2%B039'21.9%22E/@52.4741667,4.6560833,686m/data=!3m2!1e3!4b1!4m4!3m3!8m2!3d52.4741667!4d4.6560833?entry=ttu&amp;g_ep=EgoyMDI2MDEyNy4wIKXMDSoASAFQAw%3D%3D" TargetMode="External"/><Relationship Id="rId781" Type="http://schemas.openxmlformats.org/officeDocument/2006/relationships/hyperlink" Target="https://app.pdok.nl/viewer/" TargetMode="External"/><Relationship Id="rId1370" Type="http://schemas.openxmlformats.org/officeDocument/2006/relationships/hyperlink" Target="https://app.pdok.nl/viewer/" TargetMode="External"/><Relationship Id="rId780" Type="http://schemas.openxmlformats.org/officeDocument/2006/relationships/hyperlink" Target="https://maps.app.goo.gl/F8qP37KVg4vQHi9S8" TargetMode="External"/><Relationship Id="rId1371" Type="http://schemas.openxmlformats.org/officeDocument/2006/relationships/hyperlink" Target="https://opendata.hunzeenaas.nl/opendataportaal/srv/dut/catalog.search" TargetMode="External"/><Relationship Id="rId1372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1373" Type="http://schemas.openxmlformats.org/officeDocument/2006/relationships/hyperlink" Target="https://www.klicviewer.nl/klic-viewer/uitlevering/c3eb5725-c8ff-4800-99b9-59d7f5b27919" TargetMode="External"/><Relationship Id="rId301" Type="http://schemas.openxmlformats.org/officeDocument/2006/relationships/hyperlink" Target="https://app.pdok.nl/viewer/" TargetMode="External"/><Relationship Id="rId785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374" Type="http://schemas.openxmlformats.org/officeDocument/2006/relationships/hyperlink" Target="https://maps.app.goo.gl/Qf98VzJXg4VHzwp46" TargetMode="External"/><Relationship Id="rId300" Type="http://schemas.openxmlformats.org/officeDocument/2006/relationships/hyperlink" Target="https://maps.app.goo.gl/Ya2bvt8SbVeuhUqWA" TargetMode="External"/><Relationship Id="rId784" Type="http://schemas.openxmlformats.org/officeDocument/2006/relationships/hyperlink" Target="https://rijnland.maps.arcgis.com/apps/instant/sidebar/index.html?appid=5469a9663c5e4643b10efe6da9a15ae2" TargetMode="External"/><Relationship Id="rId1375" Type="http://schemas.openxmlformats.org/officeDocument/2006/relationships/hyperlink" Target="https://app.pdok.nl/viewer/" TargetMode="External"/><Relationship Id="rId783" Type="http://schemas.openxmlformats.org/officeDocument/2006/relationships/hyperlink" Target="https://rijnland.maps.arcgis.com/apps/instant/sidebar/index.html?appid=f0fd839278474fe7841a12800fcc3e39" TargetMode="External"/><Relationship Id="rId1376" Type="http://schemas.openxmlformats.org/officeDocument/2006/relationships/hyperlink" Target="https://opendata.hunzeenaas.nl/opendataportaal/srv/dut/catalog.search" TargetMode="External"/><Relationship Id="rId782" Type="http://schemas.openxmlformats.org/officeDocument/2006/relationships/hyperlink" Target="https://rijnland.maps.arcgis.com/apps/instant/sidebar/index.html?appid=2b214417eea74ae9a56119c251ffa960" TargetMode="External"/><Relationship Id="rId1377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1367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1368" Type="http://schemas.openxmlformats.org/officeDocument/2006/relationships/hyperlink" Target="https://www.klicviewer.nl/klic-viewer/uitlevering/12b10f45-6cf4-4d56-bb66-1306a52630c6" TargetMode="External"/><Relationship Id="rId1369" Type="http://schemas.openxmlformats.org/officeDocument/2006/relationships/hyperlink" Target="https://maps.app.goo.gl/Qf98VzJXg4VHzwp46" TargetMode="External"/><Relationship Id="rId778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777" Type="http://schemas.openxmlformats.org/officeDocument/2006/relationships/hyperlink" Target="https://rijnland.maps.arcgis.com/apps/instant/sidebar/index.html?appid=5469a9663c5e4643b10efe6da9a15ae2" TargetMode="External"/><Relationship Id="rId776" Type="http://schemas.openxmlformats.org/officeDocument/2006/relationships/hyperlink" Target="https://rijnland.maps.arcgis.com/apps/instant/sidebar/index.html?appid=f0fd839278474fe7841a12800fcc3e39" TargetMode="External"/><Relationship Id="rId775" Type="http://schemas.openxmlformats.org/officeDocument/2006/relationships/hyperlink" Target="https://rijnland.maps.arcgis.com/apps/instant/sidebar/index.html?appid=2b214417eea74ae9a56119c251ffa960" TargetMode="External"/><Relationship Id="rId779" Type="http://schemas.openxmlformats.org/officeDocument/2006/relationships/hyperlink" Target="https://www.klicviewer.nl/klic-viewer/uitlevering/bd7e42df-5bde-4b09-b78c-9a67e8fb930f" TargetMode="External"/><Relationship Id="rId770" Type="http://schemas.openxmlformats.org/officeDocument/2006/relationships/hyperlink" Target="https://rijnland.maps.arcgis.com/apps/instant/sidebar/index.html?appid=5469a9663c5e4643b10efe6da9a15ae2" TargetMode="External"/><Relationship Id="rId1360" Type="http://schemas.openxmlformats.org/officeDocument/2006/relationships/hyperlink" Target="https://app.pdok.nl/viewer/" TargetMode="External"/><Relationship Id="rId1361" Type="http://schemas.openxmlformats.org/officeDocument/2006/relationships/hyperlink" Target="https://opendata.hunzeenaas.nl/opendataportaal/srv/dut/catalog.search" TargetMode="External"/><Relationship Id="rId1362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774" Type="http://schemas.openxmlformats.org/officeDocument/2006/relationships/hyperlink" Target="https://app.pdok.nl/viewer/" TargetMode="External"/><Relationship Id="rId1363" Type="http://schemas.openxmlformats.org/officeDocument/2006/relationships/hyperlink" Target="https://www.klicviewer.nl/klic-viewer/uitlevering/6bbb8bba-e03a-4bea-9526-ac0d52260ac3" TargetMode="External"/><Relationship Id="rId773" Type="http://schemas.openxmlformats.org/officeDocument/2006/relationships/hyperlink" Target="https://maps.app.goo.gl/Mub4J1gCowZfyQtS9" TargetMode="External"/><Relationship Id="rId1364" Type="http://schemas.openxmlformats.org/officeDocument/2006/relationships/hyperlink" Target="https://maps.app.goo.gl/Qf98VzJXg4VHzwp46" TargetMode="External"/><Relationship Id="rId772" Type="http://schemas.openxmlformats.org/officeDocument/2006/relationships/hyperlink" Target="https://www.klicviewer.nl/klic-viewer/uitlevering/49cb0754-94b3-4292-a262-ba3a736c28c0" TargetMode="External"/><Relationship Id="rId1365" Type="http://schemas.openxmlformats.org/officeDocument/2006/relationships/hyperlink" Target="https://app.pdok.nl/viewer/" TargetMode="External"/><Relationship Id="rId771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366" Type="http://schemas.openxmlformats.org/officeDocument/2006/relationships/hyperlink" Target="https://opendata.hunzeenaas.nl/opendataportaal/srv/dut/catalog.search" TargetMode="External"/><Relationship Id="rId327" Type="http://schemas.openxmlformats.org/officeDocument/2006/relationships/hyperlink" Target="https://app.pdok.nl/viewer/" TargetMode="External"/><Relationship Id="rId326" Type="http://schemas.openxmlformats.org/officeDocument/2006/relationships/hyperlink" Target="https://maps.app.goo.gl/mDJ8iwhjkG5LPkMk6" TargetMode="External"/><Relationship Id="rId325" Type="http://schemas.openxmlformats.org/officeDocument/2006/relationships/hyperlink" Target="https://www.klicviewer.nl/klic-viewer/uitlevering/c8a20a2b-0ead-4102-bb28-724bab8f1bd0" TargetMode="External"/><Relationship Id="rId324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29" Type="http://schemas.openxmlformats.org/officeDocument/2006/relationships/hyperlink" Target="https://www.google.com/maps/place/Naarderstraat+305,+1272+NK+Huizen/@52.2931515,5.1936013,344m/data=!3m2!1e3!4b1!4m6!3m5!1s0x47c614617014011d:0xce5036bdfff0d8f8!8m2!3d52.2931515!4d5.1946862!16s%2Fg%2F11b8vckk78?entry=ttu&amp;g_ep=EgoyMDI2MDEyNi4wIKXMDSoASAFQAw%3D%3D" TargetMode="External"/><Relationship Id="rId1390" Type="http://schemas.openxmlformats.org/officeDocument/2006/relationships/hyperlink" Target="https://www.klicviewer.nl/klic-viewer/uitlevering/fd7bb45c-dd0c-4301-aeaa-896ea9029097" TargetMode="External"/><Relationship Id="rId328" Type="http://schemas.openxmlformats.org/officeDocument/2006/relationships/hyperlink" Target="https://kaarten.hhnk.nl/portal/apps/webappviewer/index.html?id=d2de3caed0ba442290991e1f5b404e1a" TargetMode="External"/><Relationship Id="rId1391" Type="http://schemas.openxmlformats.org/officeDocument/2006/relationships/hyperlink" Target="https://www.google.com/maps/place/Havenweg+24,+8899+BC+Oost-Vlieland/@53.2968409,5.0900449,238m/data=!3m1!1e3!4m6!3m5!1s0x47c92a62441d4965:0x3d894c0b857ab602!8m2!3d53.2965881!4d5.0924874!16s%2Fg%2F11snp_0y0z?entry=ttu&amp;g_ep=EgoyMDI1MTAxNC4wIKXMDSoASAFQAw%3D%3D" TargetMode="External"/><Relationship Id="rId1392" Type="http://schemas.openxmlformats.org/officeDocument/2006/relationships/hyperlink" Target="https://app.pdok.nl/viewer/" TargetMode="External"/><Relationship Id="rId1393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1394" Type="http://schemas.openxmlformats.org/officeDocument/2006/relationships/hyperlink" Target="https://www.klicviewer.nl/klic-viewer/uitlevering/c89c75f8-0db7-4df0-9538-7d706b4c27f0" TargetMode="External"/><Relationship Id="rId1395" Type="http://schemas.openxmlformats.org/officeDocument/2006/relationships/hyperlink" Target="https://www.google.com/maps/place/LinnenService+Vlieland/@53.2980837,5.0879445,168m/data=!3m1!1e3!4m12!1m5!3m4!2zNTPCsDE3JzQ5LjEiTiA1wrAwNCc1MC44IkU!8m2!3d53.2969722!4d5.0807778!3m5!1s0x47c92a971368e235:0x938ec6f5cce47c49!8m2!3d53.2982959!4d5.0890411!16s%2Fg%2F1tdx3cy7?entry=ttu&amp;g_ep=EgoyMDI1MTAxNC4wIKXMDSoASAFQAw%3D%3D" TargetMode="External"/><Relationship Id="rId323" Type="http://schemas.openxmlformats.org/officeDocument/2006/relationships/hyperlink" Target="https://kaarten.hhnk.nl/portal/apps/webappviewer/index.html?id=d2de3caed0ba442290991e1f5b404e1a" TargetMode="External"/><Relationship Id="rId1396" Type="http://schemas.openxmlformats.org/officeDocument/2006/relationships/hyperlink" Target="https://app.pdok.nl/viewer/" TargetMode="External"/><Relationship Id="rId322" Type="http://schemas.openxmlformats.org/officeDocument/2006/relationships/hyperlink" Target="https://app.pdok.nl/viewer/" TargetMode="External"/><Relationship Id="rId1397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321" Type="http://schemas.openxmlformats.org/officeDocument/2006/relationships/hyperlink" Target="https://www.google.com/maps/place/52%C2%B028'27.0%22N+4%C2%B039'21.9%22E/@52.4741667,4.6560833,686m/data=!3m2!1e3!4b1!4m4!3m3!8m2!3d52.4741667!4d4.6560833?entry=ttu&amp;g_ep=EgoyMDI2MDEyNy4wIKXMDSoASAFQAw%3D%3D" TargetMode="External"/><Relationship Id="rId1398" Type="http://schemas.openxmlformats.org/officeDocument/2006/relationships/hyperlink" Target="https://www.klicviewer.nl/klic-viewer/uitlevering/ab71d7b3-8da7-4a28-87ba-c803a52f9722" TargetMode="External"/><Relationship Id="rId320" Type="http://schemas.openxmlformats.org/officeDocument/2006/relationships/hyperlink" Target="https://www.klicviewer.nl/klic-viewer/uitlevering/d2df6e4b-9d81-4ca7-9ffe-e580d51dd581" TargetMode="External"/><Relationship Id="rId1399" Type="http://schemas.openxmlformats.org/officeDocument/2006/relationships/hyperlink" Target="https://maps.app.goo.gl/hxoRb57h1fAsrksj8" TargetMode="External"/><Relationship Id="rId1389" Type="http://schemas.openxmlformats.org/officeDocument/2006/relationships/hyperlink" Target="https://opendata.hunzeenaas.nl/opendataportaal/srv/dut/catalog.search" TargetMode="External"/><Relationship Id="rId316" Type="http://schemas.openxmlformats.org/officeDocument/2006/relationships/hyperlink" Target="https://maps.app.goo.gl/7XSjcyF6JfNNxAHx9" TargetMode="External"/><Relationship Id="rId315" Type="http://schemas.openxmlformats.org/officeDocument/2006/relationships/hyperlink" Target="https://www.klicviewer.nl/klic-viewer/uitlevering/6e5e8c59-e5db-4f4e-8e3c-3706d373cdbe" TargetMode="External"/><Relationship Id="rId799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314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798" Type="http://schemas.openxmlformats.org/officeDocument/2006/relationships/hyperlink" Target="https://rijnland.maps.arcgis.com/apps/instant/sidebar/index.html?appid=5469a9663c5e4643b10efe6da9a15ae2" TargetMode="External"/><Relationship Id="rId313" Type="http://schemas.openxmlformats.org/officeDocument/2006/relationships/hyperlink" Target="https://kaarten.hhnk.nl/portal/apps/webappviewer/index.html?id=d2de3caed0ba442290991e1f5b404e1a" TargetMode="External"/><Relationship Id="rId797" Type="http://schemas.openxmlformats.org/officeDocument/2006/relationships/hyperlink" Target="https://rijnland.maps.arcgis.com/apps/instant/sidebar/index.html?appid=f0fd839278474fe7841a12800fcc3e39" TargetMode="External"/><Relationship Id="rId319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318" Type="http://schemas.openxmlformats.org/officeDocument/2006/relationships/hyperlink" Target="https://kaarten.hhnk.nl/portal/apps/webappviewer/index.html?id=d2de3caed0ba442290991e1f5b404e1a" TargetMode="External"/><Relationship Id="rId317" Type="http://schemas.openxmlformats.org/officeDocument/2006/relationships/hyperlink" Target="https://app.pdok.nl/viewer/" TargetMode="External"/><Relationship Id="rId1380" Type="http://schemas.openxmlformats.org/officeDocument/2006/relationships/hyperlink" Target="https://app.pdok.nl/viewer/" TargetMode="External"/><Relationship Id="rId792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381" Type="http://schemas.openxmlformats.org/officeDocument/2006/relationships/hyperlink" Target="https://opendata.hunzeenaas.nl/opendataportaal/srv/dut/catalog.search" TargetMode="External"/><Relationship Id="rId791" Type="http://schemas.openxmlformats.org/officeDocument/2006/relationships/hyperlink" Target="https://rijnland.maps.arcgis.com/apps/instant/sidebar/index.html?appid=5469a9663c5e4643b10efe6da9a15ae2" TargetMode="External"/><Relationship Id="rId1382" Type="http://schemas.openxmlformats.org/officeDocument/2006/relationships/hyperlink" Target="https://www.klicviewer.nl/klic-viewer/uitlevering/10fd8d41-43ad-42b2-854e-f44e86d0b13e" TargetMode="External"/><Relationship Id="rId790" Type="http://schemas.openxmlformats.org/officeDocument/2006/relationships/hyperlink" Target="https://rijnland.maps.arcgis.com/apps/instant/sidebar/index.html?appid=f0fd839278474fe7841a12800fcc3e39" TargetMode="External"/><Relationship Id="rId1383" Type="http://schemas.openxmlformats.org/officeDocument/2006/relationships/hyperlink" Target="https://www.google.com/maps/place/Ruys+de+Beerenbrouckstraat+23,+9602+XK+Hoogezand/@53.1550974,6.7524354,100m/data=!3m1!1e3!4m15!1m8!3m7!1s0x47c82a5f4032bddd:0x9e7a311861bc3a55!2sRuys+de+Beerenbrouckstraat,+Hoogezand!3b1!8m2!3d53.1549955!4d6.7524712!16s%2Fg%2F1tdklgf8!3m5!1s0x47c82a5f6a4f8719:0xfacfdedcd58ff11d!8m2!3d53.155087!4d6.752969!16s%2Fg%2F11c10y0v70?entry=ttu&amp;g_ep=EgoyMDI2MDExOS4wIKXMDSoASAFQAw%3D%3D" TargetMode="External"/><Relationship Id="rId1384" Type="http://schemas.openxmlformats.org/officeDocument/2006/relationships/hyperlink" Target="https://app.pdok.nl/viewer/" TargetMode="External"/><Relationship Id="rId312" Type="http://schemas.openxmlformats.org/officeDocument/2006/relationships/hyperlink" Target="https://app.pdok.nl/viewer/" TargetMode="External"/><Relationship Id="rId796" Type="http://schemas.openxmlformats.org/officeDocument/2006/relationships/hyperlink" Target="https://rijnland.maps.arcgis.com/apps/instant/sidebar/index.html?appid=2b214417eea74ae9a56119c251ffa960" TargetMode="External"/><Relationship Id="rId1385" Type="http://schemas.openxmlformats.org/officeDocument/2006/relationships/hyperlink" Target="https://opendata.hunzeenaas.nl/opendataportaal/srv/dut/catalog.search" TargetMode="External"/><Relationship Id="rId311" Type="http://schemas.openxmlformats.org/officeDocument/2006/relationships/hyperlink" Target="https://maps.app.goo.gl/XgJoCXLJjSRRRNL86" TargetMode="External"/><Relationship Id="rId795" Type="http://schemas.openxmlformats.org/officeDocument/2006/relationships/hyperlink" Target="https://app.pdok.nl/viewer/" TargetMode="External"/><Relationship Id="rId1386" Type="http://schemas.openxmlformats.org/officeDocument/2006/relationships/hyperlink" Target="https://www.klicviewer.nl/klic-viewer/uitlevering/1c3202e1-614a-45b6-955d-43421d38ceda" TargetMode="External"/><Relationship Id="rId310" Type="http://schemas.openxmlformats.org/officeDocument/2006/relationships/hyperlink" Target="https://www.klicviewer.nl/klic-viewer/uitlevering/c70aa6a8-17d1-4b7a-929c-4d8676111e04" TargetMode="External"/><Relationship Id="rId794" Type="http://schemas.openxmlformats.org/officeDocument/2006/relationships/hyperlink" Target="https://maps.app.goo.gl/h8fPpEPAaCSjuG1t8" TargetMode="External"/><Relationship Id="rId1387" Type="http://schemas.openxmlformats.org/officeDocument/2006/relationships/hyperlink" Target="https://www.google.com/maps/place/Het+Witzand+8,+9463+PA+Eext/@53.0246725,6.7366805,101m/data=!3m1!1e3!4m15!1m8!3m7!1s0x47c827e307915cd9:0x5cf6e2c34d91bc47!2sHet+Witzand+10,+9463+PA+Eext!3b1!8m2!3d53.0242542!4d6.7362841!16s%2Fg%2F11c1z40pwn!3m5!1s0x47c827e306b25c75:0x51ecc9f15999b270!8m2!3d53.0244484!4d6.7366274!16s%2Fg%2F11c20yv00r?entry=ttu&amp;g_ep=EgoyMDI1MTAyMC4wIKXMDSoASAFQAw%3D%3D" TargetMode="External"/><Relationship Id="rId793" Type="http://schemas.openxmlformats.org/officeDocument/2006/relationships/hyperlink" Target="https://www.klicviewer.nl/klic-viewer/uitlevering/d320f0b7-3d34-460c-b165-3f5dac10fae8" TargetMode="External"/><Relationship Id="rId1388" Type="http://schemas.openxmlformats.org/officeDocument/2006/relationships/hyperlink" Target="https://app.pdok.nl/viewer/" TargetMode="External"/><Relationship Id="rId297" Type="http://schemas.openxmlformats.org/officeDocument/2006/relationships/hyperlink" Target="https://maps.waternet.nl/portal/apps/experiencebuilder/experience/?id=36500ca8332b489182bf9ab83427cbc1" TargetMode="External"/><Relationship Id="rId296" Type="http://schemas.openxmlformats.org/officeDocument/2006/relationships/hyperlink" Target="https://app.pdok.nl/viewer/" TargetMode="External"/><Relationship Id="rId295" Type="http://schemas.openxmlformats.org/officeDocument/2006/relationships/hyperlink" Target="https://www.google.com/maps/place/Overschiestraat+59A,+1062+XD+Amsterdam/@52.3467345,4.8395368,205m/data=!3m1!1e3!4m6!3m5!1s0x47c5e1f5699fa855:0xc30303bf1f5fafa5!8m2!3d52.3466881!4d4.8397816!16s%2Fg%2F11s12tv1yz?entry=ttu&amp;g_ep=EgoyMDI2MDEyNi4wIKXMDSoASAFQAw%3D%3D" TargetMode="External"/><Relationship Id="rId294" Type="http://schemas.openxmlformats.org/officeDocument/2006/relationships/hyperlink" Target="https://www.klicviewer.nl/klic-viewer/uitlevering/01a79b9d-ac63-4d8a-947a-e0732df13f00" TargetMode="External"/><Relationship Id="rId299" Type="http://schemas.openxmlformats.org/officeDocument/2006/relationships/hyperlink" Target="https://www.klicviewer.nl/klic-viewer/uitlevering/d8a52ce4-9cd4-4361-bca6-165e112a88d9" TargetMode="External"/><Relationship Id="rId298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271" Type="http://schemas.openxmlformats.org/officeDocument/2006/relationships/hyperlink" Target="https://www.klicviewer.nl/klic-viewer/uitlevering/40de4b15-1bb3-46e2-b15c-f325c5dfd191" TargetMode="External"/><Relationship Id="rId270" Type="http://schemas.openxmlformats.org/officeDocument/2006/relationships/hyperlink" Target="https://vechtstromen.maps.arcgis.com/apps/webappviewer/index.html?id=157236e98867443696757e2091ebc25a" TargetMode="External"/><Relationship Id="rId269" Type="http://schemas.openxmlformats.org/officeDocument/2006/relationships/hyperlink" Target="https://app.pdok.nl/viewer/" TargetMode="External"/><Relationship Id="rId264" Type="http://schemas.openxmlformats.org/officeDocument/2006/relationships/hyperlink" Target="https://app.pdok.nl/viewer/" TargetMode="External"/><Relationship Id="rId263" Type="http://schemas.openxmlformats.org/officeDocument/2006/relationships/hyperlink" Target="https://www.google.com/maps/place/Kalverdijkerlaantje+9a,+1747+GE+Tuitjenhorn/@52.7369986,4.7598451,286m/data=!3m1!1e3!4m6!3m5!1s0x47cf5057c125d2f3:0x3f66c604b9220402!8m2!3d52.7370253!4d4.7611279!16s%2Fg%2F11nnkrh22y?entry=ttu&amp;g_ep=EgoyMDI2MDIwMS4wIKXMDSoASAFQAw%3D%3D" TargetMode="External"/><Relationship Id="rId262" Type="http://schemas.openxmlformats.org/officeDocument/2006/relationships/hyperlink" Target="https://www.klicviewer.nl/klic-viewer/uitlevering/67628387-1804-48e5-85e2-eaabd2f523c3" TargetMode="External"/><Relationship Id="rId261" Type="http://schemas.openxmlformats.org/officeDocument/2006/relationships/hyperlink" Target="https://experience.arcgis.com/experience/9269f566d1f04b38ad9712b9b9bf34fd" TargetMode="External"/><Relationship Id="rId268" Type="http://schemas.openxmlformats.org/officeDocument/2006/relationships/hyperlink" Target="https://www.google.com/maps/place/Suetersweg+5,+7497+MZ+Bentelo/@52.2280019,6.6917439,244m/data=!3m1!1e3!4m6!3m5!1s0x47b80c6921b767cf:0x3852f3d762170457!8m2!3d52.2279299!4d6.6923155!16s%2Fg%2F11c2gw3g1v?entry=ttu&amp;g_ep=EgoyMDI2MDIwMS4wIKXMDSoASAFQAw%3D%3D" TargetMode="External"/><Relationship Id="rId267" Type="http://schemas.openxmlformats.org/officeDocument/2006/relationships/hyperlink" Target="https://www.klicviewer.nl/klic-viewer/uitlevering/78bd0fc8-c1f2-4207-a95a-36d212b4da7e" TargetMode="External"/><Relationship Id="rId266" Type="http://schemas.openxmlformats.org/officeDocument/2006/relationships/hyperlink" Target="https://kaarten.hhnk.nl/portal/apps/experiencebuilder/experience/?id=44d528c37de546e9846eb2bcaebee084" TargetMode="External"/><Relationship Id="rId265" Type="http://schemas.openxmlformats.org/officeDocument/2006/relationships/hyperlink" Target="https://kaarten.hhnk.nl/portal/apps/webappviewer/index.html?id=d2de3caed0ba442290991e1f5b404e1a" TargetMode="External"/><Relationship Id="rId260" Type="http://schemas.openxmlformats.org/officeDocument/2006/relationships/hyperlink" Target="https://app.pdok.nl/viewer/" TargetMode="External"/><Relationship Id="rId259" Type="http://schemas.openxmlformats.org/officeDocument/2006/relationships/hyperlink" Target="https://www.google.com/maps/place/Marsmangaarde+116,+7414+XE+Deventer/@52.2761923,6.1396325,172m/data=!3m1!1e3!4m6!3m5!1s0x47c7ea08874979b9:0x158077b91e9e408b!8m2!3d52.2760856!4d6.1408283!16s%2Fg%2F11c4gd3c0x?entry=ttu&amp;g_ep=EgoyMDI2MDIwMS4wIKXMDSoASAFQAw%3D%3D" TargetMode="External"/><Relationship Id="rId258" Type="http://schemas.openxmlformats.org/officeDocument/2006/relationships/hyperlink" Target="https://www.klicviewer.nl/klic-viewer/uitlevering/6925175f-4525-4560-b968-28b2f9a781d5" TargetMode="External"/><Relationship Id="rId253" Type="http://schemas.openxmlformats.org/officeDocument/2006/relationships/hyperlink" Target="https://maps.waternet.nl/portal/apps/experiencebuilder/experience/?id=36500ca8332b489182bf9ab83427cbc1" TargetMode="External"/><Relationship Id="rId252" Type="http://schemas.openxmlformats.org/officeDocument/2006/relationships/hyperlink" Target="https://app.pdok.nl/viewer/" TargetMode="External"/><Relationship Id="rId251" Type="http://schemas.openxmlformats.org/officeDocument/2006/relationships/hyperlink" Target="https://www.google.com/maps/place/Godelindeweg+11,+1411+GG+Naarden/@52.2875423,5.1616589,289m/data=!3m1!1e3!4m6!3m5!1s0x47c61379bde8eb53:0xe53cfe9169e1b973!8m2!3d52.2874062!4d5.1615148!16s%2Fg%2F11cpcr9vcl?entry=ttu&amp;g_ep=EgoyMDI2MDIwMS4wIKXMDSoASAFQAw%3D%3D" TargetMode="External"/><Relationship Id="rId250" Type="http://schemas.openxmlformats.org/officeDocument/2006/relationships/hyperlink" Target="https://www.klicviewer.nl/klic-viewer/uitlevering/7def30d6-99ee-4d13-931c-45f05abcfa00" TargetMode="External"/><Relationship Id="rId257" Type="http://schemas.openxmlformats.org/officeDocument/2006/relationships/hyperlink" Target="https://noorderzijlvest.maps.arcgis.com/apps/mapviewer/index.html?webmap=1576324c8de14bf180c17743e24584cc" TargetMode="External"/><Relationship Id="rId256" Type="http://schemas.openxmlformats.org/officeDocument/2006/relationships/hyperlink" Target="https://app.pdok.nl/viewer/" TargetMode="External"/><Relationship Id="rId255" Type="http://schemas.openxmlformats.org/officeDocument/2006/relationships/hyperlink" Target="https://maps.app.goo.gl/mgxnjZbGmNkNbt3y8" TargetMode="External"/><Relationship Id="rId254" Type="http://schemas.openxmlformats.org/officeDocument/2006/relationships/hyperlink" Target="https://www.klicviewer.nl/klic-viewer/uitlevering/a8cd3fd0-ada7-4ceb-98f2-e71b8ae11271" TargetMode="External"/><Relationship Id="rId293" Type="http://schemas.openxmlformats.org/officeDocument/2006/relationships/hyperlink" Target="https://rijnland.maps.arcgis.com/apps/instant/sidebar/index.html?appid=5469a9663c5e4643b10efe6da9a15ae2" TargetMode="External"/><Relationship Id="rId292" Type="http://schemas.openxmlformats.org/officeDocument/2006/relationships/hyperlink" Target="https://rijnland.maps.arcgis.com/apps/instant/sidebar/index.html?appid=f0fd839278474fe7841a12800fcc3e39" TargetMode="External"/><Relationship Id="rId291" Type="http://schemas.openxmlformats.org/officeDocument/2006/relationships/hyperlink" Target="https://rijnland.maps.arcgis.com/apps/instant/sidebar/index.html?appid=2b214417eea74ae9a56119c251ffa960" TargetMode="External"/><Relationship Id="rId290" Type="http://schemas.openxmlformats.org/officeDocument/2006/relationships/hyperlink" Target="https://app.pdok.nl/viewer/" TargetMode="External"/><Relationship Id="rId286" Type="http://schemas.openxmlformats.org/officeDocument/2006/relationships/hyperlink" Target="https://app.pdok.nl/viewer/" TargetMode="External"/><Relationship Id="rId285" Type="http://schemas.openxmlformats.org/officeDocument/2006/relationships/hyperlink" Target="https://www.google.com/maps/place/Nieuwstraat+17,+8151+BB+Lemelerveld/@52.4410608,6.3411347,118m/data=!3m1!1e3!4m6!3m5!1s0x47c7e486ddc4f887:0xb9758932c22927cd!8m2!3d52.4409361!4d6.3418901!16s%2Fg%2F11plyp5f9m?entry=ttu&amp;g_ep=EgoyMDI2MDEyNi4wIKXMDSoASAFQAw%3D%3D" TargetMode="External"/><Relationship Id="rId284" Type="http://schemas.openxmlformats.org/officeDocument/2006/relationships/hyperlink" Target="https://www.klicviewer.nl/klic-viewer/uitlevering/6d5db863-ccae-4545-93f4-af663877ee9f" TargetMode="External"/><Relationship Id="rId283" Type="http://schemas.openxmlformats.org/officeDocument/2006/relationships/hyperlink" Target="https://open-geodata-portaal-valleienveluwe.hub.arcgis.com/apps/e75d12ac1ccb47daa53c1b53916be4e9/explore" TargetMode="External"/><Relationship Id="rId289" Type="http://schemas.openxmlformats.org/officeDocument/2006/relationships/hyperlink" Target="https://www.google.com/maps/place/Voorweg+14A,+2391+AB+Hazerswoude-Dorp/@52.0952702,4.6010566,206m/data=!3m1!1e3!4m6!3m5!1s0x47c5cffbc5f80beb:0xb5f0bc685cde7b07!8m2!3d52.0953395!4d4.6015294!16s%2Fg%2F11c3s912hz?entry=ttu&amp;g_ep=EgoyMDI2MDEyNi4wIKXMDSoASAFQAw%3D%3D" TargetMode="External"/><Relationship Id="rId288" Type="http://schemas.openxmlformats.org/officeDocument/2006/relationships/hyperlink" Target="https://www.klicviewer.nl/klic-viewer/uitlevering/9768cd67-818b-4f66-8320-8ef09872bcf7" TargetMode="External"/><Relationship Id="rId287" Type="http://schemas.openxmlformats.org/officeDocument/2006/relationships/hyperlink" Target="https://experience.arcgis.com/experience/9269f566d1f04b38ad9712b9b9bf34fd" TargetMode="External"/><Relationship Id="rId282" Type="http://schemas.openxmlformats.org/officeDocument/2006/relationships/hyperlink" Target="https://app.pdok.nl/viewer/" TargetMode="External"/><Relationship Id="rId281" Type="http://schemas.openxmlformats.org/officeDocument/2006/relationships/hyperlink" Target="https://www.google.com/maps/place/Bevrijdingsstraat+30a,+6703+AA+Wageningen/@51.9684596,5.6667808,206m/data=!3m1!1e3!4m6!3m5!1s0x47c7ab5fc4400395:0xb8a1c60a53b41824!8m2!3d51.9684028!4d5.6679536!16s%2Fg%2F11nnl0blpv?entry=ttu&amp;g_ep=EgoyMDI2MDIwMS4wIKXMDSoASAFQAw%3D%3D" TargetMode="External"/><Relationship Id="rId280" Type="http://schemas.openxmlformats.org/officeDocument/2006/relationships/hyperlink" Target="https://noorderzijlvest.maps.arcgis.com/apps/mapviewer/index.html?webmap=1576324c8de14bf180c17743e24584cc" TargetMode="External"/><Relationship Id="rId275" Type="http://schemas.openxmlformats.org/officeDocument/2006/relationships/hyperlink" Target="https://rijnland.maps.arcgis.com/apps/instant/sidebar/index.html?appid=f0fd839278474fe7841a12800fcc3e39" TargetMode="External"/><Relationship Id="rId274" Type="http://schemas.openxmlformats.org/officeDocument/2006/relationships/hyperlink" Target="https://rijnland.maps.arcgis.com/apps/instant/sidebar/index.html?appid=2b214417eea74ae9a56119c251ffa960" TargetMode="External"/><Relationship Id="rId273" Type="http://schemas.openxmlformats.org/officeDocument/2006/relationships/hyperlink" Target="https://app.pdok.nl/viewer/" TargetMode="External"/><Relationship Id="rId272" Type="http://schemas.openxmlformats.org/officeDocument/2006/relationships/hyperlink" Target="https://www.google.com/maps/place/Belgi%C3%ABlaan+3,+2034+AV+Haarlem/@52.3653002,4.63873,687m/data=!3m2!1e3!4b1!4m6!3m5!1s0x47c5ef4feea519a3:0x1468ce4a7818971a!8m2!3d52.365297!4d4.6413103!16s%2Fg%2F11ckqs011v?entry=ttu&amp;g_ep=EgoyMDI2MDIwMS4wIKXMDSoASAFQAw%3D%3D" TargetMode="External"/><Relationship Id="rId279" Type="http://schemas.openxmlformats.org/officeDocument/2006/relationships/hyperlink" Target="https://app.pdok.nl/viewer/" TargetMode="External"/><Relationship Id="rId278" Type="http://schemas.openxmlformats.org/officeDocument/2006/relationships/hyperlink" Target="https://www.google.com/maps/place/Nieuwestreek+7,+9891+AA+Ezinge/@53.3084227,6.4418805,141m/data=!3m1!1e3!4m6!3m5!1s0x47c9c97cad14451f:0x93ce3151af783ce!8m2!3d53.3081241!4d6.4424586!16s%2Fg%2F11c31t6q40?entry=ttu&amp;g_ep=EgoyMDI2MDIwMS4wIKXMDSoASAFQAw%3D%3D" TargetMode="External"/><Relationship Id="rId277" Type="http://schemas.openxmlformats.org/officeDocument/2006/relationships/hyperlink" Target="https://www.klicviewer.nl/klic-viewer/uitlevering/24f2e843-b178-4857-94e2-c72b706940b9" TargetMode="External"/><Relationship Id="rId276" Type="http://schemas.openxmlformats.org/officeDocument/2006/relationships/hyperlink" Target="https://rijnland.maps.arcgis.com/apps/instant/sidebar/index.html?appid=5469a9663c5e4643b10efe6da9a15ae2" TargetMode="External"/><Relationship Id="rId1455" Type="http://schemas.openxmlformats.org/officeDocument/2006/relationships/hyperlink" Target="https://www.google.com/maps/place/Bankijkerweg+12,+2231+MH+Rijnsburg/@52.1952836,4.4569393,244m/data=!3m1!1e3!4m6!3m5!1s0x47c5c0d242cc1679:0x2cb6c08ea107714c!8m2!3d52.1955077!4d4.4584256!16s%2Fg%2F11x01h7gbs?entry=ttu&amp;g_ep=EgoyMDI1MTAwOC4wIKXMDSoASAFQAw%3D%3D" TargetMode="External"/><Relationship Id="rId1456" Type="http://schemas.openxmlformats.org/officeDocument/2006/relationships/hyperlink" Target="https://app.pdok.nl/viewer/" TargetMode="External"/><Relationship Id="rId1457" Type="http://schemas.openxmlformats.org/officeDocument/2006/relationships/hyperlink" Target="https://rijnland.maps.arcgis.com/apps/instant/interactivelegend/index.html?appid=7bc3198037d24d54a9743987ad0731d2" TargetMode="External"/><Relationship Id="rId1458" Type="http://schemas.openxmlformats.org/officeDocument/2006/relationships/hyperlink" Target="https://rijnland.maps.arcgis.com/apps/instant/interactivelegend/index.html?appid=ac183c60750a435db95b1705d25b3121" TargetMode="External"/><Relationship Id="rId1459" Type="http://schemas.openxmlformats.org/officeDocument/2006/relationships/hyperlink" Target="https://rijnland.maps.arcgis.com/apps/instant/sidebar/index.html?appid=5469a9663c5e4643b10efe6da9a15ae2" TargetMode="External"/><Relationship Id="rId629" Type="http://schemas.openxmlformats.org/officeDocument/2006/relationships/hyperlink" Target="https://app.pdok.nl/viewer/" TargetMode="External"/><Relationship Id="rId624" Type="http://schemas.openxmlformats.org/officeDocument/2006/relationships/hyperlink" Target="https://rijnland.maps.arcgis.com/apps/instant/sidebar/index.html?appid=2b214417eea74ae9a56119c251ffa960" TargetMode="External"/><Relationship Id="rId623" Type="http://schemas.openxmlformats.org/officeDocument/2006/relationships/hyperlink" Target="https://app.pdok.nl/viewer/" TargetMode="External"/><Relationship Id="rId622" Type="http://schemas.openxmlformats.org/officeDocument/2006/relationships/hyperlink" Target="https://maps.app.goo.gl/anj2sieEDQg7AthK9" TargetMode="External"/><Relationship Id="rId621" Type="http://schemas.openxmlformats.org/officeDocument/2006/relationships/hyperlink" Target="https://www.klicviewer.nl/klic-viewer/uitlevering/504fc411-edc3-4f71-8080-b91f69a8621a" TargetMode="External"/><Relationship Id="rId628" Type="http://schemas.openxmlformats.org/officeDocument/2006/relationships/hyperlink" Target="https://maps.app.goo.gl/ZcQxuHWzuNM8uQ5V8" TargetMode="External"/><Relationship Id="rId627" Type="http://schemas.openxmlformats.org/officeDocument/2006/relationships/hyperlink" Target="https://www.klicviewer.nl/klic-viewer/uitlevering/d4c47194-c8b7-43d9-b65e-243d75736ef5" TargetMode="External"/><Relationship Id="rId626" Type="http://schemas.openxmlformats.org/officeDocument/2006/relationships/hyperlink" Target="https://rijnland.maps.arcgis.com/apps/instant/sidebar/index.html?appid=5469a9663c5e4643b10efe6da9a15ae2" TargetMode="External"/><Relationship Id="rId625" Type="http://schemas.openxmlformats.org/officeDocument/2006/relationships/hyperlink" Target="https://rijnland.maps.arcgis.com/apps/instant/sidebar/index.html?appid=f0fd839278474fe7841a12800fcc3e39" TargetMode="External"/><Relationship Id="rId1450" Type="http://schemas.openxmlformats.org/officeDocument/2006/relationships/hyperlink" Target="https://app.pdok.nl/viewer/" TargetMode="External"/><Relationship Id="rId620" Type="http://schemas.openxmlformats.org/officeDocument/2006/relationships/hyperlink" Target="https://open-geodata-portaal-valleienveluwe.hub.arcgis.com/apps/e75d12ac1ccb47daa53c1b53916be4e9/explore" TargetMode="External"/><Relationship Id="rId1451" Type="http://schemas.openxmlformats.org/officeDocument/2006/relationships/hyperlink" Target="https://rijnland.maps.arcgis.com/apps/instant/interactivelegend/index.html?appid=7bc3198037d24d54a9743987ad0731d2" TargetMode="External"/><Relationship Id="rId1452" Type="http://schemas.openxmlformats.org/officeDocument/2006/relationships/hyperlink" Target="https://rijnland.maps.arcgis.com/apps/instant/interactivelegend/index.html?appid=ac183c60750a435db95b1705d25b3121" TargetMode="External"/><Relationship Id="rId1453" Type="http://schemas.openxmlformats.org/officeDocument/2006/relationships/hyperlink" Target="https://rijnland.maps.arcgis.com/apps/instant/sidebar/index.html?appid=5469a9663c5e4643b10efe6da9a15ae2" TargetMode="External"/><Relationship Id="rId1454" Type="http://schemas.openxmlformats.org/officeDocument/2006/relationships/hyperlink" Target="https://www.klicviewer.nl/klic-viewer/uitlevering/f747ab20-bb28-4011-93c4-08d3d01dfde3" TargetMode="External"/><Relationship Id="rId1444" Type="http://schemas.openxmlformats.org/officeDocument/2006/relationships/hyperlink" Target="https://www.klicviewer.nl/klic-viewer/uitlevering/17383516-b040-4ae5-bdaf-fc6240661772" TargetMode="External"/><Relationship Id="rId1445" Type="http://schemas.openxmlformats.org/officeDocument/2006/relationships/hyperlink" Target="https://www.google.com/maps/place/Westenwold+5,+8342+TG+Basse/@52.8031537,6.0240039,340m/data=!3m1!1e3!4m6!3m5!1s0x47c865fc8972bbbf:0xd302aa90ea8190db!8m2!3d52.8028192!4d6.0247237!16s%2Fg%2F11swd9djcb?entry=ttu&amp;g_ep=EgoyMDI1MTAwOC4wIKXMDSoASAFQAw%3D%3D" TargetMode="External"/><Relationship Id="rId1446" Type="http://schemas.openxmlformats.org/officeDocument/2006/relationships/hyperlink" Target="https://app.pdok.nl/viewer/" TargetMode="External"/><Relationship Id="rId1447" Type="http://schemas.openxmlformats.org/officeDocument/2006/relationships/hyperlink" Target="https://experience.arcgis.com/experience/9269f566d1f04b38ad9712b9b9bf34fd" TargetMode="External"/><Relationship Id="rId1448" Type="http://schemas.openxmlformats.org/officeDocument/2006/relationships/hyperlink" Target="https://www.klicviewer.nl/klic-viewer/uitlevering/8ec09b96-e719-4847-bc71-6c64ec8c919d" TargetMode="External"/><Relationship Id="rId1449" Type="http://schemas.openxmlformats.org/officeDocument/2006/relationships/hyperlink" Target="https://www.google.com/maps/place/Zilkerbinnenweg+10,+2191+AC+De+Zilk/@52.2878739,4.5324204,344m/data=!3m1!1e3!4m6!3m5!1s0x47c5ea1c57f4dbf9:0xb313c755eb0dee11!8m2!3d52.2878871!4d4.5332225!16s%2Fg%2F11x2h24x21?entry=ttu&amp;g_ep=EgoyMDI1MTAwOC4wIKXMDSoASAFQAw%3D%3D" TargetMode="External"/><Relationship Id="rId619" Type="http://schemas.openxmlformats.org/officeDocument/2006/relationships/hyperlink" Target="https://app.pdok.nl/viewer/" TargetMode="External"/><Relationship Id="rId618" Type="http://schemas.openxmlformats.org/officeDocument/2006/relationships/hyperlink" Target="https://maps.app.goo.gl/ZcQxuHWzuNM8uQ5V8" TargetMode="External"/><Relationship Id="rId613" Type="http://schemas.openxmlformats.org/officeDocument/2006/relationships/hyperlink" Target="https://www.klicviewer.nl/klic-viewer/uitlevering/068c5f9c-28bc-498b-8399-8e921ff1dd4a" TargetMode="External"/><Relationship Id="rId612" Type="http://schemas.openxmlformats.org/officeDocument/2006/relationships/hyperlink" Target="https://gis.wetterskipfryslan.nl/portal/apps/experiencebuilder/experience/?id=a0e444b2c8874407bc63d3f81d61367c" TargetMode="External"/><Relationship Id="rId611" Type="http://schemas.openxmlformats.org/officeDocument/2006/relationships/hyperlink" Target="https://www.wetterskipfryslan.nl/kaarten" TargetMode="External"/><Relationship Id="rId610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617" Type="http://schemas.openxmlformats.org/officeDocument/2006/relationships/hyperlink" Target="https://www.klicviewer.nl/klic-viewer/uitlevering/d4c47194-c8b7-43d9-b65e-243d75736ef5" TargetMode="External"/><Relationship Id="rId616" Type="http://schemas.openxmlformats.org/officeDocument/2006/relationships/hyperlink" Target="https://wrij.maps.arcgis.com/apps/instant/sidebar/index.html?appid=51e2324fc55148c795406bb1aa8c6579" TargetMode="External"/><Relationship Id="rId615" Type="http://schemas.openxmlformats.org/officeDocument/2006/relationships/hyperlink" Target="https://app.pdok.nl/viewer/" TargetMode="External"/><Relationship Id="rId614" Type="http://schemas.openxmlformats.org/officeDocument/2006/relationships/hyperlink" Target="https://maps.app.goo.gl/uT5k8S9KtvRgGicZ8" TargetMode="External"/><Relationship Id="rId1440" Type="http://schemas.openxmlformats.org/officeDocument/2006/relationships/hyperlink" Target="http://google.com/maps/place/Burgemeester+van+der+Veenweg+3,+8376+HL+Ossenzijl/@52.8122712,5.9080919,405m/data=!3m1!1e3!4m6!3m5!1s0x47c863e26fb57d1b:0x7a397f474299b054!8m2!3d52.8123043!4d5.9092038!16s%2Fg%2F11bw41p11y?entry=ttu&amp;g_ep=EgoyMDI1MTAwOC4wIKXMDSoASAFQAw%3D%3D" TargetMode="External"/><Relationship Id="rId1441" Type="http://schemas.openxmlformats.org/officeDocument/2006/relationships/hyperlink" Target="https://app.pdok.nl/viewer/" TargetMode="External"/><Relationship Id="rId1442" Type="http://schemas.openxmlformats.org/officeDocument/2006/relationships/hyperlink" Target="https://experience.arcgis.com/experience/9269f566d1f04b38ad9712b9b9bf34fd" TargetMode="External"/><Relationship Id="rId1443" Type="http://schemas.openxmlformats.org/officeDocument/2006/relationships/hyperlink" Target="https://www.wdodelta.nl/kaarten" TargetMode="External"/><Relationship Id="rId1477" Type="http://schemas.openxmlformats.org/officeDocument/2006/relationships/hyperlink" Target="https://www.google.com/maps/place/J.C.+van+Hattumweg+15A,+1187+ZN+Amstelveen/@52.2763039,4.8119645,205m/data=!3m1!1e3!4m6!3m5!1s0x47c5e065636e0171:0x7bd8aecaa21639dd!8m2!3d52.2760302!4d4.8119429!16s%2Fg%2F11yj5vb2t7?entry=ttu&amp;g_ep=EgoyMDI1MTAwOC4wIKXMDSoASAFQAw%3D%3D" TargetMode="External"/><Relationship Id="rId1478" Type="http://schemas.openxmlformats.org/officeDocument/2006/relationships/hyperlink" Target="https://app.pdok.nl/viewer/" TargetMode="External"/><Relationship Id="rId1479" Type="http://schemas.openxmlformats.org/officeDocument/2006/relationships/hyperlink" Target="https://maps.waternet.nl/portal/apps/experiencebuilder/experience/?id=36500ca8332b489182bf9ab83427cbc1" TargetMode="External"/><Relationship Id="rId646" Type="http://schemas.openxmlformats.org/officeDocument/2006/relationships/hyperlink" Target="https://opendata-wbd.opendata.arcgis.com/pages/datasets-legger~c9ad8442b3764f5ca9bd81cfb20e2d3c" TargetMode="External"/><Relationship Id="rId645" Type="http://schemas.openxmlformats.org/officeDocument/2006/relationships/hyperlink" Target="https://app.pdok.nl/viewer/" TargetMode="External"/><Relationship Id="rId644" Type="http://schemas.openxmlformats.org/officeDocument/2006/relationships/hyperlink" Target="https://www.google.com/maps/place/Wouwseweg+186,+4703+BZ+Roosendaal/@51.5306023,4.4327722,124m/data=!3m1!1e3!4m15!1m8!3m7!1s0x47c416bbfb63bcc1:0x32aa14596207d5ff!2sWouwseweg+184,+4703+BZ+Roosendaal!3b1!8m2!3d51.5307787!4d4.4340377!16s%2Fg%2F11c4xthdlc!3m5!1s0x47c416bbf0527dc9:0x8a6bfd33ba2b48e1!8m2!3d51.5308218!4d4.4334822!16s%2Fg%2F11vkgyl03r?entry=ttu&amp;g_ep=EgoyMDI1MTIwOS4wIKXMDSoASAFQAw%3D%3D" TargetMode="External"/><Relationship Id="rId643" Type="http://schemas.openxmlformats.org/officeDocument/2006/relationships/hyperlink" Target="https://www.klicviewer.nl/klic-viewer/uitlevering/1e763e92-8202-4a22-a357-fa23a79c417f" TargetMode="External"/><Relationship Id="rId649" Type="http://schemas.openxmlformats.org/officeDocument/2006/relationships/hyperlink" Target="https://app.pdok.nl/viewer/" TargetMode="External"/><Relationship Id="rId648" Type="http://schemas.openxmlformats.org/officeDocument/2006/relationships/hyperlink" Target="https://www.google.com/maps/place/Torensmabrug/@53.3067642,6.4777627,336m/data=!3m1!1e3!4m6!3m5!1s0x47c9c90018e545ff:0xe7f33447ec17860!8m2!3d53.3070161!4d6.4794174!16s%2Fg%2F11gycy7dl0?entry=ttu&amp;g_ep=EgoyMDI1MTEzMC4wIKXMDSoASAFQAw%3D%3D" TargetMode="External"/><Relationship Id="rId647" Type="http://schemas.openxmlformats.org/officeDocument/2006/relationships/hyperlink" Target="https://www.klicviewer.nl/klic-viewer/uitlevering/f5ad569c-5e3c-4f7d-9aee-85202737e334" TargetMode="External"/><Relationship Id="rId1470" Type="http://schemas.openxmlformats.org/officeDocument/2006/relationships/hyperlink" Target="https://app.pdok.nl/viewer/" TargetMode="External"/><Relationship Id="rId1471" Type="http://schemas.openxmlformats.org/officeDocument/2006/relationships/hyperlink" Target="https://vechtstromen.maps.arcgis.com/apps/webappviewer/index.html?id=157236e98867443696757e2091ebc25a" TargetMode="External"/><Relationship Id="rId1472" Type="http://schemas.openxmlformats.org/officeDocument/2006/relationships/hyperlink" Target="https://www.klicviewer.nl/klic-viewer/uitlevering/e9606a6d-48b4-44f1-9040-ae52323246a1" TargetMode="External"/><Relationship Id="rId642" Type="http://schemas.openxmlformats.org/officeDocument/2006/relationships/hyperlink" Target="https://rijnland.maps.arcgis.com/apps/instant/sidebar/index.html?appid=5469a9663c5e4643b10efe6da9a15ae2" TargetMode="External"/><Relationship Id="rId1473" Type="http://schemas.openxmlformats.org/officeDocument/2006/relationships/hyperlink" Target="https://www.google.com/maps/place/Vliegendijk+41,+7205+CH+Zutphen/@52.1459138,6.1822381,173m/data=!3m1!1e3!4m6!3m5!1s0x47c7944357895a83:0xf1da985cc0089976!8m2!3d52.1456323!4d6.1828148!16s%2Fg%2F11cp8nxkdw?entry=ttu&amp;g_ep=EgoyMDI1MTAwNi4wIKXMDSoASAFQAw%3D%3D" TargetMode="External"/><Relationship Id="rId641" Type="http://schemas.openxmlformats.org/officeDocument/2006/relationships/hyperlink" Target="https://rijnland.maps.arcgis.com/apps/instant/sidebar/index.html?appid=f0fd839278474fe7841a12800fcc3e39" TargetMode="External"/><Relationship Id="rId1474" Type="http://schemas.openxmlformats.org/officeDocument/2006/relationships/hyperlink" Target="https://app.pdok.nl/viewer/" TargetMode="External"/><Relationship Id="rId640" Type="http://schemas.openxmlformats.org/officeDocument/2006/relationships/hyperlink" Target="https://rijnland.maps.arcgis.com/apps/instant/sidebar/index.html?appid=2b214417eea74ae9a56119c251ffa960" TargetMode="External"/><Relationship Id="rId1475" Type="http://schemas.openxmlformats.org/officeDocument/2006/relationships/hyperlink" Target="https://open-geodata-portaal-valleienveluwe.hub.arcgis.com/apps/e75d12ac1ccb47daa53c1b53916be4e9/explore" TargetMode="External"/><Relationship Id="rId1476" Type="http://schemas.openxmlformats.org/officeDocument/2006/relationships/hyperlink" Target="https://www.klicviewer.nl/klic-viewer/uitlevering/d5ed0fda-9bee-4b13-80aa-48e91993f043" TargetMode="External"/><Relationship Id="rId1466" Type="http://schemas.openxmlformats.org/officeDocument/2006/relationships/hyperlink" Target="https://app.pdok.nl/viewer/" TargetMode="External"/><Relationship Id="rId1467" Type="http://schemas.openxmlformats.org/officeDocument/2006/relationships/hyperlink" Target="https://maps.waternet.nl/portal/apps/experiencebuilder/experience/?id=36500ca8332b489182bf9ab83427cbc1" TargetMode="External"/><Relationship Id="rId1468" Type="http://schemas.openxmlformats.org/officeDocument/2006/relationships/hyperlink" Target="https://www.klicviewer.nl/klic-viewer/uitlevering/dbe42a5c-7efc-4d33-9ca5-a97eda0ddbe8" TargetMode="External"/><Relationship Id="rId1469" Type="http://schemas.openxmlformats.org/officeDocument/2006/relationships/hyperlink" Target="https://www.google.com/maps/place/Driehoeksweg+9,+7675+TA+Bruinehaar/@52.4744599,6.6993729,288m/data=!3m1!1e3!4m6!3m5!1s0x47b801a10a80fca1:0xc6ed01aca29e8d94!8m2!3d52.4744224!4d6.6990668!16s%2Fg%2F11c4d3w8ng?entry=ttu&amp;g_ep=EgoyMDI1MTAwOC4wIKXMDSoASAFQAw%3D%3D" TargetMode="External"/><Relationship Id="rId635" Type="http://schemas.openxmlformats.org/officeDocument/2006/relationships/hyperlink" Target="https://rijnland.maps.arcgis.com/apps/instant/sidebar/index.html?appid=f0fd839278474fe7841a12800fcc3e39" TargetMode="External"/><Relationship Id="rId634" Type="http://schemas.openxmlformats.org/officeDocument/2006/relationships/hyperlink" Target="https://rijnland.maps.arcgis.com/apps/instant/sidebar/index.html?appid=2b214417eea74ae9a56119c251ffa960" TargetMode="External"/><Relationship Id="rId633" Type="http://schemas.openxmlformats.org/officeDocument/2006/relationships/hyperlink" Target="https://app.pdok.nl/viewer/" TargetMode="External"/><Relationship Id="rId632" Type="http://schemas.openxmlformats.org/officeDocument/2006/relationships/hyperlink" Target="https://www.google.com/maps/place/Wilsveen+47,+2266+LP+Leidschendam/@52.0761273,4.4350032,150m/data=!3m1!1e3!4m6!3m5!1s0x47c5c84f89b8f5c3:0x5a32c1abe5eb01a2!8m2!3d52.0760137!4d4.435293!16s%2Fg%2F11c14d1q6d?entry=ttu&amp;g_ep=EgoyMDI1MTIwMi4wIKXMDSoASAFQAw%3D%3D" TargetMode="External"/><Relationship Id="rId639" Type="http://schemas.openxmlformats.org/officeDocument/2006/relationships/hyperlink" Target="https://app.pdok.nl/viewer/" TargetMode="External"/><Relationship Id="rId638" Type="http://schemas.openxmlformats.org/officeDocument/2006/relationships/hyperlink" Target="https://maps.app.goo.gl/sxdrJLgjz6c4Qqxz6" TargetMode="External"/><Relationship Id="rId637" Type="http://schemas.openxmlformats.org/officeDocument/2006/relationships/hyperlink" Target="https://www.klicviewer.nl/klic-viewer/uitlevering/2f7e4e1f-cb84-4f49-a6cd-3b47232e34d2" TargetMode="External"/><Relationship Id="rId636" Type="http://schemas.openxmlformats.org/officeDocument/2006/relationships/hyperlink" Target="https://rijnland.maps.arcgis.com/apps/instant/sidebar/index.html?appid=5469a9663c5e4643b10efe6da9a15ae2" TargetMode="External"/><Relationship Id="rId1460" Type="http://schemas.openxmlformats.org/officeDocument/2006/relationships/hyperlink" Target="https://www.klicviewer.nl/klic-viewer/uitlevering/c9848aea-cc06-4e10-b7fd-7721b0c53e43" TargetMode="External"/><Relationship Id="rId1461" Type="http://schemas.openxmlformats.org/officeDocument/2006/relationships/hyperlink" Target="https://www.google.com/maps/place/Heesbeenstraat+12,+4761+EV+Zevenbergen/@51.6482436,4.6068762,175m/data=!3m1!1e3!4m6!3m5!1s0x47c423ba2e6244f9:0x85dba8dfc1fd6a67!8m2!3d51.6482009!4d4.6071837!16s%2Fg%2F11c16d7yz9?entry=ttu&amp;g_ep=EgoyMDI1MTAwOC4wIKXMDSoASAFQAw%3D%3D" TargetMode="External"/><Relationship Id="rId631" Type="http://schemas.openxmlformats.org/officeDocument/2006/relationships/hyperlink" Target="https://www.klicviewer.nl/klic-viewer/uitlevering/ef323509-2f6f-44ab-ba14-d3028713aaf1" TargetMode="External"/><Relationship Id="rId1462" Type="http://schemas.openxmlformats.org/officeDocument/2006/relationships/hyperlink" Target="https://app.pdok.nl/viewer/" TargetMode="External"/><Relationship Id="rId630" Type="http://schemas.openxmlformats.org/officeDocument/2006/relationships/hyperlink" Target="https://open-geodata-portaal-valleienveluwe.hub.arcgis.com/apps/e75d12ac1ccb47daa53c1b53916be4e9/explore" TargetMode="External"/><Relationship Id="rId1463" Type="http://schemas.openxmlformats.org/officeDocument/2006/relationships/hyperlink" Target="https://geoportaal.brabantsedelta.nl/portal/apps/instant/basic/index.html?appid=81a5a147a9614fb983e514b580246792" TargetMode="External"/><Relationship Id="rId1464" Type="http://schemas.openxmlformats.org/officeDocument/2006/relationships/hyperlink" Target="https://www.klicviewer.nl/klic-viewer/uitlevering/cdb2cd78-6c8f-4705-a151-741031d2f50c" TargetMode="External"/><Relationship Id="rId1465" Type="http://schemas.openxmlformats.org/officeDocument/2006/relationships/hyperlink" Target="https://maps.app.goo.gl/atdGonchUd6PqnEu5" TargetMode="External"/><Relationship Id="rId1411" Type="http://schemas.openxmlformats.org/officeDocument/2006/relationships/hyperlink" Target="https://maps.waternet.nl/portal/apps/experiencebuilder/experience/?id=36500ca8332b489182bf9ab83427cbc1&amp;page=Vergunningen-en-Meldingen&amp;views=Kaartlagen%2CKaartlagen-" TargetMode="External"/><Relationship Id="rId1412" Type="http://schemas.openxmlformats.org/officeDocument/2006/relationships/hyperlink" Target="https://www.klicviewer.nl/klic-viewer/uitlevering/4d953164-1582-4811-b462-5c0679f6e602" TargetMode="External"/><Relationship Id="rId1413" Type="http://schemas.openxmlformats.org/officeDocument/2006/relationships/hyperlink" Target="https://www.google.com/maps/place/Zuidweg+16A,+2375+AS+Rijpwetering/@52.1823154,4.5906747,173m/data=!3m1!1e3!4m6!3m5!1s0x47c5c49c0ee52a65:0x7823dcd89e1fe021!8m2!3d52.1822171!4d4.5911169!16s%2Fg%2F11bw4v6vtz?entry=ttu&amp;g_ep=EgoyMDI1MTAwOC4wIKXMDSoASAFQAw%3D%3D" TargetMode="External"/><Relationship Id="rId1414" Type="http://schemas.openxmlformats.org/officeDocument/2006/relationships/hyperlink" Target="https://app.pdok.nl/viewer/" TargetMode="External"/><Relationship Id="rId1415" Type="http://schemas.openxmlformats.org/officeDocument/2006/relationships/hyperlink" Target="https://rijnland.maps.arcgis.com/apps/instant/interactivelegend/index.html?appid=7bc3198037d24d54a9743987ad0731d2" TargetMode="External"/><Relationship Id="rId1416" Type="http://schemas.openxmlformats.org/officeDocument/2006/relationships/hyperlink" Target="https://rijnland.maps.arcgis.com/apps/instant/interactivelegend/index.html?appid=ac183c60750a435db95b1705d25b3121" TargetMode="External"/><Relationship Id="rId1417" Type="http://schemas.openxmlformats.org/officeDocument/2006/relationships/hyperlink" Target="https://rijnland.maps.arcgis.com/apps/instant/sidebar/index.html?appid=5469a9663c5e4643b10efe6da9a15ae2" TargetMode="External"/><Relationship Id="rId1418" Type="http://schemas.openxmlformats.org/officeDocument/2006/relationships/hyperlink" Target="https://www.klicviewer.nl/klic-viewer/uitlevering/48761c79-1405-4524-b3c4-147a6af6b610" TargetMode="External"/><Relationship Id="rId1419" Type="http://schemas.openxmlformats.org/officeDocument/2006/relationships/hyperlink" Target="https://maps.app.goo.gl/RmxLBz7ePYMFi2J1A" TargetMode="External"/><Relationship Id="rId1410" Type="http://schemas.openxmlformats.org/officeDocument/2006/relationships/hyperlink" Target="https://app.pdok.nl/viewer/" TargetMode="External"/><Relationship Id="rId1400" Type="http://schemas.openxmlformats.org/officeDocument/2006/relationships/hyperlink" Target="https://app.pdok.nl/viewer/" TargetMode="External"/><Relationship Id="rId1401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1402" Type="http://schemas.openxmlformats.org/officeDocument/2006/relationships/hyperlink" Target="https://www.klicviewer.nl/klic-viewer/uitlevering/3ac2ccaa-75b6-4841-af50-017d0a0d1337" TargetMode="External"/><Relationship Id="rId1403" Type="http://schemas.openxmlformats.org/officeDocument/2006/relationships/hyperlink" Target="https://www.google.com/maps/place/Gemaal+Kockengen/@52.1525565,4.9389297,345m/data=!3m1!1e3!4m15!1m8!3m7!1s0x47c6714a44bb6189:0x8625be8d2871a0c9!2sWagendijk+68,+3628+ET+Kockengen!3b1!8m2!3d52.1534096!4d4.9402937!16s%2Fg%2F11c4xwkm_r!3m5!1s0x47c6710126a1f07b:0xb21a89862d5cbb13!8m2!3d52.1530286!4d4.940515!16s%2Fg%2F11q91v6705?entry=ttu&amp;g_ep=EgoyMDI1MTAwOC4wIKXMDSoASAFQAw%3D%3D" TargetMode="External"/><Relationship Id="rId1404" Type="http://schemas.openxmlformats.org/officeDocument/2006/relationships/hyperlink" Target="https://app.pdok.nl/viewer/" TargetMode="External"/><Relationship Id="rId1405" Type="http://schemas.openxmlformats.org/officeDocument/2006/relationships/hyperlink" Target="https://data-hdsr.opendata.arcgis.com/" TargetMode="External"/><Relationship Id="rId1406" Type="http://schemas.openxmlformats.org/officeDocument/2006/relationships/hyperlink" Target="https://experience.arcgis.com/experience/2c5e26593af646ce89636605093ddcc1/" TargetMode="External"/><Relationship Id="rId1407" Type="http://schemas.openxmlformats.org/officeDocument/2006/relationships/hyperlink" Target="https://hdsr.maps.arcgis.com/apps/instant/interactivelegend/index.html?appid=9e93c659d8a94b63a66f7d7c41f5a15b" TargetMode="External"/><Relationship Id="rId1408" Type="http://schemas.openxmlformats.org/officeDocument/2006/relationships/hyperlink" Target="https://www.klicviewer.nl/klic-viewer/uitlevering/b5e52490-3f37-4ef8-8d3a-34c32ecfe14b" TargetMode="External"/><Relationship Id="rId1409" Type="http://schemas.openxmlformats.org/officeDocument/2006/relationships/hyperlink" Target="https://www.google.com/maps/place/Graaf+Florislaan+3,+1217+KE+Hilversum/@52.2308862,5.1730871,20z/data=!4m6!3m5!1s0x47c66b5cecced3df:0x735b8a1d0d511dc0!8m2!3d52.2308453!4d5.1732047!16s%2Fg%2F11cs8dty4c?entry=ttu&amp;g_ep=EgoyMDI1MTAwOC4wIKXMDSoASAFQAw%3D%3D" TargetMode="External"/><Relationship Id="rId1433" Type="http://schemas.openxmlformats.org/officeDocument/2006/relationships/hyperlink" Target="https://experience.arcgis.com/experience/9269f566d1f04b38ad9712b9b9bf34fd" TargetMode="External"/><Relationship Id="rId1434" Type="http://schemas.openxmlformats.org/officeDocument/2006/relationships/hyperlink" Target="https://www.klicviewer.nl/klic-viewer/uitlevering/1d621180-f77b-4986-8b77-903a72dee849" TargetMode="External"/><Relationship Id="rId1435" Type="http://schemas.openxmlformats.org/officeDocument/2006/relationships/hyperlink" Target="https://www.google.com/maps/place/Wormerweg+22,+1464+NB+Westbeemster/@52.5503615,4.8647668,288m/data=!3m1!1e3!4m6!3m5!1s0x47c5fe4f686304f5:0x6056b4f7be803f92!8m2!3d52.5502656!4d4.8651941!16s%2Fg%2F11hgjzl48_?entry=ttu&amp;g_ep=EgoyMDI1MTAwOC4wIKXMDSoASAFQAw%3D%3D" TargetMode="External"/><Relationship Id="rId1436" Type="http://schemas.openxmlformats.org/officeDocument/2006/relationships/hyperlink" Target="https://app.pdok.nl/viewer/" TargetMode="External"/><Relationship Id="rId1437" Type="http://schemas.openxmlformats.org/officeDocument/2006/relationships/hyperlink" Target="https://kaarten.hhnk.nl/portal/apps/webappviewer/index.html?id=d2de3caed0ba442290991e1f5b404e1a" TargetMode="External"/><Relationship Id="rId1438" Type="http://schemas.openxmlformats.org/officeDocument/2006/relationships/hyperlink" Target="https://kaarten.hhnk.nl/portal/apps/experiencebuilder/experience/?id=51ae36990bf448248b105c8fbc9fbeb3" TargetMode="External"/><Relationship Id="rId1439" Type="http://schemas.openxmlformats.org/officeDocument/2006/relationships/hyperlink" Target="https://www.klicviewer.nl/klic-viewer/uitlevering/8d517c49-1878-4b1a-b0e5-25847222dc92" TargetMode="External"/><Relationship Id="rId609" Type="http://schemas.openxmlformats.org/officeDocument/2006/relationships/hyperlink" Target="https://app.pdok.nl/viewer/" TargetMode="External"/><Relationship Id="rId608" Type="http://schemas.openxmlformats.org/officeDocument/2006/relationships/hyperlink" Target="https://maps.app.goo.gl/as91RDMzAaiy4MMs7" TargetMode="External"/><Relationship Id="rId607" Type="http://schemas.openxmlformats.org/officeDocument/2006/relationships/hyperlink" Target="https://www.klicviewer.nl/klic-viewer/uitlevering/3854c013-e508-4277-b14a-ea0cdda5f458" TargetMode="External"/><Relationship Id="rId602" Type="http://schemas.openxmlformats.org/officeDocument/2006/relationships/hyperlink" Target="https://maps.app.goo.gl/as91RDMzAaiy4MMs7" TargetMode="External"/><Relationship Id="rId601" Type="http://schemas.openxmlformats.org/officeDocument/2006/relationships/hyperlink" Target="https://www.klicviewer.nl/klic-viewer/uitlevering/9cbdcc18-d8c3-48b5-819e-cc20c1b41a4e" TargetMode="External"/><Relationship Id="rId600" Type="http://schemas.openxmlformats.org/officeDocument/2006/relationships/hyperlink" Target="https://rijnland.maps.arcgis.com/apps/instant/sidebar/index.html?appid=5469a9663c5e4643b10efe6da9a15ae2" TargetMode="External"/><Relationship Id="rId606" Type="http://schemas.openxmlformats.org/officeDocument/2006/relationships/hyperlink" Target="https://gis.wetterskipfryslan.nl/portal/apps/experiencebuilder/experience/?id=a0e444b2c8874407bc63d3f81d61367c" TargetMode="External"/><Relationship Id="rId605" Type="http://schemas.openxmlformats.org/officeDocument/2006/relationships/hyperlink" Target="https://www.wetterskipfryslan.nl/kaarten" TargetMode="External"/><Relationship Id="rId604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603" Type="http://schemas.openxmlformats.org/officeDocument/2006/relationships/hyperlink" Target="https://app.pdok.nl/viewer/" TargetMode="External"/><Relationship Id="rId1430" Type="http://schemas.openxmlformats.org/officeDocument/2006/relationships/hyperlink" Target="https://www.klicviewer.nl/klic-viewer/uitlevering/c11fd3e1-d3b4-4c0e-b3b5-8b9b38e33dd3" TargetMode="External"/><Relationship Id="rId1431" Type="http://schemas.openxmlformats.org/officeDocument/2006/relationships/hyperlink" Target="https://maps.app.goo.gl/BRYacbTzjd8ZMtLp6" TargetMode="External"/><Relationship Id="rId1432" Type="http://schemas.openxmlformats.org/officeDocument/2006/relationships/hyperlink" Target="https://app.pdok.nl/viewer/" TargetMode="External"/><Relationship Id="rId1422" Type="http://schemas.openxmlformats.org/officeDocument/2006/relationships/hyperlink" Target="https://www.klicviewer.nl/klic-viewer/uitlevering/46654a9f-eb96-4ac1-92f1-c183b088bd92" TargetMode="External"/><Relationship Id="rId1423" Type="http://schemas.openxmlformats.org/officeDocument/2006/relationships/hyperlink" Target="https://maps.app.goo.gl/v2JXR4xbJN4Jx2SB9" TargetMode="External"/><Relationship Id="rId1424" Type="http://schemas.openxmlformats.org/officeDocument/2006/relationships/hyperlink" Target="https://app.pdok.nl/viewer/" TargetMode="External"/><Relationship Id="rId1425" Type="http://schemas.openxmlformats.org/officeDocument/2006/relationships/hyperlink" Target="https://kaarten.hhnk.nl/portal/apps/webappviewer/index.html?id=d2de3caed0ba442290991e1f5b404e1a" TargetMode="External"/><Relationship Id="rId1426" Type="http://schemas.openxmlformats.org/officeDocument/2006/relationships/hyperlink" Target="https://www.klicviewer.nl/klic-viewer/uitlevering/fdb8a0c4-c464-4595-860c-3c6caee44964" TargetMode="External"/><Relationship Id="rId1427" Type="http://schemas.openxmlformats.org/officeDocument/2006/relationships/hyperlink" Target="https://www.google.com/maps/place/Dijkweg+90,+2675+AE+Honselersdijk/@52.0028434,4.2205551,206m/data=!3m1!1e3!4m6!3m5!1s0x47c5b24ee1af01c9:0x32ed0244cba9955f!8m2!3d52.0028152!4d4.221415!16s%2Fg%2F11cpk934b4?entry=ttu&amp;g_ep=EgoyMDI1MTAwOC4wIKXMDSoASAFQAw%3D%3D" TargetMode="External"/><Relationship Id="rId1428" Type="http://schemas.openxmlformats.org/officeDocument/2006/relationships/hyperlink" Target="https://app.pdok.nl/viewer/" TargetMode="External"/><Relationship Id="rId1429" Type="http://schemas.openxmlformats.org/officeDocument/2006/relationships/hyperlink" Target="https://experience.arcgis.com/experience/a316920536d94e7a90d5fb5edfe48134/" TargetMode="External"/><Relationship Id="rId1420" Type="http://schemas.openxmlformats.org/officeDocument/2006/relationships/hyperlink" Target="https://app.pdok.nl/viewer/" TargetMode="External"/><Relationship Id="rId1421" Type="http://schemas.openxmlformats.org/officeDocument/2006/relationships/hyperlink" Target="https://wrij.maps.arcgis.com/apps/instant/sidebar/index.html?appid=51e2324fc55148c795406bb1aa8c6579" TargetMode="External"/><Relationship Id="rId1059" Type="http://schemas.openxmlformats.org/officeDocument/2006/relationships/hyperlink" Target="https://kaarten.hhnk.nl/portal/apps/experiencebuilder/experience/?id=51ae36990bf448248b105c8fbc9fbeb3" TargetMode="External"/><Relationship Id="rId228" Type="http://schemas.openxmlformats.org/officeDocument/2006/relationships/hyperlink" Target="https://rijnland.maps.arcgis.com/apps/instant/sidebar/index.html?appid=5469a9663c5e4643b10efe6da9a15ae2" TargetMode="External"/><Relationship Id="rId227" Type="http://schemas.openxmlformats.org/officeDocument/2006/relationships/hyperlink" Target="https://rijnland.maps.arcgis.com/apps/instant/sidebar/index.html?appid=f0fd839278474fe7841a12800fcc3e39" TargetMode="External"/><Relationship Id="rId226" Type="http://schemas.openxmlformats.org/officeDocument/2006/relationships/hyperlink" Target="https://rijnland.maps.arcgis.com/apps/instant/sidebar/index.html?appid=2b214417eea74ae9a56119c251ffa960" TargetMode="External"/><Relationship Id="rId225" Type="http://schemas.openxmlformats.org/officeDocument/2006/relationships/hyperlink" Target="https://app.pdok.nl/viewer/" TargetMode="External"/><Relationship Id="rId229" Type="http://schemas.openxmlformats.org/officeDocument/2006/relationships/hyperlink" Target="https://www.klicviewer.nl/klic-viewer/uitlevering/af21b63f-45c4-4955-a368-3d2682844cd1" TargetMode="External"/><Relationship Id="rId1050" Type="http://schemas.openxmlformats.org/officeDocument/2006/relationships/hyperlink" Target="https://app.pdok.nl/viewer/" TargetMode="External"/><Relationship Id="rId220" Type="http://schemas.openxmlformats.org/officeDocument/2006/relationships/hyperlink" Target="https://www.google.nl/maps/place/Bimmerman+(construction+-+finishing+-+interior)/@52.7600901,5.0898882,287m/data=!3m1!1e3!4m12!1m5!3m4!2zNTLCsDQ1JzM2LjMiTiA1wrAwNScyNi42IkU!8m2!3d52.760095!4d5.090728!3m5!1s0x47c8ae29395b5115:0x7ca0431abdc18896!8m2!3d52.7606708!4d5.0910437!16s%2Fg%2F1xgzb0r8?entry=ttu&amp;g_ep=EgoyMDI2MDIwNC4wIKXMDSoASAFQAw%3D%3D" TargetMode="External"/><Relationship Id="rId1051" Type="http://schemas.openxmlformats.org/officeDocument/2006/relationships/hyperlink" Target="https://experience.arcgis.com/experience/9269f566d1f04b38ad9712b9b9bf34fd" TargetMode="External"/><Relationship Id="rId1052" Type="http://schemas.openxmlformats.org/officeDocument/2006/relationships/hyperlink" Target="https://www.google.com/maps/place/WSP+Food+B.V./@51.8557825,5.7398278,207m/data=!3m1!1e3!4m15!1m8!3m7!1s0x47c7073eb067cd8d:0x5a06dbf4c3dc3c97!2sGoudwerf+7,+6641+TE+Beuningen!3b1!8m2!3d51.8557294!4d5.7461795!16s%2Fg%2F11c4s_c19w!3m5!1s0x47c70739e73dbff1:0x6275c9dd487fd258!8m2!3d51.855778!4d5.7397659!16s%2Fg%2F11b6dq2xcq?entry=ttu&amp;g_ep=EgoyMDI1MTAyNi4wIKXMDSoASAFQAw%3D%3D" TargetMode="External"/><Relationship Id="rId1053" Type="http://schemas.openxmlformats.org/officeDocument/2006/relationships/hyperlink" Target="https://app.pdok.nl/viewer/" TargetMode="External"/><Relationship Id="rId1054" Type="http://schemas.openxmlformats.org/officeDocument/2006/relationships/hyperlink" Target="https://experience.arcgis.com/experience/ff9e6ee747524d3cbce7712338ad0e89/page/Pagina-1" TargetMode="External"/><Relationship Id="rId224" Type="http://schemas.openxmlformats.org/officeDocument/2006/relationships/hyperlink" Target="https://www.google.com/maps/search/52.383486,+4.688480?entry=tts&amp;g_ep=EgoyMDI2MDIwMy4wIPu8ASoASAFQAw%3D%3D&amp;skid=3460d6c8-2752-4eea-b66c-4d759d19b890" TargetMode="External"/><Relationship Id="rId1055" Type="http://schemas.openxmlformats.org/officeDocument/2006/relationships/hyperlink" Target="https://www.klicviewer.nl/klic-viewer/uitlevering/b40884d2-e161-4e2f-bdd5-cd1ddba04b54" TargetMode="External"/><Relationship Id="rId223" Type="http://schemas.openxmlformats.org/officeDocument/2006/relationships/hyperlink" Target="https://www.klicviewer.nl/klic-viewer/uitlevering/f487499e-41b1-4d4b-89a1-80441bfd061e" TargetMode="External"/><Relationship Id="rId1056" Type="http://schemas.openxmlformats.org/officeDocument/2006/relationships/hyperlink" Target="https://www.google.com/maps/place/Overleek+5A,+1141+PD+Monnickendam/@52.4547342,5.0006444,172m/data=!3m1!1e3!4m6!3m5!1s0x47c605db101b6c2b:0x1ea146b887dcfe1a!8m2!3d52.454956!4d5.0010893!16s%2Fg%2F11b8v5tx2c?entry=ttu&amp;g_ep=EgoyMDI1MTAyMi4wIKXMDSoASAFQAw%3D%3D" TargetMode="External"/><Relationship Id="rId222" Type="http://schemas.openxmlformats.org/officeDocument/2006/relationships/hyperlink" Target="https://kaarten.hhnk.nl/portal/apps/webappviewer/index.html?id=d2de3caed0ba442290991e1f5b404e1a" TargetMode="External"/><Relationship Id="rId1057" Type="http://schemas.openxmlformats.org/officeDocument/2006/relationships/hyperlink" Target="https://app.pdok.nl/viewer/" TargetMode="External"/><Relationship Id="rId221" Type="http://schemas.openxmlformats.org/officeDocument/2006/relationships/hyperlink" Target="https://app.pdok.nl/viewer/" TargetMode="External"/><Relationship Id="rId1058" Type="http://schemas.openxmlformats.org/officeDocument/2006/relationships/hyperlink" Target="https://kaarten.hhnk.nl/portal/apps/webappviewer/index.html?id=d2de3caed0ba442290991e1f5b404e1a" TargetMode="External"/><Relationship Id="rId1048" Type="http://schemas.openxmlformats.org/officeDocument/2006/relationships/hyperlink" Target="https://www.klicviewer.nl/klic-viewer/uitlevering/2ca5460a-14d5-4be9-bb94-7e34e9befddf" TargetMode="External"/><Relationship Id="rId1049" Type="http://schemas.openxmlformats.org/officeDocument/2006/relationships/hyperlink" Target="https://www.google.com/maps/place/Oude+Twentseweg+38,+8105+RG+Luttenberg/@52.4229242,6.3363185,343m/data=!3m1!1e3!4m6!3m5!1s0x47c7e4f5b29dee19:0xe497509494666912!8m2!3d52.4229864!4d6.3370507!16s%2Fg%2F11pw1yhgpg?entry=ttu&amp;g_ep=EgoyMDI1MTAyOS4xIKXMDSoASAFQAw%3D%3D" TargetMode="External"/><Relationship Id="rId217" Type="http://schemas.openxmlformats.org/officeDocument/2006/relationships/hyperlink" Target="https://app.pdok.nl/viewer/" TargetMode="External"/><Relationship Id="rId216" Type="http://schemas.openxmlformats.org/officeDocument/2006/relationships/hyperlink" Target="https://www.google.com/maps/place/Dorsvloerweg+2,+2661+MN+Bergschenhoek/@51.9826053,4.5093844,173m/data=!3m1!1e3!4m6!3m5!1s0x47c5cc612fd1076f:0x1e4952551eb5e82e!8m2!3d51.9825295!4d4.5095969!16s%2Fg%2F11yc5hjj_w?entry=ttu&amp;g_ep=EgoyMDI2MDIwNC4wIKXMDSoASAFQAw%3D%3D" TargetMode="External"/><Relationship Id="rId215" Type="http://schemas.openxmlformats.org/officeDocument/2006/relationships/hyperlink" Target="https://www.klicviewer.nl/klic-viewer/uitlevering/d66c1eac-9178-494c-b45d-ded83e074bbe" TargetMode="External"/><Relationship Id="rId699" Type="http://schemas.openxmlformats.org/officeDocument/2006/relationships/hyperlink" Target="https://maps.waternet.nl/portal/apps/experiencebuilder/experience/?id=36500ca8332b489182bf9ab83427cbc1" TargetMode="External"/><Relationship Id="rId214" Type="http://schemas.openxmlformats.org/officeDocument/2006/relationships/hyperlink" Target="https://kaarten.hhnk.nl/portal/apps/experiencebuilder/experience/?id=44d528c37de546e9846eb2bcaebee084" TargetMode="External"/><Relationship Id="rId698" Type="http://schemas.openxmlformats.org/officeDocument/2006/relationships/hyperlink" Target="https://app.pdok.nl/viewer/" TargetMode="External"/><Relationship Id="rId219" Type="http://schemas.openxmlformats.org/officeDocument/2006/relationships/hyperlink" Target="https://www.klicviewer.nl/klic-viewer/uitlevering/8556a9aa-04e7-4116-a0fa-3308c0387a2b" TargetMode="External"/><Relationship Id="rId218" Type="http://schemas.openxmlformats.org/officeDocument/2006/relationships/hyperlink" Target="https://experience.arcgis.com/experience/9373fa4978604e8f91eb234b64e1d79e/page/De-dijken/" TargetMode="External"/><Relationship Id="rId693" Type="http://schemas.openxmlformats.org/officeDocument/2006/relationships/hyperlink" Target="https://experience.arcgis.com/experience/ff9e6ee747524d3cbce7712338ad0e89/page/Pagina-1" TargetMode="External"/><Relationship Id="rId1040" Type="http://schemas.openxmlformats.org/officeDocument/2006/relationships/hyperlink" Target="https://www.klicviewer.nl/klic-viewer/uitlevering/ba195cbf-8b60-4057-9058-7f76f2fd79f3" TargetMode="External"/><Relationship Id="rId692" Type="http://schemas.openxmlformats.org/officeDocument/2006/relationships/hyperlink" Target="https://app.pdok.nl/viewer/" TargetMode="External"/><Relationship Id="rId1041" Type="http://schemas.openxmlformats.org/officeDocument/2006/relationships/hyperlink" Target="https://www.google.com/maps/place/Stadhuisplein+35,+1315+XA+Almere/@52.3716041,5.2181234,172m/data=!3m1!1e3!4m6!3m5!1s0x47c616e1a9b569f1:0x2834af10d26cb0f1!8m2!3d52.3715723!4d5.219146!16s%2Fg%2F11yjglg5kd?entry=ttu&amp;g_ep=EgoyMDI1MTExMi4wIKXMDSoASAFQAw%3D%3D" TargetMode="External"/><Relationship Id="rId691" Type="http://schemas.openxmlformats.org/officeDocument/2006/relationships/hyperlink" Target="https://www.google.com/maps/place/Melkveebedrijf+van+Veldhoven/@51.7384637,4.981085,986m/data=!3m1!1e3!4m6!3m5!1s0x47c691cf2448d0a1:0xa9a89e96a3895f40!8m2!3d51.739605!4d4.9822907!16s%2Fg%2F11mvrqfc55?entry=ttu&amp;g_ep=EgoyMDI1MTEyMy4xIKXMDSoASAFQAw%3D%3D" TargetMode="External"/><Relationship Id="rId1042" Type="http://schemas.openxmlformats.org/officeDocument/2006/relationships/hyperlink" Target="https://app.pdok.nl/viewer/" TargetMode="External"/><Relationship Id="rId690" Type="http://schemas.openxmlformats.org/officeDocument/2006/relationships/hyperlink" Target="https://www.klicviewer.nl/klic-viewer/uitlevering/30aed0da-df08-470f-9fcf-59111dfdb117" TargetMode="External"/><Relationship Id="rId1043" Type="http://schemas.openxmlformats.org/officeDocument/2006/relationships/hyperlink" Target="https://experience.arcgis.com/experience/f3a714b052e04bb8afe63840ba9b7243/" TargetMode="External"/><Relationship Id="rId213" Type="http://schemas.openxmlformats.org/officeDocument/2006/relationships/hyperlink" Target="https://kaarten.hhnk.nl/portal/apps/webappviewer/index.html?id=d2de3caed0ba442290991e1f5b404e1a" TargetMode="External"/><Relationship Id="rId697" Type="http://schemas.openxmlformats.org/officeDocument/2006/relationships/hyperlink" Target="https://www.google.com/maps/place/Vissersstraat+38,+1271+VG+Huizen/@52.3016207,5.2350705,145m/data=!3m1!1e3!4m6!3m5!1s0x47c615b17e4f827b:0x7caa15410f79f9ee!8m2!3d52.3016151!4d5.2354777!16s%2Fg%2F11l5czpb5f?entry=ttu&amp;g_ep=EgoyMDI1MTEyMy4xIKXMDSoASAFQAw%3D%3D" TargetMode="External"/><Relationship Id="rId1044" Type="http://schemas.openxmlformats.org/officeDocument/2006/relationships/hyperlink" Target="https://www.klicviewer.nl/klic-viewer/uitlevering/1cd8239a-0cc4-47a9-9213-5602119997d1" TargetMode="External"/><Relationship Id="rId212" Type="http://schemas.openxmlformats.org/officeDocument/2006/relationships/hyperlink" Target="https://app.pdok.nl/viewer/" TargetMode="External"/><Relationship Id="rId696" Type="http://schemas.openxmlformats.org/officeDocument/2006/relationships/hyperlink" Target="https://www.klicviewer.nl/klic-viewer/uitlevering/29e92bd0-40c8-478d-bb91-fce2c0cc29e8" TargetMode="External"/><Relationship Id="rId1045" Type="http://schemas.openxmlformats.org/officeDocument/2006/relationships/hyperlink" Target="https://www.google.com/maps/place/Bernadottestraat+25,+2131+SM+Hoofddorp/@52.3030689,4.6775585,86m/data=!3m1!1e3!4m6!3m5!1s0x47c5e7b72852a95b:0x3ef40be319d445d5!8m2!3d52.3033648!4d4.6776917!16s%2Fg%2F11bw4mktyv?entry=ttu&amp;g_ep=EgoyMDI1MTAyOS4xIKXMDSoASAFQAw%3D%3D" TargetMode="External"/><Relationship Id="rId211" Type="http://schemas.openxmlformats.org/officeDocument/2006/relationships/hyperlink" Target="https://maps.app.goo.gl/UZkvwUUN7PR7oRhR7" TargetMode="External"/><Relationship Id="rId695" Type="http://schemas.openxmlformats.org/officeDocument/2006/relationships/hyperlink" Target="https://wsrl.maps.arcgis.com/apps/instant/sidebar/index.html?appid=cbf893b541074183a43c4653524c3359" TargetMode="External"/><Relationship Id="rId1046" Type="http://schemas.openxmlformats.org/officeDocument/2006/relationships/hyperlink" Target="https://app.pdok.nl/viewer/" TargetMode="External"/><Relationship Id="rId210" Type="http://schemas.openxmlformats.org/officeDocument/2006/relationships/hyperlink" Target="https://www.klicviewer.nl/klic-viewer/uitlevering/888ef852-c9b9-4128-acac-621046b41999" TargetMode="External"/><Relationship Id="rId694" Type="http://schemas.openxmlformats.org/officeDocument/2006/relationships/hyperlink" Target="https://experience.arcgis.com/experience/c58cad477757430f9ad8c6c1673058fc/page/Pagina-1" TargetMode="External"/><Relationship Id="rId1047" Type="http://schemas.openxmlformats.org/officeDocument/2006/relationships/hyperlink" Target="https://rijnland.maps.arcgis.com/apps/instant/interactivelegend/index.html?appid=7bc3198037d24d54a9743987ad0731d2" TargetMode="External"/><Relationship Id="rId249" Type="http://schemas.openxmlformats.org/officeDocument/2006/relationships/hyperlink" Target="https://maps.waternet.nl/portal/apps/experiencebuilder/experience/?id=36500ca8332b489182bf9ab83427cbc1" TargetMode="External"/><Relationship Id="rId248" Type="http://schemas.openxmlformats.org/officeDocument/2006/relationships/hyperlink" Target="https://app.pdok.nl/viewer/" TargetMode="External"/><Relationship Id="rId247" Type="http://schemas.openxmlformats.org/officeDocument/2006/relationships/hyperlink" Target="https://www.google.com/maps/place/Laan+Der+Artillerie+41,+1398+HJ+Muiden/@52.3345093,5.0578919,243m/data=!3m1!1e3!4m6!3m5!1s0x47c60de30ad1c837:0x273f27d1843a9e7c!8m2!3d52.3344735!4d5.0584108!16s%2Fg%2F11y8s4vt_4?entry=ttu&amp;g_ep=EgoyMDI2MDIwMS4wIKXMDSoASAFQAw%3D%3D" TargetMode="External"/><Relationship Id="rId1070" Type="http://schemas.openxmlformats.org/officeDocument/2006/relationships/hyperlink" Target="https://app.pdok.nl/viewer/" TargetMode="External"/><Relationship Id="rId1071" Type="http://schemas.openxmlformats.org/officeDocument/2006/relationships/hyperlink" Target="https://rijnland.maps.arcgis.com/apps/instant/interactivelegend/index.html?appid=7bc3198037d24d54a9743987ad0731d2" TargetMode="External"/><Relationship Id="rId1072" Type="http://schemas.openxmlformats.org/officeDocument/2006/relationships/hyperlink" Target="https://www.klicviewer.nl/klic-viewer/uitlevering/532f70c2-6d9b-4e2b-94ee-789c248cad91" TargetMode="External"/><Relationship Id="rId242" Type="http://schemas.openxmlformats.org/officeDocument/2006/relationships/hyperlink" Target="https://www.klicviewer.nl/klic-viewer/uitlevering/9020be69-926c-431b-8652-709b720ce389" TargetMode="External"/><Relationship Id="rId1073" Type="http://schemas.openxmlformats.org/officeDocument/2006/relationships/hyperlink" Target="https://www.google.com/maps/place/Rijnstraat+130,+2223+EB+Katwijk+aan+Zee/@52.197504,4.4224814,410m/data=!3m1!1e3!4m6!3m5!1s0x47c5c0ab93ee0c21:0xa6440f3dd5dbf0b6!8m2!3d52.1971947!4d4.4229991!16s%2Fg%2F11c4jjrx2x?entry=ttu&amp;g_ep=EgoyMDI1MTAyMi4wIKXMDSoASAFQAw%3D%3D" TargetMode="External"/><Relationship Id="rId241" Type="http://schemas.openxmlformats.org/officeDocument/2006/relationships/hyperlink" Target="https://maps.waternet.nl/portal/apps/experiencebuilder/experience/?id=36500ca8332b489182bf9ab83427cbc1" TargetMode="External"/><Relationship Id="rId1074" Type="http://schemas.openxmlformats.org/officeDocument/2006/relationships/hyperlink" Target="https://app.pdok.nl/viewer/" TargetMode="External"/><Relationship Id="rId240" Type="http://schemas.openxmlformats.org/officeDocument/2006/relationships/hyperlink" Target="https://app.pdok.nl/viewer/" TargetMode="External"/><Relationship Id="rId1075" Type="http://schemas.openxmlformats.org/officeDocument/2006/relationships/hyperlink" Target="https://rijnland.maps.arcgis.com/apps/instant/interactivelegend/index.html?appid=7bc3198037d24d54a9743987ad0731d2" TargetMode="External"/><Relationship Id="rId1076" Type="http://schemas.openxmlformats.org/officeDocument/2006/relationships/hyperlink" Target="https://www.klicviewer.nl/klic-viewer/uitlevering/291b6c55-46f2-450f-a085-c9384efbab68" TargetMode="External"/><Relationship Id="rId246" Type="http://schemas.openxmlformats.org/officeDocument/2006/relationships/hyperlink" Target="https://www.klicviewer.nl/klic-viewer/uitlevering/61df2994-6f1e-4e2d-8bed-3d4d471ec31b" TargetMode="External"/><Relationship Id="rId1077" Type="http://schemas.openxmlformats.org/officeDocument/2006/relationships/hyperlink" Target="https://www.google.com/maps/place/Nieuweweg+6,+6744+PM+Ederveen/@52.0606886,5.5776619,122m/data=!3m1!1e3!4m14!1m7!3m6!1s0x47c64d87fb8a271f:0x5b612c9d2a56ca59!2sR.P.+Bos+Ederveen+B.V.!8m2!3d52.0590781!4d5.5947958!16s%2Fg%2F1tdkfvs5!3m5!1s0x47c64df5746dce3d:0x79d106cf5b206092!8m2!3d52.0605293!4d5.5783718!16s%2Fg%2F11c24h8ljz?entry=ttu&amp;g_ep=EgoyMDI1MTAyMi4wIKXMDSoASAFQAw%3D%3D" TargetMode="External"/><Relationship Id="rId245" Type="http://schemas.openxmlformats.org/officeDocument/2006/relationships/hyperlink" Target="https://experience.arcgis.com/experience/ff9e6ee747524d3cbce7712338ad0e89/page/Pagina-1" TargetMode="External"/><Relationship Id="rId1078" Type="http://schemas.openxmlformats.org/officeDocument/2006/relationships/hyperlink" Target="https://app.pdok.nl/viewer/" TargetMode="External"/><Relationship Id="rId244" Type="http://schemas.openxmlformats.org/officeDocument/2006/relationships/hyperlink" Target="https://app.pdok.nl/viewer/" TargetMode="External"/><Relationship Id="rId1079" Type="http://schemas.openxmlformats.org/officeDocument/2006/relationships/hyperlink" Target="https://open-geodata-portaal-valleienveluwe.hub.arcgis.com/apps/e75d12ac1ccb47daa53c1b53916be4e9/explore" TargetMode="External"/><Relationship Id="rId243" Type="http://schemas.openxmlformats.org/officeDocument/2006/relationships/hyperlink" Target="https://www.google.com/maps/place/Keukendepot+Huissen/@51.9247578,5.9307764,245m/data=!3m1!1e3!4m15!1m8!3m7!1s0x47c7a6dcc1032c43:0xab91ec63cafa6b1b!2sKarstraat+34A,+6851+DK+Huissen!3b1!8m2!3d51.9242085!4d5.9310103!16s%2Fg%2F11c1b2d6vg!3m5!1s0x47c7a71fea8b0b9f:0xa22b4a5785596b90!8m2!3d51.924804!4d5.932223!16s%2Fg%2F1tdcl5sy?entry=ttu&amp;g_ep=EgoyMDI2MDIwMS4wIKXMDSoASAFQAw%3D%3D" TargetMode="External"/><Relationship Id="rId239" Type="http://schemas.openxmlformats.org/officeDocument/2006/relationships/hyperlink" Target="https://www.google.com/maps/place/Repaircafe/@52.3862555,4.8443304,172m/data=!3m1!1e3!4m15!1m8!3m7!1s0x47c5e25e62876fbf:0xbcb7ab9fb20ed014!2sArlandaweg+100,+1043+HP+Amsterdam!3b1!8m2!3d52.3856858!4d4.8413893!16s%2Fg%2F11c3q41ph0!3m5!1s0x47c5e37f6d47ff37:0xd572a42b416e4703!8m2!3d52.386293!4d4.8455448!16s%2Fg%2F11sbnkn6k3?entry=ttu&amp;g_ep=EgoyMDI2MDIwMS4wIKXMDSoASAFQAw%3D%3D" TargetMode="External"/><Relationship Id="rId238" Type="http://schemas.openxmlformats.org/officeDocument/2006/relationships/hyperlink" Target="https://www.klicviewer.nl/klic-viewer/uitlevering/03012aa4-3093-4bd5-bb21-e57a8124b766" TargetMode="External"/><Relationship Id="rId237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236" Type="http://schemas.openxmlformats.org/officeDocument/2006/relationships/hyperlink" Target="https://maps.waternet.nl/portal/apps/experiencebuilder/experience/?id=36500ca8332b489182bf9ab83427cbc1" TargetMode="External"/><Relationship Id="rId1060" Type="http://schemas.openxmlformats.org/officeDocument/2006/relationships/hyperlink" Target="https://www.klicviewer.nl/klic-viewer/uitlevering/aee8a1e1-b697-43af-8a7e-6040822b119d" TargetMode="External"/><Relationship Id="rId1061" Type="http://schemas.openxmlformats.org/officeDocument/2006/relationships/hyperlink" Target="https://maps.app.goo.gl/NqJbBqC49bDS8S2cA" TargetMode="External"/><Relationship Id="rId231" Type="http://schemas.openxmlformats.org/officeDocument/2006/relationships/hyperlink" Target="https://app.pdok.nl/viewer/" TargetMode="External"/><Relationship Id="rId1062" Type="http://schemas.openxmlformats.org/officeDocument/2006/relationships/hyperlink" Target="https://app.pdok.nl/viewer/" TargetMode="External"/><Relationship Id="rId230" Type="http://schemas.openxmlformats.org/officeDocument/2006/relationships/hyperlink" Target="https://www.google.com/maps/place/Vanderlande/@52.4266636,4.8028044,686m/data=!3m1!1e3!4m14!1m7!3m6!1s0x47c5e33152ed110f:0x2ca6391612bcfae9!2sAlbert+Heijn+Distribution+Center!8m2!3d52.4279723!4d4.8066617!16s%2Fg%2F1hhhtpfvw!3m5!1s0x47c5e336ce47a0f1:0xa0bf011b1b86fa96!8m2!3d52.4271719!4d4.8049542!16s%2Fg%2F11fmqbtnp1?entry=ttu&amp;g_ep=EgoyMDI2MDIwMS4wIKXMDSoASAFQAw%3D%3D" TargetMode="External"/><Relationship Id="rId1063" Type="http://schemas.openxmlformats.org/officeDocument/2006/relationships/hyperlink" Target="https://kaarten.hhnk.nl/portal/apps/webappviewer/index.html?id=d2de3caed0ba442290991e1f5b404e1a" TargetMode="External"/><Relationship Id="rId1064" Type="http://schemas.openxmlformats.org/officeDocument/2006/relationships/hyperlink" Target="https://www.klicviewer.nl/klic-viewer/uitlevering/7dc83fd3-3c0a-4cc4-bf19-15e9a23d4a45" TargetMode="External"/><Relationship Id="rId1065" Type="http://schemas.openxmlformats.org/officeDocument/2006/relationships/hyperlink" Target="https://maps.app.goo.gl/NqJbBqC49bDS8S2cA" TargetMode="External"/><Relationship Id="rId235" Type="http://schemas.openxmlformats.org/officeDocument/2006/relationships/hyperlink" Target="https://app.pdok.nl/viewer/" TargetMode="External"/><Relationship Id="rId1066" Type="http://schemas.openxmlformats.org/officeDocument/2006/relationships/hyperlink" Target="https://app.pdok.nl/viewer/" TargetMode="External"/><Relationship Id="rId234" Type="http://schemas.openxmlformats.org/officeDocument/2006/relationships/hyperlink" Target="https://www.google.com/maps/place/Osdorperweg+640,+1067+SZ+Amsterdam/@52.3698442,4.7797659,204m/data=!3m1!1e3!4m6!3m5!1s0x47c5e3ece5d7ae27:0xeefe22d74e1b2b41!8m2!3d52.3697374!4d4.7796415!16s%2Fg%2F11csdnp1kq?entry=ttu&amp;g_ep=EgoyMDI2MDIwMy4wIKXMDSoASAFQAw%3D%3D" TargetMode="External"/><Relationship Id="rId1067" Type="http://schemas.openxmlformats.org/officeDocument/2006/relationships/hyperlink" Target="https://kaarten.hhnk.nl/portal/apps/webappviewer/index.html?id=d2de3caed0ba442290991e1f5b404e1a" TargetMode="External"/><Relationship Id="rId233" Type="http://schemas.openxmlformats.org/officeDocument/2006/relationships/hyperlink" Target="https://www.klicviewer.nl/klic-viewer/uitlevering/8f99abbb-0a8a-48f8-ad1d-743bac33a619" TargetMode="External"/><Relationship Id="rId1068" Type="http://schemas.openxmlformats.org/officeDocument/2006/relationships/hyperlink" Target="https://www.klicviewer.nl/klic-viewer/uitlevering/bd1f0d4d-d088-4e4b-b71b-cbd6fdd1c090" TargetMode="External"/><Relationship Id="rId232" Type="http://schemas.openxmlformats.org/officeDocument/2006/relationships/hyperlink" Target="https://kaarten.hhnk.nl/portal/apps/webappviewer/index.html?id=d2de3caed0ba442290991e1f5b404e1a" TargetMode="External"/><Relationship Id="rId1069" Type="http://schemas.openxmlformats.org/officeDocument/2006/relationships/hyperlink" Target="https://www.google.com/maps/place/Hoofdstraat+49,+2235+CC+Valkenburg/@52.1786254,4.4354547,103m/data=!3m1!1e3!4m6!3m5!1s0x47c5c746eb45d3df:0x786864dcaed780e2!8m2!3d52.1786541!4d4.4360042!16s%2Fg%2F11cs8l113f?entry=ttu&amp;g_ep=EgoyMDI1MTAyMi4wIKXMDSoASAFQAw%3D%3D" TargetMode="External"/><Relationship Id="rId1015" Type="http://schemas.openxmlformats.org/officeDocument/2006/relationships/hyperlink" Target="https://app.pdok.nl/viewer/" TargetMode="External"/><Relationship Id="rId1499" Type="http://schemas.openxmlformats.org/officeDocument/2006/relationships/hyperlink" Target="https://www.google.com/maps/place/Nieuwe+Steen+3,+1625+HV+Hoorn/@52.6571063,5.0630229,287m/data=!3m1!1e3!4m6!3m5!1s0x47c8a9165f0a2b05:0x561c498fbb16f69e!8m2!3d52.6564822!4d5.062367!16s%2Fg%2F11bw3y9t68?entry=ttu&amp;g_ep=EgoyMDI1MTAwNi4wIKXMDSoASAFQAw%3D%3D" TargetMode="External"/><Relationship Id="rId1016" Type="http://schemas.openxmlformats.org/officeDocument/2006/relationships/hyperlink" Target="https://rijnland.maps.arcgis.com/apps/instant/sidebar/index.html?appid=2b214417eea74ae9a56119c251ffa960" TargetMode="External"/><Relationship Id="rId1017" Type="http://schemas.openxmlformats.org/officeDocument/2006/relationships/hyperlink" Target="https://www.rijnland.net/zakelijk/legger/legger-oppervlaktewateren/" TargetMode="External"/><Relationship Id="rId1018" Type="http://schemas.openxmlformats.org/officeDocument/2006/relationships/hyperlink" Target="https://www.rijnland.net/over-rijnland/wat-doet-rijnland/voldoende-water/peilbesluiten/" TargetMode="External"/><Relationship Id="rId1019" Type="http://schemas.openxmlformats.org/officeDocument/2006/relationships/hyperlink" Target="https://www.klicviewer.nl/klic-viewer/uitlevering/386dbbf8-bf24-4acf-9067-134ae55bf3e2" TargetMode="External"/><Relationship Id="rId668" Type="http://schemas.openxmlformats.org/officeDocument/2006/relationships/hyperlink" Target="https://wrij.maps.arcgis.com/apps/instant/sidebar/index.html?appid=51e2324fc55148c795406bb1aa8c6579" TargetMode="External"/><Relationship Id="rId667" Type="http://schemas.openxmlformats.org/officeDocument/2006/relationships/hyperlink" Target="https://app.pdok.nl/viewer/" TargetMode="External"/><Relationship Id="rId666" Type="http://schemas.openxmlformats.org/officeDocument/2006/relationships/hyperlink" Target="https://maps.app.goo.gl/nFfNPGoTuuwRD8cVA" TargetMode="External"/><Relationship Id="rId665" Type="http://schemas.openxmlformats.org/officeDocument/2006/relationships/hyperlink" Target="https://www.klicviewer.nl/klic-viewer/uitlevering/241024f9-abe8-4d02-a127-15937a420660" TargetMode="External"/><Relationship Id="rId669" Type="http://schemas.openxmlformats.org/officeDocument/2006/relationships/hyperlink" Target="https://www.klicviewer.nl/klic-viewer/uitlevering/ea25c938-937b-4eb4-ab24-0c2beb217db1" TargetMode="External"/><Relationship Id="rId1490" Type="http://schemas.openxmlformats.org/officeDocument/2006/relationships/hyperlink" Target="https://app.pdok.nl/viewer/" TargetMode="External"/><Relationship Id="rId660" Type="http://schemas.openxmlformats.org/officeDocument/2006/relationships/hyperlink" Target="https://gis.wetterskipfryslan.nl/portal/apps/experiencebuilder/experience/?id=a0e444b2c8874407bc63d3f81d61367c" TargetMode="External"/><Relationship Id="rId1491" Type="http://schemas.openxmlformats.org/officeDocument/2006/relationships/hyperlink" Target="https://rijnland.maps.arcgis.com/apps/instant/interactivelegend/index.html?appid=7bc3198037d24d54a9743987ad0731d2" TargetMode="External"/><Relationship Id="rId1492" Type="http://schemas.openxmlformats.org/officeDocument/2006/relationships/hyperlink" Target="https://rijnland.maps.arcgis.com/apps/instant/interactivelegend/index.html?appid=ac183c60750a435db95b1705d25b3121" TargetMode="External"/><Relationship Id="rId1493" Type="http://schemas.openxmlformats.org/officeDocument/2006/relationships/hyperlink" Target="https://rijnland.maps.arcgis.com/apps/instant/sidebar/index.html?appid=5469a9663c5e4643b10efe6da9a15ae2" TargetMode="External"/><Relationship Id="rId1010" Type="http://schemas.openxmlformats.org/officeDocument/2006/relationships/hyperlink" Target="https://maps.app.goo.gl/LqKtEoL6LnvnbULp8" TargetMode="External"/><Relationship Id="rId1494" Type="http://schemas.openxmlformats.org/officeDocument/2006/relationships/hyperlink" Target="https://www.klicviewer.nl/klic-viewer/uitlevering/e38586b2-2225-4537-834b-fecc1727583e" TargetMode="External"/><Relationship Id="rId664" Type="http://schemas.openxmlformats.org/officeDocument/2006/relationships/hyperlink" Target="https://experience.arcgis.com/experience/9269f566d1f04b38ad9712b9b9bf34fd" TargetMode="External"/><Relationship Id="rId1011" Type="http://schemas.openxmlformats.org/officeDocument/2006/relationships/hyperlink" Target="https://app.pdok.nl/viewer/" TargetMode="External"/><Relationship Id="rId1495" Type="http://schemas.openxmlformats.org/officeDocument/2006/relationships/hyperlink" Target="https://www.google.com/maps/place/Westerse+Dijk+1,+8508+RJ+Delfstrahuizen/@52.8887062,5.8493969,165m/data=!3m1!1e3!4m6!3m5!1s0x47c8601059138df7:0x342a5ef3bc0c2156!8m2!3d52.8888561!4d5.8499146!16s%2Fg%2F11q2nd41lc?entry=ttu&amp;g_ep=EgoyMDI1MTAwNi4wIKXMDSoASAFQAw%3D%3D" TargetMode="External"/><Relationship Id="rId663" Type="http://schemas.openxmlformats.org/officeDocument/2006/relationships/hyperlink" Target="https://app.pdok.nl/viewer/" TargetMode="External"/><Relationship Id="rId1012" Type="http://schemas.openxmlformats.org/officeDocument/2006/relationships/hyperlink" Target="https://experience.arcgis.com/experience/a316920536d94e7a90d5fb5edfe48134/page/Waterkeringen" TargetMode="External"/><Relationship Id="rId1496" Type="http://schemas.openxmlformats.org/officeDocument/2006/relationships/hyperlink" Target="https://app.pdok.nl/viewer/" TargetMode="External"/><Relationship Id="rId662" Type="http://schemas.openxmlformats.org/officeDocument/2006/relationships/hyperlink" Target="https://www.google.com/maps/place/Rust+op+de+Sallandse+Heuvelrug/@52.3305476,6.3479056,205m/data=!3m1!1e3!4m15!1m8!3m7!1s0x47c7efc55f0123c7:0x785d4b61cf237aac!2sVagevuursweg+2,+7448+PE+Haarle!3b1!8m2!3d52.3294764!4d6.3517508!16s%2Fg%2F11c4z4ny9y!3m5!1s0x47c7efa16c339485:0xad8192cd772cdfb5!8m2!3d52.3303198!4d6.3484588!16s%2Fg%2F11rg799b0q?entry=ttu&amp;g_ep=EgoyMDI1MTEzMC4wIKXMDSoASAFQAw%3D%3D" TargetMode="External"/><Relationship Id="rId1013" Type="http://schemas.openxmlformats.org/officeDocument/2006/relationships/hyperlink" Target="https://www.klicviewer.nl/klic-viewer/uitlevering/cd03ac4b-7b6a-4923-8a1a-45916938b2bd" TargetMode="External"/><Relationship Id="rId1497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661" Type="http://schemas.openxmlformats.org/officeDocument/2006/relationships/hyperlink" Target="https://www.klicviewer.nl/klic-viewer/uitlevering/502cdf47-3d7b-467e-8692-7804d5a4d186" TargetMode="External"/><Relationship Id="rId1014" Type="http://schemas.openxmlformats.org/officeDocument/2006/relationships/hyperlink" Target="https://maps.app.goo.gl/Gzzgagcy1Ciypuiz6" TargetMode="External"/><Relationship Id="rId1498" Type="http://schemas.openxmlformats.org/officeDocument/2006/relationships/hyperlink" Target="https://www.klicviewer.nl/klic-viewer/uitlevering/f8831eeb-0ff7-47d4-81eb-e8f7943d0242" TargetMode="External"/><Relationship Id="rId1004" Type="http://schemas.openxmlformats.org/officeDocument/2006/relationships/hyperlink" Target="https://maps.waternet.nl/portal/apps/experiencebuilder/experience/?id=36500ca8332b489182bf9ab83427cbc1" TargetMode="External"/><Relationship Id="rId1488" Type="http://schemas.openxmlformats.org/officeDocument/2006/relationships/hyperlink" Target="https://www.klicviewer.nl/klic-viewer/uitlevering/8d545e03-5b7d-44eb-9c9b-327d8c18e0ea" TargetMode="External"/><Relationship Id="rId1005" Type="http://schemas.openxmlformats.org/officeDocument/2006/relationships/hyperlink" Target="https://www.klicviewer.nl/klic-viewer/uitlevering/928bd662-55d4-4885-b7c6-4078cfc3d8f4" TargetMode="External"/><Relationship Id="rId1489" Type="http://schemas.openxmlformats.org/officeDocument/2006/relationships/hyperlink" Target="https://www.google.com/maps/place/De+Boender+14,+2204+AG+Noordwijk/@52.2898676,4.5038761,205m/data=!3m1!1e3!4m6!3m5!1s0x47c5ea6e9c8425ab:0x8aa4ccc74f42236d!8m2!3d52.2897375!4d4.5043505!16s%2Fg%2F11cnd85lk_?entry=ttu&amp;g_ep=EgoyMDI1MTAwNi4wIKXMDSoASAFQAw%3D%3D" TargetMode="External"/><Relationship Id="rId1006" Type="http://schemas.openxmlformats.org/officeDocument/2006/relationships/hyperlink" Target="https://www.google.com/maps/place/Aalsmeerderweg+196,+1432+CV+Aalsmeer/@52.2771609,4.787635,122m/data=!3m1!1e3!4m6!3m5!1s0x47c5e08fbadaee63:0xe8d9f4633d4f1cea!8m2!3d52.2769382!4d4.7884951!16s%2Fg%2F11vc38ct__?entry=ttu&amp;g_ep=EgoyMDI1MTExMi4wIKXMDSoASAFQAw%3D%3D" TargetMode="External"/><Relationship Id="rId1007" Type="http://schemas.openxmlformats.org/officeDocument/2006/relationships/hyperlink" Target="https://app.pdok.nl/viewer/" TargetMode="External"/><Relationship Id="rId1008" Type="http://schemas.openxmlformats.org/officeDocument/2006/relationships/hyperlink" Target="https://rijnland.maps.arcgis.com/apps/instant/sidebar/index.html?appid=2b214417eea74ae9a56119c251ffa960" TargetMode="External"/><Relationship Id="rId1009" Type="http://schemas.openxmlformats.org/officeDocument/2006/relationships/hyperlink" Target="https://www.klicviewer.nl/klic-viewer/uitlevering/98f25f71-4ac7-4672-88aa-9ef463d7e876" TargetMode="External"/><Relationship Id="rId657" Type="http://schemas.openxmlformats.org/officeDocument/2006/relationships/hyperlink" Target="https://maps.app.goo.gl/TA95Gw6dCBzwrLky8" TargetMode="External"/><Relationship Id="rId656" Type="http://schemas.openxmlformats.org/officeDocument/2006/relationships/hyperlink" Target="https://www.klicviewer.nl/klic-viewer/uitlevering/14f59bd9-3be3-4ff2-b9d4-d8f942360e48" TargetMode="External"/><Relationship Id="rId655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654" Type="http://schemas.openxmlformats.org/officeDocument/2006/relationships/hyperlink" Target="https://app.pdok.nl/viewer/" TargetMode="External"/><Relationship Id="rId659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658" Type="http://schemas.openxmlformats.org/officeDocument/2006/relationships/hyperlink" Target="https://app.pdok.nl/viewer/" TargetMode="External"/><Relationship Id="rId1480" Type="http://schemas.openxmlformats.org/officeDocument/2006/relationships/hyperlink" Target="https://www.klicviewer.nl/klic-viewer/uitlevering/3993cc8c-eccb-4fa9-ace2-dfa9356f982a" TargetMode="External"/><Relationship Id="rId1481" Type="http://schemas.openxmlformats.org/officeDocument/2006/relationships/hyperlink" Target="https://www.google.com/maps/place/Lutten+Oever+2A,+7707+PS+Balkbrug/@52.636618,6.3493601,242m/data=!3m1!1e3!4m15!1m8!3m7!1s0x47c80eeaeb50a3f5:0xdfcac15cf18d2134!2sLutten+Oever+1,+7707+PS+Balkbrug!3b1!8m2!3d52.6408253!4d6.3586435!16s%2Fg%2F11l5d225w_!3m5!1s0x47c80ebeec899beb:0xcb30170f19d19790!8m2!3d52.6362447!4d6.3505097!16s%2Fg%2F11csf1p5tn?entry=ttu&amp;g_ep=EgoyMDI1MTAwNi4wIKXMDSoASAFQAw%3D%3D" TargetMode="External"/><Relationship Id="rId1482" Type="http://schemas.openxmlformats.org/officeDocument/2006/relationships/hyperlink" Target="https://app.pdok.nl/viewer/" TargetMode="External"/><Relationship Id="rId1483" Type="http://schemas.openxmlformats.org/officeDocument/2006/relationships/hyperlink" Target="https://experience.arcgis.com/experience/9269f566d1f04b38ad9712b9b9bf34fd" TargetMode="External"/><Relationship Id="rId653" Type="http://schemas.openxmlformats.org/officeDocument/2006/relationships/hyperlink" Target="https://maps.app.goo.gl/TA95Gw6dCBzwrLky8" TargetMode="External"/><Relationship Id="rId1000" Type="http://schemas.openxmlformats.org/officeDocument/2006/relationships/hyperlink" Target="https://rijnland.maps.arcgis.com/apps/instant/sidebar/index.html?appid=2b214417eea74ae9a56119c251ffa960" TargetMode="External"/><Relationship Id="rId1484" Type="http://schemas.openxmlformats.org/officeDocument/2006/relationships/hyperlink" Target="https://www.klicviewer.nl/klic-viewer/uitlevering/a24f7253-2f32-4e9c-9ee7-763ce473d4b5" TargetMode="External"/><Relationship Id="rId652" Type="http://schemas.openxmlformats.org/officeDocument/2006/relationships/hyperlink" Target="https://www.klicviewer.nl/klic-viewer/uitlevering/70c4fb23-a823-4c56-9367-a15dd6b5f0bc" TargetMode="External"/><Relationship Id="rId1001" Type="http://schemas.openxmlformats.org/officeDocument/2006/relationships/hyperlink" Target="https://www.klicviewer.nl/klic-viewer/uitlevering/a748aa0a-e9d6-425e-9569-b52af8fd5ae6" TargetMode="External"/><Relationship Id="rId1485" Type="http://schemas.openxmlformats.org/officeDocument/2006/relationships/hyperlink" Target="https://www.google.com/maps/place/Melkveehouderij+Wieten/@52.6393194,6.3412119,575m/data=!3m1!1e3!4m15!1m8!3m7!1s0x47c80eeaeb50a3f5:0xdfcac15cf18d2134!2sLutten+Oever+1,+7707+PS+Balkbrug!3b1!8m2!3d52.6408253!4d6.3586435!16s%2Fg%2F11l5d225w_!3m5!1s0x47c80ebd47ef98d7:0x95c7c69626c36460!8m2!3d52.6389125!4d6.3432796!16s%2Fg%2F1trxcyrg?entry=ttu&amp;g_ep=EgoyMDI1MTAwNi4wIKXMDSoASAFQAw%3D%3D" TargetMode="External"/><Relationship Id="rId651" Type="http://schemas.openxmlformats.org/officeDocument/2006/relationships/hyperlink" Target="https://noorderzijlvest.maps.arcgis.com/apps/mapviewer/index.html?webmap=1576324c8de14bf180c17743e24584cc" TargetMode="External"/><Relationship Id="rId1002" Type="http://schemas.openxmlformats.org/officeDocument/2006/relationships/hyperlink" Target="https://maps.app.goo.gl/VsBP85bAfLaKpMpo6" TargetMode="External"/><Relationship Id="rId1486" Type="http://schemas.openxmlformats.org/officeDocument/2006/relationships/hyperlink" Target="https://app.pdok.nl/viewer/" TargetMode="External"/><Relationship Id="rId650" Type="http://schemas.openxmlformats.org/officeDocument/2006/relationships/hyperlink" Target="https://noorderzijlvest.maps.arcgis.com/apps/mapviewer/index.html?webmap=1576324c8de14bf180c17743e24584cc" TargetMode="External"/><Relationship Id="rId1003" Type="http://schemas.openxmlformats.org/officeDocument/2006/relationships/hyperlink" Target="https://app.pdok.nl/viewer/" TargetMode="External"/><Relationship Id="rId1487" Type="http://schemas.openxmlformats.org/officeDocument/2006/relationships/hyperlink" Target="https://experience.arcgis.com/experience/9269f566d1f04b38ad9712b9b9bf34fd" TargetMode="External"/><Relationship Id="rId1037" Type="http://schemas.openxmlformats.org/officeDocument/2006/relationships/hyperlink" Target="https://maps.app.goo.gl/7iHbi8z75wfWRjTq6" TargetMode="External"/><Relationship Id="rId1038" Type="http://schemas.openxmlformats.org/officeDocument/2006/relationships/hyperlink" Target="https://app.pdok.nl/viewer/" TargetMode="External"/><Relationship Id="rId1039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206" Type="http://schemas.openxmlformats.org/officeDocument/2006/relationships/hyperlink" Target="https://www.klicviewer.nl/klic-viewer/uitlevering/b4cce62f-995d-4f65-8539-921491264dd2" TargetMode="External"/><Relationship Id="rId205" Type="http://schemas.openxmlformats.org/officeDocument/2006/relationships/hyperlink" Target="https://vechtstromen.maps.arcgis.com/apps/webappviewer/index.html?id=157236e98867443696757e2091ebc25a" TargetMode="External"/><Relationship Id="rId689" Type="http://schemas.openxmlformats.org/officeDocument/2006/relationships/hyperlink" Target="https://opendata.hunzeenaas.nl/opendataportaal/srv/dut/catalog.search" TargetMode="External"/><Relationship Id="rId204" Type="http://schemas.openxmlformats.org/officeDocument/2006/relationships/hyperlink" Target="https://app.pdok.nl/viewer/" TargetMode="External"/><Relationship Id="rId688" Type="http://schemas.openxmlformats.org/officeDocument/2006/relationships/hyperlink" Target="https://app.pdok.nl/viewer/" TargetMode="External"/><Relationship Id="rId203" Type="http://schemas.openxmlformats.org/officeDocument/2006/relationships/hyperlink" Target="https://www.google.com/maps/place/Kerkstraat+54,+7442+EE+Nijverdal/@52.361161,6.4717883,19.5z/data=!4m6!3m5!1s0x47c7fbffe850acf5:0x3648655fea0d22cc!8m2!3d52.3610685!4d6.4727446!16s%2Fg%2F11ty0bsj8g?entry=ttu&amp;g_ep=EgoyMDI2MDIwOC4wIKXMDSoASAFQAw%3D%3D" TargetMode="External"/><Relationship Id="rId687" Type="http://schemas.openxmlformats.org/officeDocument/2006/relationships/hyperlink" Target="https://www.google.com/maps/place/Zuidlaarderweg+55,+9479+TH+Noordlaren/@53.1266137,6.6518952,492m/data=!3m1!1e3!4m15!1m8!3m7!1s0x47c82c1b6ece1aa5:0xe9b3b02f02ba726!2sZuidlaarderweg!3b1!8m2!3d53.1269331!4d6.6537619!16s%2Fg%2F1tlvns2_!3m5!1s0x47c82c04de494847:0x59e6faf48f76c3e6!8m2!3d53.1264684!4d6.6539925!16s%2Fg%2F11vkgrpfrd?entry=ttu&amp;g_ep=EgoyMDI1MTEyMy4xIKXMDSoASAFQAw%3D%3D" TargetMode="External"/><Relationship Id="rId209" Type="http://schemas.openxmlformats.org/officeDocument/2006/relationships/hyperlink" Target="https://experience.arcgis.com/experience/f3a714b052e04bb8afe63840ba9b7243/" TargetMode="External"/><Relationship Id="rId208" Type="http://schemas.openxmlformats.org/officeDocument/2006/relationships/hyperlink" Target="https://app.pdok.nl/viewer/" TargetMode="External"/><Relationship Id="rId207" Type="http://schemas.openxmlformats.org/officeDocument/2006/relationships/hyperlink" Target="https://www.google.com/maps/place/Grote+Markt+2,+1315+JG+Almere/@52.371969,5.2164546,172m/data=!3m2!1e3!4b1!4m6!3m5!1s0x47c616e05dcf258d:0x6aa3686ce3ca4c0a!8m2!3d52.371969!4d5.2170983!16s%2Fg%2F11rp39842n?entry=ttu&amp;g_ep=EgoyMDI2MDIwOC4wIKXMDSoASAFQAw%3D%3D" TargetMode="External"/><Relationship Id="rId682" Type="http://schemas.openxmlformats.org/officeDocument/2006/relationships/hyperlink" Target="https://rijnland.maps.arcgis.com/apps/instant/sidebar/index.html?appid=5469a9663c5e4643b10efe6da9a15ae2" TargetMode="External"/><Relationship Id="rId681" Type="http://schemas.openxmlformats.org/officeDocument/2006/relationships/hyperlink" Target="https://rijnland.maps.arcgis.com/apps/instant/sidebar/index.html?appid=f0fd839278474fe7841a12800fcc3e39" TargetMode="External"/><Relationship Id="rId1030" Type="http://schemas.openxmlformats.org/officeDocument/2006/relationships/hyperlink" Target="https://rijnland.maps.arcgis.com/apps/instant/sidebar/index.html?appid=2b214417eea74ae9a56119c251ffa960" TargetMode="External"/><Relationship Id="rId680" Type="http://schemas.openxmlformats.org/officeDocument/2006/relationships/hyperlink" Target="https://rijnland.maps.arcgis.com/apps/instant/sidebar/index.html?appid=2b214417eea74ae9a56119c251ffa960" TargetMode="External"/><Relationship Id="rId1031" Type="http://schemas.openxmlformats.org/officeDocument/2006/relationships/hyperlink" Target="https://www.klicviewer.nl/klic-viewer/uitlevering/8a3b400b-d4bb-42a2-895c-4b0c1227b3b2" TargetMode="External"/><Relationship Id="rId1032" Type="http://schemas.openxmlformats.org/officeDocument/2006/relationships/hyperlink" Target="https://www.google.com/maps/place/Deurningerstraat+27,+7561+RN+Deurningen/@52.3047586,6.8518407,145m/data=!3m1!1e3!4m6!3m5!1s0x47b810588d76630b:0x428b6907a77ecddd!8m2!3d52.304813!4d6.8520204!16s%2Fg%2F11c17n4xyy?entry=ttu&amp;g_ep=EgoyMDI1MTExMi4wIKXMDSoASAFQAw%3D%3D" TargetMode="External"/><Relationship Id="rId202" Type="http://schemas.openxmlformats.org/officeDocument/2006/relationships/hyperlink" Target="https://www.klicviewer.nl/klic-viewer/uitlevering/95b0499a-196e-4393-948a-1dcc907a78ee" TargetMode="External"/><Relationship Id="rId686" Type="http://schemas.openxmlformats.org/officeDocument/2006/relationships/hyperlink" Target="https://www.klicviewer.nl/klic-viewer/uitlevering/34004861-88d0-495c-91ed-e299d88c16df" TargetMode="External"/><Relationship Id="rId1033" Type="http://schemas.openxmlformats.org/officeDocument/2006/relationships/hyperlink" Target="https://app.pdok.nl/viewer/" TargetMode="External"/><Relationship Id="rId201" Type="http://schemas.openxmlformats.org/officeDocument/2006/relationships/hyperlink" Target="https://open-geodata-portaal-valleienveluwe.hub.arcgis.com/apps/e75d12ac1ccb47daa53c1b53916be4e9/explore" TargetMode="External"/><Relationship Id="rId685" Type="http://schemas.openxmlformats.org/officeDocument/2006/relationships/hyperlink" Target="https://opendata.hunzeenaas.nl/opendataportaal/srv/dut/catalog.search" TargetMode="External"/><Relationship Id="rId1034" Type="http://schemas.openxmlformats.org/officeDocument/2006/relationships/hyperlink" Target="https://vechtstromen.maps.arcgis.com/apps/webappviewer/index.html?id=157236e98867443696757e2091ebc25a" TargetMode="External"/><Relationship Id="rId200" Type="http://schemas.openxmlformats.org/officeDocument/2006/relationships/hyperlink" Target="https://open-geodata-portaal-valleienveluwe.hub.arcgis.com/" TargetMode="External"/><Relationship Id="rId684" Type="http://schemas.openxmlformats.org/officeDocument/2006/relationships/hyperlink" Target="https://app.pdok.nl/viewer/" TargetMode="External"/><Relationship Id="rId1035" Type="http://schemas.openxmlformats.org/officeDocument/2006/relationships/hyperlink" Target="https://maps.app.goo.gl/xdJEdTAR38jcuNqdA" TargetMode="External"/><Relationship Id="rId683" Type="http://schemas.openxmlformats.org/officeDocument/2006/relationships/hyperlink" Target="https://maps.app.goo.gl/zcAu95HTTWnRccBw5" TargetMode="External"/><Relationship Id="rId1036" Type="http://schemas.openxmlformats.org/officeDocument/2006/relationships/hyperlink" Target="https://www.klicviewer.nl/klic-viewer/uitlevering/b3948cde-fbad-44cb-b97b-36f338fc0d2c" TargetMode="External"/><Relationship Id="rId1026" Type="http://schemas.openxmlformats.org/officeDocument/2006/relationships/hyperlink" Target="https://maps.app.goo.gl/e1ZnBNa2ujpXmZw98" TargetMode="External"/><Relationship Id="rId1027" Type="http://schemas.openxmlformats.org/officeDocument/2006/relationships/hyperlink" Target="https://www.klicviewer.nl/klic-viewer/uitlevering/f9a12397-ff6f-4952-adad-60175cf5c481" TargetMode="External"/><Relationship Id="rId1028" Type="http://schemas.openxmlformats.org/officeDocument/2006/relationships/hyperlink" Target="https://www.google.com/maps/place/Driehuizerkerkweg+61,+1985+EK+Driehuis/@52.4487315,4.6379731,144m/data=!3m1!1e3!4m6!3m5!1s0x47c5f0239ebce471:0x9d9a16e14ff823c8!8m2!3d52.4488385!4d4.6379829!16s%2Fg%2F11bw40j5yl?entry=ttu&amp;g_ep=EgoyMDI1MTExMi4wIKXMDSoASAFQAw%3D%3D" TargetMode="External"/><Relationship Id="rId1029" Type="http://schemas.openxmlformats.org/officeDocument/2006/relationships/hyperlink" Target="https://app.pdok.nl/viewer/" TargetMode="External"/><Relationship Id="rId679" Type="http://schemas.openxmlformats.org/officeDocument/2006/relationships/hyperlink" Target="https://app.pdok.nl/viewer/" TargetMode="External"/><Relationship Id="rId678" Type="http://schemas.openxmlformats.org/officeDocument/2006/relationships/hyperlink" Target="https://maps.app.goo.gl/vsF8EG4GgMu9L3Cs9" TargetMode="External"/><Relationship Id="rId677" Type="http://schemas.openxmlformats.org/officeDocument/2006/relationships/hyperlink" Target="https://www.klicviewer.nl/klic-viewer/uitlevering/1987c1f1-b5b8-4a1e-b08d-6913e3db05f0" TargetMode="External"/><Relationship Id="rId676" Type="http://schemas.openxmlformats.org/officeDocument/2006/relationships/hyperlink" Target="https://wrij.maps.arcgis.com/apps/instant/sidebar/index.html?appid=51e2324fc55148c795406bb1aa8c6579" TargetMode="External"/><Relationship Id="rId671" Type="http://schemas.openxmlformats.org/officeDocument/2006/relationships/hyperlink" Target="https://app.pdok.nl/viewer/" TargetMode="External"/><Relationship Id="rId670" Type="http://schemas.openxmlformats.org/officeDocument/2006/relationships/hyperlink" Target="https://maps.app.goo.gl/nFfNPGoTuuwRD8cVA" TargetMode="External"/><Relationship Id="rId1020" Type="http://schemas.openxmlformats.org/officeDocument/2006/relationships/hyperlink" Target="https://www.google.com/maps/place/Aalsmeerderweg+360,+1432+EE+Aalsmeer/@52.2845617,4.8083221,290m/data=!3m1!1e3!4m6!3m5!1s0x47c5e06765247a69:0x944f057df4d98242!8m2!3d52.2843414!4d4.8095822!16s%2Fg%2F11csbvf342?entry=ttu&amp;g_ep=EgoyMDI1MTExMi4wIKXMDSoASAFQAw%3D%3D" TargetMode="External"/><Relationship Id="rId1021" Type="http://schemas.openxmlformats.org/officeDocument/2006/relationships/hyperlink" Target="https://app.pdok.nl/viewer/" TargetMode="External"/><Relationship Id="rId675" Type="http://schemas.openxmlformats.org/officeDocument/2006/relationships/hyperlink" Target="https://app.pdok.nl/viewer/" TargetMode="External"/><Relationship Id="rId1022" Type="http://schemas.openxmlformats.org/officeDocument/2006/relationships/hyperlink" Target="https://rijnland.maps.arcgis.com/apps/instant/sidebar/index.html?appid=2b214417eea74ae9a56119c251ffa960" TargetMode="External"/><Relationship Id="rId674" Type="http://schemas.openxmlformats.org/officeDocument/2006/relationships/hyperlink" Target="https://www.google.com/maps/place/Letlandsestraat+8,+7202+CR+Zutphen/@52.1595378,6.1894493,290m/data=!3m1!1e3!4m6!3m5!1s0x47c794f4e697ab35:0x2df102569c8f2749!8m2!3d52.1596408!4d6.1905031!16s%2Fg%2F11l5cmdzpv?entry=ttu&amp;g_ep=EgoyMDI1MTEzMC4wIKXMDSoASAFQAw%3D%3D" TargetMode="External"/><Relationship Id="rId1023" Type="http://schemas.openxmlformats.org/officeDocument/2006/relationships/hyperlink" Target="https://rijnland.maps.arcgis.com/apps/instant/sidebar/index.html?appid=f0fd839278474fe7841a12800fcc3e39" TargetMode="External"/><Relationship Id="rId673" Type="http://schemas.openxmlformats.org/officeDocument/2006/relationships/hyperlink" Target="https://www.klicviewer.nl/klic-viewer/uitlevering/1eca8bf5-259d-431f-a931-7908fe43a950" TargetMode="External"/><Relationship Id="rId1024" Type="http://schemas.openxmlformats.org/officeDocument/2006/relationships/hyperlink" Target="https://www.rijnland.net/over-rijnland/wat-doet-rijnland/voldoende-water/peilbesluiten/" TargetMode="External"/><Relationship Id="rId672" Type="http://schemas.openxmlformats.org/officeDocument/2006/relationships/hyperlink" Target="https://wrij.maps.arcgis.com/apps/instant/sidebar/index.html?appid=51e2324fc55148c795406bb1aa8c6579" TargetMode="External"/><Relationship Id="rId1025" Type="http://schemas.openxmlformats.org/officeDocument/2006/relationships/hyperlink" Target="https://www.klicviewer.nl/klic-viewer/uitlevering/804c169e-a7ed-48f6-abdf-e746dc5ce162" TargetMode="External"/><Relationship Id="rId190" Type="http://schemas.openxmlformats.org/officeDocument/2006/relationships/hyperlink" Target="https://app.pdok.nl/viewer/" TargetMode="External"/><Relationship Id="rId194" Type="http://schemas.openxmlformats.org/officeDocument/2006/relationships/hyperlink" Target="https://app.pdok.nl/viewer/" TargetMode="External"/><Relationship Id="rId193" Type="http://schemas.openxmlformats.org/officeDocument/2006/relationships/hyperlink" Target="https://www.google.com/maps/place/Harderwijkerweg+201,+3852+AC+Ermelo/@52.3244306,5.6209593,205m/data=!3m1!1e3!4m6!3m5!1s0x47c633e559ce5469:0x7a1c6aeec4744b09!8m2!3d52.3244024!4d5.6211536!16s%2Fg%2F11b8v63288?entry=ttu&amp;g_ep=EgoyMDI2MDIxMS4wIKXMDSoASAFQAw%3D%3D" TargetMode="External"/><Relationship Id="rId192" Type="http://schemas.openxmlformats.org/officeDocument/2006/relationships/hyperlink" Target="https://www.klicviewer.nl/klic-viewer/uitlevering/a77b7d6f-a038-4b93-bfa6-da1c3bd4f10d" TargetMode="External"/><Relationship Id="rId191" Type="http://schemas.openxmlformats.org/officeDocument/2006/relationships/hyperlink" Target="https://experience.arcgis.com/experience/ff9e6ee747524d3cbce7712338ad0e89/page/Pagina-1" TargetMode="External"/><Relationship Id="rId187" Type="http://schemas.openxmlformats.org/officeDocument/2006/relationships/hyperlink" Target="https://app.pdok.nl/viewer/" TargetMode="External"/><Relationship Id="rId186" Type="http://schemas.openxmlformats.org/officeDocument/2006/relationships/hyperlink" Target="https://maps.app.goo.gl/KoZ7WMhLDNrfL1GU8" TargetMode="External"/><Relationship Id="rId185" Type="http://schemas.openxmlformats.org/officeDocument/2006/relationships/hyperlink" Target="https://www.klicviewer.nl/klic-viewer/uitlevering/823fca8b-01a6-41de-8be5-96995846a54d" TargetMode="External"/><Relationship Id="rId184" Type="http://schemas.openxmlformats.org/officeDocument/2006/relationships/hyperlink" Target="https://experience.arcgis.com/experience/e4162895d005481ba26c8530c09b7f62" TargetMode="External"/><Relationship Id="rId189" Type="http://schemas.openxmlformats.org/officeDocument/2006/relationships/hyperlink" Target="https://maps.app.goo.gl/V1rsCv1LCGZjAidn7" TargetMode="External"/><Relationship Id="rId188" Type="http://schemas.openxmlformats.org/officeDocument/2006/relationships/hyperlink" Target="https://experience.arcgis.com/experience/9269f566d1f04b38ad9712b9b9bf34fd" TargetMode="External"/><Relationship Id="rId183" Type="http://schemas.openxmlformats.org/officeDocument/2006/relationships/hyperlink" Target="https://experience.arcgis.com/experience/9373fa4978604e8f91eb234b64e1d79e/page/De-dijken/" TargetMode="External"/><Relationship Id="rId182" Type="http://schemas.openxmlformats.org/officeDocument/2006/relationships/hyperlink" Target="https://app.pdok.nl/viewer/" TargetMode="External"/><Relationship Id="rId181" Type="http://schemas.openxmlformats.org/officeDocument/2006/relationships/hyperlink" Target="https://maps.app.goo.gl/Yq98TJpZ7AJzpVSt7" TargetMode="External"/><Relationship Id="rId180" Type="http://schemas.openxmlformats.org/officeDocument/2006/relationships/hyperlink" Target="https://www.klicviewer.nl/klic-viewer/uitlevering/37e1689f-d5dc-47ad-b192-df6ecaf5e96e" TargetMode="External"/><Relationship Id="rId176" Type="http://schemas.openxmlformats.org/officeDocument/2006/relationships/hyperlink" Target="https://app.pdok.nl/viewer/" TargetMode="External"/><Relationship Id="rId175" Type="http://schemas.openxmlformats.org/officeDocument/2006/relationships/hyperlink" Target="https://maps.app.goo.gl/bqhJNb4AQ5pqJq3y7" TargetMode="External"/><Relationship Id="rId174" Type="http://schemas.openxmlformats.org/officeDocument/2006/relationships/hyperlink" Target="https://www.klicviewer.nl/klic-viewer/uitlevering/e8f3ac14-a96b-4a51-a699-9ae69c011cac" TargetMode="External"/><Relationship Id="rId173" Type="http://schemas.openxmlformats.org/officeDocument/2006/relationships/hyperlink" Target="https://rijnland.maps.arcgis.com/apps/instant/sidebar/index.html?appid=2b214417eea74ae9a56119c251ffa960" TargetMode="External"/><Relationship Id="rId179" Type="http://schemas.openxmlformats.org/officeDocument/2006/relationships/hyperlink" Target="https://rijnland.maps.arcgis.com/apps/instant/sidebar/index.html?appid=5469a9663c5e4643b10efe6da9a15ae2" TargetMode="External"/><Relationship Id="rId178" Type="http://schemas.openxmlformats.org/officeDocument/2006/relationships/hyperlink" Target="https://rijnland.maps.arcgis.com/apps/instant/sidebar/index.html?appid=f0fd839278474fe7841a12800fcc3e39" TargetMode="External"/><Relationship Id="rId177" Type="http://schemas.openxmlformats.org/officeDocument/2006/relationships/hyperlink" Target="https://rijnland.maps.arcgis.com/apps/instant/sidebar/index.html?appid=2b214417eea74ae9a56119c251ffa960" TargetMode="External"/><Relationship Id="rId198" Type="http://schemas.openxmlformats.org/officeDocument/2006/relationships/hyperlink" Target="https://maps.app.goo.gl/wLQskFZbryQUrga56" TargetMode="External"/><Relationship Id="rId197" Type="http://schemas.openxmlformats.org/officeDocument/2006/relationships/hyperlink" Target="https://www.klicviewer.nl/klic-viewer/uitlevering/78152110-31c8-4d03-8330-5e3cbbae5856" TargetMode="External"/><Relationship Id="rId196" Type="http://schemas.openxmlformats.org/officeDocument/2006/relationships/hyperlink" Target="https://open-geodata-portaal-valleienveluwe.hub.arcgis.com/apps/e75d12ac1ccb47daa53c1b53916be4e9/explore" TargetMode="External"/><Relationship Id="rId195" Type="http://schemas.openxmlformats.org/officeDocument/2006/relationships/hyperlink" Target="https://open-geodata-portaal-valleienveluwe.hub.arcgis.com/" TargetMode="External"/><Relationship Id="rId199" Type="http://schemas.openxmlformats.org/officeDocument/2006/relationships/hyperlink" Target="https://app.pdok.nl/viewer/" TargetMode="External"/><Relationship Id="rId150" Type="http://schemas.openxmlformats.org/officeDocument/2006/relationships/hyperlink" Target="https://www.google.com/maps/place/Hammerweg+57,+7731+AJ+Ommen/@52.497957,6.4220334,204m/data=!3m1!1e3!4m6!3m5!1s0x47c7fd3b213d62b3:0xf18a17a5d58df640!8m2!3d52.4977018!4d6.4231915!16s%2Fg%2F11c4kgzh6g?entry=ttu&amp;g_ep=EgoyMDI2MDIxOC4wIKXMDSoASAFQAw%3D%3D" TargetMode="External"/><Relationship Id="rId149" Type="http://schemas.openxmlformats.org/officeDocument/2006/relationships/hyperlink" Target="https://www.klicviewer.nl/klic-viewer/uitlevering/c3504680-e9c6-489f-a7c6-7d51890b8840" TargetMode="External"/><Relationship Id="rId148" Type="http://schemas.openxmlformats.org/officeDocument/2006/relationships/hyperlink" Target="https://maps.waternet.nl/portal/apps/experiencebuilder/experience/?id=36500ca8332b489182bf9ab83427cbc1" TargetMode="External"/><Relationship Id="rId1090" Type="http://schemas.openxmlformats.org/officeDocument/2006/relationships/hyperlink" Target="https://www.klicviewer.nl/klic-viewer/uitlevering/4c2116c5-9732-4bcd-ab5e-71b25537502c" TargetMode="External"/><Relationship Id="rId1091" Type="http://schemas.openxmlformats.org/officeDocument/2006/relationships/hyperlink" Target="https://www.google.com/maps/place/Moleneind+20a,+1241+NG+Kortenhoef/@52.2239458,5.0805874,205m/data=!3m1!1e3!4m6!3m5!1s0x47c66d133264f6bf:0x2ce9b26fc813e186!8m2!3d52.223599!4d5.0813651!16s%2Fg%2F11sm917z_p?entry=ttu&amp;g_ep=EgoyMDI1MTAyMi4wIKXMDSoASAFQAw%3D%3D" TargetMode="External"/><Relationship Id="rId1092" Type="http://schemas.openxmlformats.org/officeDocument/2006/relationships/hyperlink" Target="https://app.pdok.nl/viewer/" TargetMode="External"/><Relationship Id="rId1093" Type="http://schemas.openxmlformats.org/officeDocument/2006/relationships/hyperlink" Target="https://maps.waternet.nl/portal/apps/experiencebuilder/experience/?id=36500ca8332b489182bf9ab83427cbc1" TargetMode="External"/><Relationship Id="rId1094" Type="http://schemas.openxmlformats.org/officeDocument/2006/relationships/hyperlink" Target="https://www.klicviewer.nl/klic-viewer/uitlevering/e021dc90-2137-43e3-807e-44e514ca6761" TargetMode="External"/><Relationship Id="rId143" Type="http://schemas.openxmlformats.org/officeDocument/2006/relationships/hyperlink" Target="https://app.pdok.nl/viewer/" TargetMode="External"/><Relationship Id="rId1095" Type="http://schemas.openxmlformats.org/officeDocument/2006/relationships/hyperlink" Target="https://www.google.com/maps/place/Crommelinbaan+26,+2142+EX+Zwaanshoek/@52.3317438,4.6328427,19z/data=!4m6!3m5!1s0x47c5e896561a18a5:0x254df7b2a5b476e2!8m2!3d52.3319356!4d4.6331204!16s%2Fg%2F11x2h4gm9n?entry=ttu&amp;g_ep=EgoyMDI1MTAyMi4wIKXMDSoASAFQAw%3D%3D" TargetMode="External"/><Relationship Id="rId142" Type="http://schemas.openxmlformats.org/officeDocument/2006/relationships/hyperlink" Target="https://maps.app.goo.gl/UnixcpdXzXnYcRek6" TargetMode="External"/><Relationship Id="rId1096" Type="http://schemas.openxmlformats.org/officeDocument/2006/relationships/hyperlink" Target="https://app.pdok.nl/viewer/" TargetMode="External"/><Relationship Id="rId141" Type="http://schemas.openxmlformats.org/officeDocument/2006/relationships/hyperlink" Target="https://www.klicviewer.nl/klic-viewer/uitlevering/6ffc2fba-e944-419d-a75c-8d58ecaf27c2" TargetMode="External"/><Relationship Id="rId1097" Type="http://schemas.openxmlformats.org/officeDocument/2006/relationships/hyperlink" Target="https://rijnland.maps.arcgis.com/apps/instant/interactivelegend/index.html?appid=7bc3198037d24d54a9743987ad0731d2" TargetMode="External"/><Relationship Id="rId140" Type="http://schemas.openxmlformats.org/officeDocument/2006/relationships/hyperlink" Target="https://rijnland.maps.arcgis.com/apps/instant/sidebar/index.html?appid=2b214417eea74ae9a56119c251ffa960" TargetMode="External"/><Relationship Id="rId1098" Type="http://schemas.openxmlformats.org/officeDocument/2006/relationships/hyperlink" Target="https://www.klicviewer.nl/klic-viewer/uitlevering/c72d9e3e-5097-4c1c-bbfe-9df5dcfd04b0" TargetMode="External"/><Relationship Id="rId147" Type="http://schemas.openxmlformats.org/officeDocument/2006/relationships/hyperlink" Target="https://app.pdok.nl/viewer/" TargetMode="External"/><Relationship Id="rId1099" Type="http://schemas.openxmlformats.org/officeDocument/2006/relationships/hyperlink" Target="https://www.google.com/maps/place/Sportlaan+34,+5071+CC+Udenhout/@51.6043858,5.1448628,147m/data=!3m1!1e3!4m6!3m5!1s0x47c6952dce35e38b:0x43dbaa0d90462932!8m2!3d51.6046259!4d5.1453774!16s%2Fg%2F11c5p0bgs7?entry=ttu&amp;g_ep=EgoyMDI1MTAyMi4wIKXMDSoASAFQAw%3D%3D" TargetMode="External"/><Relationship Id="rId146" Type="http://schemas.openxmlformats.org/officeDocument/2006/relationships/hyperlink" Target="https://www.google.com/maps/place/J.M.+Den+Uylstraat+78,+1067+WD+Amsterdam/@52.3819755,4.7895592,204m/data=!3m1!1e3!4m6!3m5!1s0x47c5e3981cc79d2f:0xa23662c8f80c793f!8m2!3d52.3819086!4d4.7901196!16s%2Fg%2F11c249by10?entry=ttu&amp;g_ep=EgoyMDI2MDIxOC4wIKXMDSoASAFQAw%3D%3D" TargetMode="External"/><Relationship Id="rId145" Type="http://schemas.openxmlformats.org/officeDocument/2006/relationships/hyperlink" Target="https://www.klicviewer.nl/klic-viewer/uitlevering/c71c7b68-74c8-4d71-b9c9-90df775500d4" TargetMode="External"/><Relationship Id="rId144" Type="http://schemas.openxmlformats.org/officeDocument/2006/relationships/hyperlink" Target="https://geoportaal.brabantsedelta.nl/portal/apps/instant/basic/index.html?appid=1b1bc9e528d549569835253f2c42b240" TargetMode="External"/><Relationship Id="rId139" Type="http://schemas.openxmlformats.org/officeDocument/2006/relationships/hyperlink" Target="https://app.pdok.nl/viewer/" TargetMode="External"/><Relationship Id="rId138" Type="http://schemas.openxmlformats.org/officeDocument/2006/relationships/hyperlink" Target="https://www.google.com/maps/place/Roordastraat+28,+2035+SE+Haarlem/@52.3657365,4.6583822,145m/data=!3m1!1e3!4m6!3m5!1s0x47c5e5f78a1ae08f:0x40ca0b95e5c073c0!8m2!3d52.3656389!4d4.657815!16s%2Fg%2F11csgcgmlt?entry=ttu&amp;g_ep=EgoyMDI2MDIxOC4wIKXMDSoASAFQAw%3D%3D" TargetMode="External"/><Relationship Id="rId137" Type="http://schemas.openxmlformats.org/officeDocument/2006/relationships/hyperlink" Target="https://klicviewer.nl/klic-viewer/uitlevering/403ded45-e27f-4a07-9ffd-00757a39ca5e" TargetMode="External"/><Relationship Id="rId1080" Type="http://schemas.openxmlformats.org/officeDocument/2006/relationships/hyperlink" Target="https://www.klicviewer.nl/klic-viewer/uitlevering/3edb2101-12cf-4d78-a721-f97260e8bcfb" TargetMode="External"/><Relationship Id="rId1081" Type="http://schemas.openxmlformats.org/officeDocument/2006/relationships/hyperlink" Target="https://maps.app.goo.gl/NqJbBqC49bDS8S2cA" TargetMode="External"/><Relationship Id="rId1082" Type="http://schemas.openxmlformats.org/officeDocument/2006/relationships/hyperlink" Target="https://app.pdok.nl/viewer/" TargetMode="External"/><Relationship Id="rId1083" Type="http://schemas.openxmlformats.org/officeDocument/2006/relationships/hyperlink" Target="https://kaarten.hhnk.nl/portal/apps/webappviewer/index.html?id=d2de3caed0ba442290991e1f5b404e1a" TargetMode="External"/><Relationship Id="rId132" Type="http://schemas.openxmlformats.org/officeDocument/2006/relationships/hyperlink" Target="https://kaarten.hhnk.nl/portal/apps/experiencebuilder/experience/?id=51ae36990bf448248b105c8fbc9fbeb3" TargetMode="External"/><Relationship Id="rId1084" Type="http://schemas.openxmlformats.org/officeDocument/2006/relationships/hyperlink" Target="https://www.klicviewer.nl/klic-viewer/uitlevering/a467a997-2aba-4d4f-9915-c034c48015cb" TargetMode="External"/><Relationship Id="rId131" Type="http://schemas.openxmlformats.org/officeDocument/2006/relationships/hyperlink" Target="https://kaarten.hhnk.nl/portal/apps/webappviewer/index.html?id=d2de3caed0ba442290991e1f5b404e1a" TargetMode="External"/><Relationship Id="rId1085" Type="http://schemas.openxmlformats.org/officeDocument/2006/relationships/hyperlink" Target="https://maps.app.goo.gl/ZSKLP6KCp9nvvD52A" TargetMode="External"/><Relationship Id="rId130" Type="http://schemas.openxmlformats.org/officeDocument/2006/relationships/hyperlink" Target="https://app.pdok.nl/viewer/" TargetMode="External"/><Relationship Id="rId1086" Type="http://schemas.openxmlformats.org/officeDocument/2006/relationships/hyperlink" Target="https://app.pdok.nl/viewer/" TargetMode="External"/><Relationship Id="rId1087" Type="http://schemas.openxmlformats.org/officeDocument/2006/relationships/hyperlink" Target="https://rijnland.maps.arcgis.com/apps/instant/interactivelegend/index.html?appid=7bc3198037d24d54a9743987ad0731d2" TargetMode="External"/><Relationship Id="rId136" Type="http://schemas.openxmlformats.org/officeDocument/2006/relationships/hyperlink" Target="https://www.wdodelta.nl/kaarten" TargetMode="External"/><Relationship Id="rId1088" Type="http://schemas.openxmlformats.org/officeDocument/2006/relationships/hyperlink" Target="https://rijnland.maps.arcgis.com/apps/instant/interactivelegend/index.html?appid=ac183c60750a435db95b1705d25b3121" TargetMode="External"/><Relationship Id="rId135" Type="http://schemas.openxmlformats.org/officeDocument/2006/relationships/hyperlink" Target="https://app.pdok.nl/viewer/" TargetMode="External"/><Relationship Id="rId1089" Type="http://schemas.openxmlformats.org/officeDocument/2006/relationships/hyperlink" Target="https://rijnland.maps.arcgis.com/apps/instant/sidebar/index.html?appid=5469a9663c5e4643b10efe6da9a15ae2" TargetMode="External"/><Relationship Id="rId134" Type="http://schemas.openxmlformats.org/officeDocument/2006/relationships/hyperlink" Target="https://maps.app.goo.gl/dQgoUJtxJQ7yMYgL9" TargetMode="External"/><Relationship Id="rId133" Type="http://schemas.openxmlformats.org/officeDocument/2006/relationships/hyperlink" Target="https://www.klicviewer.nl/klic-viewer/uitlevering/a48bdd14-cfe8-45a7-9965-a775bf3a6234" TargetMode="External"/><Relationship Id="rId172" Type="http://schemas.openxmlformats.org/officeDocument/2006/relationships/hyperlink" Target="https://app.pdok.nl/viewer/" TargetMode="External"/><Relationship Id="rId171" Type="http://schemas.openxmlformats.org/officeDocument/2006/relationships/hyperlink" Target="https://www.google.com/maps/place/Planetenweg+276,+1974+BN+IJmuiden/@52.4519581,4.5968257,289m/data=!3m1!1e3!4m6!3m5!1s0x47c5f186b1ef6097:0x2a3bd49b74407d9e!8m2!3d52.4519127!4d4.5975872!16s%2Fg%2F11y2369q19?entry=ttu&amp;g_ep=EgoyMDI2MDIxOC4wIKXMDSoASAFQAw%3D%3D" TargetMode="External"/><Relationship Id="rId170" Type="http://schemas.openxmlformats.org/officeDocument/2006/relationships/hyperlink" Target="https://www.klicviewer.nl/klic-viewer/uitlevering/777000aa-3513-4cbd-bf96-9d723acdecd1" TargetMode="External"/><Relationship Id="rId165" Type="http://schemas.openxmlformats.org/officeDocument/2006/relationships/hyperlink" Target="https://maps.app.goo.gl/LX6otbevqcRdVvkp9" TargetMode="External"/><Relationship Id="rId164" Type="http://schemas.openxmlformats.org/officeDocument/2006/relationships/hyperlink" Target="https://www.klicviewer.nl/klic-viewer/uitlevering/4b414233-0951-4e76-bd50-c6ebd68eda45" TargetMode="External"/><Relationship Id="rId163" Type="http://schemas.openxmlformats.org/officeDocument/2006/relationships/hyperlink" Target="https://noorderzijlvest.maps.arcgis.com/apps/mapviewer/index.html?webmap=1576324c8de14bf180c17743e24584cc" TargetMode="External"/><Relationship Id="rId162" Type="http://schemas.openxmlformats.org/officeDocument/2006/relationships/hyperlink" Target="https://app.pdok.nl/viewer/" TargetMode="External"/><Relationship Id="rId169" Type="http://schemas.openxmlformats.org/officeDocument/2006/relationships/hyperlink" Target="https://wsrl.maps.arcgis.com/apps/instant/sidebar/index.html?appid=cbf893b541074183a43c4653524c3359" TargetMode="External"/><Relationship Id="rId168" Type="http://schemas.openxmlformats.org/officeDocument/2006/relationships/hyperlink" Target="https://experience.arcgis.com/experience/c58cad477757430f9ad8c6c1673058fc/page/Pagina-1" TargetMode="External"/><Relationship Id="rId167" Type="http://schemas.openxmlformats.org/officeDocument/2006/relationships/hyperlink" Target="https://experience.arcgis.com/experience/ff9e6ee747524d3cbce7712338ad0e89/page/Pagina-1" TargetMode="External"/><Relationship Id="rId166" Type="http://schemas.openxmlformats.org/officeDocument/2006/relationships/hyperlink" Target="https://app.pdok.nl/viewer/" TargetMode="External"/><Relationship Id="rId161" Type="http://schemas.openxmlformats.org/officeDocument/2006/relationships/hyperlink" Target="https://maps.app.goo.gl/mgxnjZbGmNkNbt3y8" TargetMode="External"/><Relationship Id="rId160" Type="http://schemas.openxmlformats.org/officeDocument/2006/relationships/hyperlink" Target="https://www.klicviewer.nl/klic-viewer/uitlevering/a8cd3fd0-ada7-4ceb-98f2-e71b8ae11271" TargetMode="External"/><Relationship Id="rId159" Type="http://schemas.openxmlformats.org/officeDocument/2006/relationships/hyperlink" Target="https://experience.arcgis.com/experience/ff9e6ee747524d3cbce7712338ad0e89/page/Pagina-1" TargetMode="External"/><Relationship Id="rId154" Type="http://schemas.openxmlformats.org/officeDocument/2006/relationships/hyperlink" Target="https://www.google.com/maps/place/Westerveen+18,+9751+HW+Haren/@53.1566713,6.6290105,100m/data=!3m1!1e3!4m6!3m5!1s0x47c82c50dc54c3bd:0xefa4c680252c7ee7!8m2!3d53.1566351!4d6.6286924!16s%2Fg%2F11cp85mcrf?entry=ttu&amp;g_ep=EgoyMDI2MDIxOC4wIKXMDSoASAFQAw%3D%3D" TargetMode="External"/><Relationship Id="rId153" Type="http://schemas.openxmlformats.org/officeDocument/2006/relationships/hyperlink" Target="https://www.klicviewer.nl/klic-viewer/uitlevering/668a9bc3-320a-41b1-8155-ddd58fa19de6" TargetMode="External"/><Relationship Id="rId152" Type="http://schemas.openxmlformats.org/officeDocument/2006/relationships/hyperlink" Target="https://vechtstromen.maps.arcgis.com/apps/webappviewer/index.html?id=157236e98867443696757e2091ebc25a" TargetMode="External"/><Relationship Id="rId151" Type="http://schemas.openxmlformats.org/officeDocument/2006/relationships/hyperlink" Target="https://app.pdok.nl/viewer/" TargetMode="External"/><Relationship Id="rId158" Type="http://schemas.openxmlformats.org/officeDocument/2006/relationships/hyperlink" Target="https://app.pdok.nl/viewer/" TargetMode="External"/><Relationship Id="rId157" Type="http://schemas.openxmlformats.org/officeDocument/2006/relationships/hyperlink" Target="https://www.google.com/maps/place/Wolderweg+6,+6627+KH+Maasbommel/@51.8466086,5.5098921,246m/data=!3m1!1e3!4m6!3m5!1s0x47c6f92b37c31eb3:0x254de3e47bd17d07!8m2!3d51.8463739!4d5.5112653!16s%2Fg%2F11vc4nh2tk?entry=ttu&amp;g_ep=EgoyMDI2MDIxOC4wIKXMDSoASAFQAw%3D%3D" TargetMode="External"/><Relationship Id="rId156" Type="http://schemas.openxmlformats.org/officeDocument/2006/relationships/hyperlink" Target="https://opendata.hunzeenaas.nl/opendataportaal/srv/dut/catalog.search" TargetMode="External"/><Relationship Id="rId155" Type="http://schemas.openxmlformats.org/officeDocument/2006/relationships/hyperlink" Target="https://app.pdok.nl/viewer/" TargetMode="External"/><Relationship Id="rId1510" Type="http://schemas.openxmlformats.org/officeDocument/2006/relationships/hyperlink" Target="https://experience.arcgis.com/experience/9269f566d1f04b38ad9712b9b9bf34fd" TargetMode="External"/><Relationship Id="rId1511" Type="http://schemas.openxmlformats.org/officeDocument/2006/relationships/hyperlink" Target="https://www.klicviewer.nl/klic-viewer/uitlevering/fb526298-02eb-46c4-a8bb-1a3a19e0bd0d" TargetMode="External"/><Relationship Id="rId1512" Type="http://schemas.openxmlformats.org/officeDocument/2006/relationships/hyperlink" Target="https://www.google.com/maps/place/A.+Hofmanweg+8,+2031+BH+Haarlem/@52.3976507,4.6634134,486m/data=!3m1!1e3!4m6!3m5!1s0x47c5e57f5eb5d29b:0x467894d20517537!8m2!3d52.3975211!4d4.6665276!16s%2Fg%2F11l5cy2b_x?entry=ttu&amp;g_ep=EgoyMDI1MTExNy4wIKXMDSoASAFQAw%3D%3D" TargetMode="External"/><Relationship Id="rId1513" Type="http://schemas.openxmlformats.org/officeDocument/2006/relationships/hyperlink" Target="https://app.pdok.nl/viewer/" TargetMode="External"/><Relationship Id="rId1514" Type="http://schemas.openxmlformats.org/officeDocument/2006/relationships/hyperlink" Target="https://rijnland.maps.arcgis.com/apps/instant/sidebar/index.html?appid=2b214417eea74ae9a56119c251ffa960" TargetMode="External"/><Relationship Id="rId1515" Type="http://schemas.openxmlformats.org/officeDocument/2006/relationships/hyperlink" Target="https://rijnland.maps.arcgis.com/apps/instant/sidebar/index.html?appid=f0fd839278474fe7841a12800fcc3e39" TargetMode="External"/><Relationship Id="rId1516" Type="http://schemas.openxmlformats.org/officeDocument/2006/relationships/hyperlink" Target="https://rijnland.maps.arcgis.com/apps/instant/sidebar/index.html?appid=5469a9663c5e4643b10efe6da9a15ae2" TargetMode="External"/><Relationship Id="rId1517" Type="http://schemas.openxmlformats.org/officeDocument/2006/relationships/hyperlink" Target="https://www.klicviewer.nl/klic-viewer/uitlevering/b278156d-3340-4740-b726-23382ab938bb" TargetMode="External"/><Relationship Id="rId1518" Type="http://schemas.openxmlformats.org/officeDocument/2006/relationships/hyperlink" Target="https://maps.app.goo.gl/sGB3XCyiWPzJARGN7" TargetMode="External"/><Relationship Id="rId1519" Type="http://schemas.openxmlformats.org/officeDocument/2006/relationships/hyperlink" Target="https://app.pdok.nl/viewer/" TargetMode="External"/><Relationship Id="rId1500" Type="http://schemas.openxmlformats.org/officeDocument/2006/relationships/hyperlink" Target="https://app.pdok.nl/viewer/" TargetMode="External"/><Relationship Id="rId1501" Type="http://schemas.openxmlformats.org/officeDocument/2006/relationships/hyperlink" Target="https://kaarten.hhnk.nl/portal/apps/webappviewer/index.html?id=d2de3caed0ba442290991e1f5b404e1a" TargetMode="External"/><Relationship Id="rId1502" Type="http://schemas.openxmlformats.org/officeDocument/2006/relationships/hyperlink" Target="https://www.klicviewer.nl/klic-viewer/uitlevering/4626fa01-08ee-40ba-a21a-1b5b70294896" TargetMode="External"/><Relationship Id="rId1503" Type="http://schemas.openxmlformats.org/officeDocument/2006/relationships/hyperlink" Target="https://maps.app.goo.gl/S5KHzhbKgq37Nxur5" TargetMode="External"/><Relationship Id="rId1504" Type="http://schemas.openxmlformats.org/officeDocument/2006/relationships/hyperlink" Target="https://app.pdok.nl/viewer/" TargetMode="External"/><Relationship Id="rId1505" Type="http://schemas.openxmlformats.org/officeDocument/2006/relationships/hyperlink" Target="https://kaarten.hhnk.nl/portal/apps/webappviewer/index.html?id=d2de3caed0ba442290991e1f5b404e1a" TargetMode="External"/><Relationship Id="rId1506" Type="http://schemas.openxmlformats.org/officeDocument/2006/relationships/hyperlink" Target="https://kaarten.hhnk.nl/portal/apps/experiencebuilder/experience/?id=51ae36990bf448248b105c8fbc9fbeb3" TargetMode="External"/><Relationship Id="rId1507" Type="http://schemas.openxmlformats.org/officeDocument/2006/relationships/hyperlink" Target="https://www.klicviewer.nl/klic-viewer/uitlevering/3dd93880-ada6-4c0c-a152-4dbd48a37283" TargetMode="External"/><Relationship Id="rId1508" Type="http://schemas.openxmlformats.org/officeDocument/2006/relationships/hyperlink" Target="https://www.google.com/maps/place/Markerbroekweg+2,+8375+EB+Oldemarkt/@52.8295518,5.9306647,340m/data=!3m1!1e3!4m6!3m5!1s0x47c866b4b5cfd181:0x9928c0d2486fba2b!8m2!3d52.8293034!4d5.9314654!16s%2Fg%2F11bw50hlw5?entry=ttu&amp;g_ep=EgoyMDI1MTAwNi4wIKXMDSoASAFQAw%3D%3D" TargetMode="External"/><Relationship Id="rId1509" Type="http://schemas.openxmlformats.org/officeDocument/2006/relationships/hyperlink" Target="https://app.pdok.nl/viewer/" TargetMode="External"/><Relationship Id="rId1576" Type="http://schemas.openxmlformats.org/officeDocument/2006/relationships/hyperlink" Target="https://www.google.com/maps/place/Cruquiusdijk+200,+2141+EW+Vijfhuizen/@52.3458483,4.662693,409m/data=!3m1!1e3!4m6!3m5!1s0x47c5e604e1a3d277:0xee89334b992b19b0!8m2!3d52.3457176!4d4.662094!16s%2Fg%2F11q8fm5h70?entry=ttu&amp;g_ep=EgoyMDI1MDkyNC4wIKXMDSoASAFQAw%3D%3D" TargetMode="External"/><Relationship Id="rId1577" Type="http://schemas.openxmlformats.org/officeDocument/2006/relationships/hyperlink" Target="https://app.pdok.nl/viewer/" TargetMode="External"/><Relationship Id="rId1578" Type="http://schemas.openxmlformats.org/officeDocument/2006/relationships/hyperlink" Target="https://rijnland.maps.arcgis.com/apps/instant/interactivelegend/index.html?appid=7bc3198037d24d54a9743987ad0731d2" TargetMode="External"/><Relationship Id="rId1579" Type="http://schemas.openxmlformats.org/officeDocument/2006/relationships/hyperlink" Target="https://rijnland.maps.arcgis.com/apps/instant/interactivelegend/index.html?appid=ac183c60750a435db95b1705d25b3121" TargetMode="External"/><Relationship Id="rId509" Type="http://schemas.openxmlformats.org/officeDocument/2006/relationships/hyperlink" Target="https://maps.app.goo.gl/cweu8H3Yaq64mkMb6" TargetMode="External"/><Relationship Id="rId508" Type="http://schemas.openxmlformats.org/officeDocument/2006/relationships/hyperlink" Target="https://www.klicviewer.nl/klic-viewer/uitlevering/d2b7e16d-08c2-4f5a-a4cf-a2f7006da3e6" TargetMode="External"/><Relationship Id="rId503" Type="http://schemas.openxmlformats.org/officeDocument/2006/relationships/hyperlink" Target="https://hdsr.maps.arcgis.com/apps/instant/interactivelegend/index.html?appid=9e93c659d8a94b63a66f7d7c41f5a15b" TargetMode="External"/><Relationship Id="rId987" Type="http://schemas.openxmlformats.org/officeDocument/2006/relationships/hyperlink" Target="https://app.pdok.nl/viewer/" TargetMode="External"/><Relationship Id="rId502" Type="http://schemas.openxmlformats.org/officeDocument/2006/relationships/hyperlink" Target="https://experience.arcgis.com/experience/d8c3882f27734761b57f4c766e21b41c" TargetMode="External"/><Relationship Id="rId986" Type="http://schemas.openxmlformats.org/officeDocument/2006/relationships/hyperlink" Target="https://www.google.com/maps/place/Hoendiep+Westzijde+36A,+9805+TC+Briltil/@53.2381444,6.3917812,200m/data=!3m1!1e3!4m6!3m5!1s0x47c9cac3ce1b3a99:0xe506fc6b8f57650b!8m2!3d53.2379676!4d6.3918729!16s%2Fg%2F11gyy6b12r?entry=ttu&amp;g_ep=EgoyMDI1MTExMi4wIKXMDSoASAFQAw%3D%3D" TargetMode="External"/><Relationship Id="rId501" Type="http://schemas.openxmlformats.org/officeDocument/2006/relationships/hyperlink" Target="https://experience.arcgis.com/experience/574ae177043749ce9fc5cc2df510f79a" TargetMode="External"/><Relationship Id="rId985" Type="http://schemas.openxmlformats.org/officeDocument/2006/relationships/hyperlink" Target="https://www.klicviewer.nl/klic-viewer/uitlevering/627e3654-43c4-4d8c-8f0b-82e1b04e924a" TargetMode="External"/><Relationship Id="rId500" Type="http://schemas.openxmlformats.org/officeDocument/2006/relationships/hyperlink" Target="https://app.pdok.nl/viewer/" TargetMode="External"/><Relationship Id="rId984" Type="http://schemas.openxmlformats.org/officeDocument/2006/relationships/hyperlink" Target="https://maps.app.goo.gl/9HQoCjaVYimsFuye8" TargetMode="External"/><Relationship Id="rId507" Type="http://schemas.openxmlformats.org/officeDocument/2006/relationships/hyperlink" Target="https://rijnland.maps.arcgis.com/apps/instant/sidebar/index.html?appid=2b214417eea74ae9a56119c251ffa960" TargetMode="External"/><Relationship Id="rId506" Type="http://schemas.openxmlformats.org/officeDocument/2006/relationships/hyperlink" Target="https://app.pdok.nl/viewer/" TargetMode="External"/><Relationship Id="rId505" Type="http://schemas.openxmlformats.org/officeDocument/2006/relationships/hyperlink" Target="https://www.google.com/maps/place/Werkschuur+de+IJsvogel/@52.4505531,4.6520665,686m/data=!3m1!1e3!4m15!1m8!3m7!1s0x47c5f01a32426671:0x959d134993c58d3a!2sKweekensteinsweg+1,+1981+MA+Driehuis!3b1!8m2!3d52.4488146!4d4.6508666!16s%2Fg%2F11yc5h7qhb!3m5!1s0x47c5f1000f3af1a1:0x6ff02dac83af61db!8m2!3d52.4488146!4d4.6508666!16s%2Fg%2F11xscswqdr?entry=ttu&amp;g_ep=EgoyMDI1MTIwOS4wIKXMDSoASAFQAw%3D%3D" TargetMode="External"/><Relationship Id="rId989" Type="http://schemas.openxmlformats.org/officeDocument/2006/relationships/hyperlink" Target="https://www.google.com/maps/place/Millinghaweg+11,+9822+TC+Niekerk/@53.2331176,6.3752282,238m/data=!3m1!1e3!4m15!1m8!3m7!1s0x47c9cac3ce1b3a99:0xe506fc6b8f57650b!2sHoendiep+Westzijde+36A,+9805+TC+Briltil!3b1!8m2!3d53.2379676!4d6.3918729!16s%2Fg%2F11gyy6b12r!3m5!1s0x47c9caba245da82d:0xc03cdffa27177e37!8m2!3d53.2329209!4d6.3751445!16s%2Fg%2F11c23j4kjm?entry=ttu&amp;g_ep=EgoyMDI1MTExMi4wIKXMDSoASAFQAw%3D%3D" TargetMode="External"/><Relationship Id="rId504" Type="http://schemas.openxmlformats.org/officeDocument/2006/relationships/hyperlink" Target="https://www.klicviewer.nl/klic-viewer/uitlevering/823a1588-5b7b-41be-a7e0-0f2e9ffd3706" TargetMode="External"/><Relationship Id="rId988" Type="http://schemas.openxmlformats.org/officeDocument/2006/relationships/hyperlink" Target="https://www.klicviewer.nl/klic-viewer/uitlevering/05ba4906-3982-4c09-8ea1-56f05c76ec6c" TargetMode="External"/><Relationship Id="rId1570" Type="http://schemas.openxmlformats.org/officeDocument/2006/relationships/hyperlink" Target="https://maps.waternet.nl/portal/apps/experiencebuilder/experience/?id=36500ca8332b489182bf9ab83427cbc1" TargetMode="External"/><Relationship Id="rId1571" Type="http://schemas.openxmlformats.org/officeDocument/2006/relationships/hyperlink" Target="https://www.klicviewer.nl/klic-viewer/uitlevering/23d6ffb4-b26a-41ff-b6bf-7ef0c90b91a9" TargetMode="External"/><Relationship Id="rId983" Type="http://schemas.openxmlformats.org/officeDocument/2006/relationships/hyperlink" Target="https://service10.kadaster.nl/gds2/download/public/68c5d289-6e2b-4fff-930b-a427457413d3" TargetMode="External"/><Relationship Id="rId1572" Type="http://schemas.openxmlformats.org/officeDocument/2006/relationships/hyperlink" Target="https://maps.app.goo.gl/eZm9cNHr9HTFtZnKA" TargetMode="External"/><Relationship Id="rId982" Type="http://schemas.openxmlformats.org/officeDocument/2006/relationships/hyperlink" Target="https://open-geodata-portaal-valleienveluwe.hub.arcgis.com/apps/e75d12ac1ccb47daa53c1b53916be4e9/explore" TargetMode="External"/><Relationship Id="rId1573" Type="http://schemas.openxmlformats.org/officeDocument/2006/relationships/hyperlink" Target="https://app.pdok.nl/viewer/" TargetMode="External"/><Relationship Id="rId981" Type="http://schemas.openxmlformats.org/officeDocument/2006/relationships/hyperlink" Target="https://app.pdok.nl/viewer/" TargetMode="External"/><Relationship Id="rId1574" Type="http://schemas.openxmlformats.org/officeDocument/2006/relationships/hyperlink" Target="https://maps.waternet.nl/portal/apps/experiencebuilder/experience/?id=36500ca8332b489182bf9ab83427cbc1&amp;page=Vergunningen-en-Meldingen&amp;views=Kaartlagen-" TargetMode="External"/><Relationship Id="rId980" Type="http://schemas.openxmlformats.org/officeDocument/2006/relationships/hyperlink" Target="https://www.google.com/maps/place/Oude+Telgterweg+278a,+3853+PL+Ermelo/@52.283416,5.5784929,102m/data=!3m1!1e3!4m6!3m5!1s0x47c636920606aaab:0x293b2b6d2dc91405!8m2!3d52.2833348!4d5.5786989!16s%2Fg%2F11l2m2cjfj?entry=ttu&amp;g_ep=EgoyMDI1MTExMi4wIKXMDSoASAFQAw%3D%3D" TargetMode="External"/><Relationship Id="rId1575" Type="http://schemas.openxmlformats.org/officeDocument/2006/relationships/hyperlink" Target="https://www.klicviewer.nl/klic-viewer/uitlevering/0a2393ea-264a-4f07-bb2b-55288d0f3f11" TargetMode="External"/><Relationship Id="rId1565" Type="http://schemas.openxmlformats.org/officeDocument/2006/relationships/hyperlink" Target="https://app.pdok.nl/viewer/" TargetMode="External"/><Relationship Id="rId1566" Type="http://schemas.openxmlformats.org/officeDocument/2006/relationships/hyperlink" Target="https://rijnland.maps.arcgis.com/apps/instant/interactivelegend/index.html?appid=7bc3198037d24d54a9743987ad0731d2" TargetMode="External"/><Relationship Id="rId1567" Type="http://schemas.openxmlformats.org/officeDocument/2006/relationships/hyperlink" Target="https://www.klicviewer.nl/klic-viewer/uitlevering/ce75f709-d6cf-4c72-86f7-b930b01ba3b5" TargetMode="External"/><Relationship Id="rId1568" Type="http://schemas.openxmlformats.org/officeDocument/2006/relationships/hyperlink" Target="https://www.google.com/maps/place/Cort+van+der+Lindenlaan+7A,+1412+BW+Naarden/@52.2847867,5.1478457,19.25z/data=!4m15!1m8!3m7!1s0x47c6137309f9415f:0x73b3e17035e92d85!2sCort+van+der+Lindenlaan+44,+1412+BZ+Naarden!3b1!8m2!3d52.284869!4d5.148894!16s%2Fg%2F11c0yd0r61!3m5!1s0x47c613730e0e8975:0xd1aa83a81c500b7!8m2!3d52.284891!4d5.1481658!16s%2Fg%2F11c4s5bshv?entry=ttu&amp;g_ep=EgoyMDI1MDkyOC4wIKXMDSoASAFQAw%3D%3D" TargetMode="External"/><Relationship Id="rId1569" Type="http://schemas.openxmlformats.org/officeDocument/2006/relationships/hyperlink" Target="https://app.pdok.nl/viewer/" TargetMode="External"/><Relationship Id="rId976" Type="http://schemas.openxmlformats.org/officeDocument/2006/relationships/hyperlink" Target="https://www.google.com/maps/place/Mientwei+19,+8572+WB+Rijs/@52.8704142,5.4861107,240m/data=!3m1!1e3!4m6!3m5!1s0x47c89464bad6935b:0xe5e8da6244d7d09c!8m2!3d52.8703103!4d5.4865262!16s%2Fg%2F11c17ldkq3?entry=ttu&amp;g_ep=EgoyMDI1MTExMi4wIKXMDSoASAFQAw%3D%3D" TargetMode="External"/><Relationship Id="rId975" Type="http://schemas.openxmlformats.org/officeDocument/2006/relationships/hyperlink" Target="https://www.klicviewer.nl/klic-viewer/uitlevering/3ddc4db8-4472-4f7c-b4c5-95ac054b42d5" TargetMode="External"/><Relationship Id="rId974" Type="http://schemas.openxmlformats.org/officeDocument/2006/relationships/hyperlink" Target="https://opendata.hunzeenaas.nl/opendataportaal/srv/dut/catalog.search" TargetMode="External"/><Relationship Id="rId973" Type="http://schemas.openxmlformats.org/officeDocument/2006/relationships/hyperlink" Target="https://app.pdok.nl/viewer/" TargetMode="External"/><Relationship Id="rId979" Type="http://schemas.openxmlformats.org/officeDocument/2006/relationships/hyperlink" Target="https://www.klicviewer.nl/klic-viewer/uitlevering/5bedb86b-58b2-468b-b5bb-8feb02e1a25d" TargetMode="External"/><Relationship Id="rId978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977" Type="http://schemas.openxmlformats.org/officeDocument/2006/relationships/hyperlink" Target="https://app.pdok.nl/viewer/" TargetMode="External"/><Relationship Id="rId1560" Type="http://schemas.openxmlformats.org/officeDocument/2006/relationships/hyperlink" Target="https://maps.app.goo.gl/FsaQrXBTMdEN2DeX9" TargetMode="External"/><Relationship Id="rId972" Type="http://schemas.openxmlformats.org/officeDocument/2006/relationships/hyperlink" Target="https://maps.app.goo.gl/Qf98VzJXg4VHzwp46" TargetMode="External"/><Relationship Id="rId1561" Type="http://schemas.openxmlformats.org/officeDocument/2006/relationships/hyperlink" Target="https://app.pdok.nl/viewer/" TargetMode="External"/><Relationship Id="rId971" Type="http://schemas.openxmlformats.org/officeDocument/2006/relationships/hyperlink" Target="https://www.klicviewer.nl/klic-viewer/uitlevering/07026c10-007b-465b-b0ca-ee6e8a727699" TargetMode="External"/><Relationship Id="rId1562" Type="http://schemas.openxmlformats.org/officeDocument/2006/relationships/hyperlink" Target="https://experience.arcgis.com/experience/9269f566d1f04b38ad9712b9b9bf34fd" TargetMode="External"/><Relationship Id="rId970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1563" Type="http://schemas.openxmlformats.org/officeDocument/2006/relationships/hyperlink" Target="https://www.klicviewer.nl/klic-viewer/uitlevering/ef47035c-acc8-4227-9d80-5ffa8d344ff1" TargetMode="External"/><Relationship Id="rId1564" Type="http://schemas.openxmlformats.org/officeDocument/2006/relationships/hyperlink" Target="https://www.google.com/maps/place/Hornweg+293,+1432+GL+Aalsmeer/@52.2745507,4.8038109,345m/data=!3m1!1e3!4m6!3m5!1s0x47c5e0634b9709ef:0x27a5eca1ee7909f5!8m2!3d52.2746525!4d4.8041784!16s%2Fg%2F11vc37pkz8?entry=ttu&amp;g_ep=EgoyMDI1MDkyOC4wIKXMDSoASAFQAw%3D%3D" TargetMode="External"/><Relationship Id="rId1114" Type="http://schemas.openxmlformats.org/officeDocument/2006/relationships/hyperlink" Target="https://gis.wetterskipfryslan.nl/portal/apps/experiencebuilder/experience/?id=a0e444b2c8874407bc63d3f81d61367c" TargetMode="External"/><Relationship Id="rId1598" Type="http://schemas.openxmlformats.org/officeDocument/2006/relationships/hyperlink" Target="https://app.pdok.nl/viewer/" TargetMode="External"/><Relationship Id="rId1115" Type="http://schemas.openxmlformats.org/officeDocument/2006/relationships/hyperlink" Target="https://www.klicviewer.nl/klic-viewer/uitlevering/1f716ebc-7860-4f53-8617-6f6fb8823911" TargetMode="External"/><Relationship Id="rId1599" Type="http://schemas.openxmlformats.org/officeDocument/2006/relationships/hyperlink" Target="https://experience.arcgis.com/experience/71d0ad9043bf442c91b7fd9bbc1f2e70/page/Page?views=Toelichting-kaart" TargetMode="External"/><Relationship Id="rId1116" Type="http://schemas.openxmlformats.org/officeDocument/2006/relationships/hyperlink" Target="https://www.google.com/maps/place/Pampuslaan+214,+1087+LA+Amsterdam/@52.3531825,5.0112038,18.25z/data=!4m6!3m5!1s0x47c60e8fd9fd5379:0x17cf21c11a64c01!8m2!3d52.3531474!4d5.0122328!16s%2Fg%2F11y2kg2bfk?entry=ttu&amp;g_ep=EgoyMDI1MTAyMi4wIKXMDSoASAFQAw%3D%3D" TargetMode="External"/><Relationship Id="rId1117" Type="http://schemas.openxmlformats.org/officeDocument/2006/relationships/hyperlink" Target="https://app.pdok.nl/viewer/" TargetMode="External"/><Relationship Id="rId1118" Type="http://schemas.openxmlformats.org/officeDocument/2006/relationships/hyperlink" Target="https://maps.waternet.nl/portal/apps/experiencebuilder/experience/?id=36500ca8332b489182bf9ab83427cbc1" TargetMode="External"/><Relationship Id="rId1119" Type="http://schemas.openxmlformats.org/officeDocument/2006/relationships/hyperlink" Target="https://www.klicviewer.nl/klic-viewer/uitlevering/409c4593-97b6-4fb4-ab73-7b43dfcee2a2" TargetMode="External"/><Relationship Id="rId525" Type="http://schemas.openxmlformats.org/officeDocument/2006/relationships/hyperlink" Target="https://maps.app.goo.gl/DLytK5jzA96V58kK6" TargetMode="External"/><Relationship Id="rId524" Type="http://schemas.openxmlformats.org/officeDocument/2006/relationships/hyperlink" Target="https://www.klicviewer.nl/klic-viewer/uitlevering/9fe3c03e-f1dc-4864-9d05-500a8420d11f" TargetMode="External"/><Relationship Id="rId523" Type="http://schemas.openxmlformats.org/officeDocument/2006/relationships/hyperlink" Target="https://kaarten.hhnk.nl/portal/apps/webappviewer/index.html?id=d2de3caed0ba442290991e1f5b404e1a" TargetMode="External"/><Relationship Id="rId522" Type="http://schemas.openxmlformats.org/officeDocument/2006/relationships/hyperlink" Target="https://app.pdok.nl/viewer/" TargetMode="External"/><Relationship Id="rId529" Type="http://schemas.openxmlformats.org/officeDocument/2006/relationships/hyperlink" Target="https://www.google.com/maps/place/Bernadottestraat+9,+2131+SM+Hoofddorp/@52.3040059,4.6765669,86m/data=!3m1!1e3!4m6!3m5!1s0x47c5e7b6dd0ed051:0x94b1327323b48802!8m2!3d52.3040469!4d4.6769228!16s%2Fg%2F11c2cgscng?entry=ttu&amp;g_ep=EgoyMDI1MTIwOS4wIKXMDSoASAFQAw%3D%3D" TargetMode="External"/><Relationship Id="rId528" Type="http://schemas.openxmlformats.org/officeDocument/2006/relationships/hyperlink" Target="https://www.klicviewer.nl/klic-viewer/uitlevering/67a80c21-6eb6-4165-9612-3ff72f1c6310" TargetMode="External"/><Relationship Id="rId527" Type="http://schemas.openxmlformats.org/officeDocument/2006/relationships/hyperlink" Target="https://kaarten.hhnk.nl/portal/apps/webappviewer/index.html?id=d2de3caed0ba442290991e1f5b404e1a" TargetMode="External"/><Relationship Id="rId526" Type="http://schemas.openxmlformats.org/officeDocument/2006/relationships/hyperlink" Target="https://app.pdok.nl/viewer/" TargetMode="External"/><Relationship Id="rId1590" Type="http://schemas.openxmlformats.org/officeDocument/2006/relationships/hyperlink" Target="https://app.pdok.nl/viewer/" TargetMode="External"/><Relationship Id="rId1591" Type="http://schemas.openxmlformats.org/officeDocument/2006/relationships/hyperlink" Target="https://vechtstromen.maps.arcgis.com/apps/webappviewer/index.html?id=157236e98867443696757e2091ebc25a" TargetMode="External"/><Relationship Id="rId1592" Type="http://schemas.openxmlformats.org/officeDocument/2006/relationships/hyperlink" Target="https://www.klicviewer.nl/klic-viewer/uitlevering/ed142371-21a5-4b41-ad54-f78bd3bee323" TargetMode="External"/><Relationship Id="rId1593" Type="http://schemas.openxmlformats.org/officeDocument/2006/relationships/hyperlink" Target="https://www.google.com/maps/place/Oldemeijerweg+4,+7797+RM+Rheezerveen/@52.5623264,6.5633722,204m/data=!3m1!1e3!4m6!3m5!1s0x47c801335f56bd05:0x1458ffda7b4369ad!8m2!3d52.5622005!4d6.5643997!16s%2Fg%2F11s92r28yb?entry=ttu&amp;g_ep=EgoyMDI1MDkyMy4wIKXMDSoASAFQAw%3D%3D" TargetMode="External"/><Relationship Id="rId521" Type="http://schemas.openxmlformats.org/officeDocument/2006/relationships/hyperlink" Target="https://maps.app.goo.gl/DLytK5jzA96V58kK6" TargetMode="External"/><Relationship Id="rId1110" Type="http://schemas.openxmlformats.org/officeDocument/2006/relationships/hyperlink" Target="https://www.klicviewer.nl/klic-viewer/uitlevering/01d1d0cb-c571-46ff-a72c-011a86fcb10e" TargetMode="External"/><Relationship Id="rId1594" Type="http://schemas.openxmlformats.org/officeDocument/2006/relationships/hyperlink" Target="https://app.pdok.nl/viewer/" TargetMode="External"/><Relationship Id="rId520" Type="http://schemas.openxmlformats.org/officeDocument/2006/relationships/hyperlink" Target="https://www.klicviewer.nl/klic-viewer/uitlevering/2d8c92b3-799d-4972-9588-00481168eac1" TargetMode="External"/><Relationship Id="rId1111" Type="http://schemas.openxmlformats.org/officeDocument/2006/relationships/hyperlink" Target="https://www.google.com/maps/place/Zwettewei+40,+8629+EC+Scharnegoutum/@53.0598953,5.6812001,19z/data=!4m6!3m5!1s0x47c8f041c6a405f9:0xf8127c41aa018283!8m2!3d53.0600294!4d5.6817257!16s%2Fg%2F11c4r9q3v1?entry=ttu&amp;g_ep=EgoyMDI1MTAyMi4wIKXMDSoASAFQAw%3D%3D" TargetMode="External"/><Relationship Id="rId1595" Type="http://schemas.openxmlformats.org/officeDocument/2006/relationships/hyperlink" Target="https://vechtstromen.maps.arcgis.com/apps/webappviewer/index.html?id=157236e98867443696757e2091ebc25a" TargetMode="External"/><Relationship Id="rId1112" Type="http://schemas.openxmlformats.org/officeDocument/2006/relationships/hyperlink" Target="https://app.pdok.nl/viewer/" TargetMode="External"/><Relationship Id="rId1596" Type="http://schemas.openxmlformats.org/officeDocument/2006/relationships/hyperlink" Target="https://www.klicviewer.nl/klic-viewer/uitlevering/ea81994a-3741-4459-bbb5-2ace5de2f108" TargetMode="External"/><Relationship Id="rId1113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1597" Type="http://schemas.openxmlformats.org/officeDocument/2006/relationships/hyperlink" Target="https://maps.app.goo.gl/pxJDSsgp36HbKmaN9" TargetMode="External"/><Relationship Id="rId1103" Type="http://schemas.openxmlformats.org/officeDocument/2006/relationships/hyperlink" Target="https://www.google.com/maps/place/Abtswoude+15,+2623+NB+Delft/@51.9805859,4.3549979,173m/data=!3m2!1e3!4b1!4m6!3m5!1s0x47c5b50b1f59ddad:0x5a477423e723f7c9!8m2!3d51.9805859!4d4.355643!16s%2Fg%2F11c4pf6sjj?entry=ttu&amp;g_ep=EgoyMDI1MTAyMi4wIKXMDSoASAFQAw%3D%3D" TargetMode="External"/><Relationship Id="rId1587" Type="http://schemas.openxmlformats.org/officeDocument/2006/relationships/hyperlink" Target="https://kaarten.hhnk.nl/portal/apps/experiencebuilder/experience/?id=51ae36990bf448248b105c8fbc9fbeb3&amp;page=page_8" TargetMode="External"/><Relationship Id="rId1104" Type="http://schemas.openxmlformats.org/officeDocument/2006/relationships/hyperlink" Target="https://app.pdok.nl/viewer/" TargetMode="External"/><Relationship Id="rId1588" Type="http://schemas.openxmlformats.org/officeDocument/2006/relationships/hyperlink" Target="https://www.klicviewer.nl/klic-viewer/uitlevering/c9b3f557-cf04-4ced-b07a-75936573f69d" TargetMode="External"/><Relationship Id="rId1105" Type="http://schemas.openxmlformats.org/officeDocument/2006/relationships/hyperlink" Target="https://experience.arcgis.com/experience/a316920536d94e7a90d5fb5edfe48134/" TargetMode="External"/><Relationship Id="rId1589" Type="http://schemas.openxmlformats.org/officeDocument/2006/relationships/hyperlink" Target="https://www.google.com/maps/place/Jan+Tooropstraat+53,+7606+JS+Almelo/@52.3420035,6.6452692,409m/data=!3m1!1e3!4m14!1m7!3m6!1s0x47b8088052328f19:0x419135461998a4db!2sAry+Schefferstraat+49,+7606+KN+Almelo!3b1!8m2!3d52.3430074!4d6.6462167!3m5!1s0x47b80880f2c112d1:0x39e7c3f8584e601!8m2!3d52.3419913!4d6.6448252!16s%2Fg%2F11cppk9vr2?entry=ttu&amp;g_ep=EgoyMDI1MDkyNC4wIKXMDSoASAFQAw%3D%3D" TargetMode="External"/><Relationship Id="rId1106" Type="http://schemas.openxmlformats.org/officeDocument/2006/relationships/hyperlink" Target="https://www.klicviewer.nl/klic-viewer/uitlevering/c69ff205-09a2-464d-91f5-f7594a180c91" TargetMode="External"/><Relationship Id="rId1107" Type="http://schemas.openxmlformats.org/officeDocument/2006/relationships/hyperlink" Target="https://www.google.com/maps/place/Koppenburglaan+43,+1104+PT+Amsterdam/@52.317758,4.9707492,122m/data=!3m1!1e3!4m6!3m5!1s0x47c60c74640c8601:0xd426e7ac5de8f79a!8m2!3d52.3178046!4d4.9709845!16s%2Fg%2F11c21bxynd?entry=ttu&amp;g_ep=EgoyMDI1MTAyMi4wIKXMDSoASAFQAw%3D%3D" TargetMode="External"/><Relationship Id="rId1108" Type="http://schemas.openxmlformats.org/officeDocument/2006/relationships/hyperlink" Target="https://app.pdok.nl/viewer/" TargetMode="External"/><Relationship Id="rId1109" Type="http://schemas.openxmlformats.org/officeDocument/2006/relationships/hyperlink" Target="https://maps.waternet.nl/portal/apps/experiencebuilder/experience/?id=36500ca8332b489182bf9ab83427cbc1" TargetMode="External"/><Relationship Id="rId519" Type="http://schemas.openxmlformats.org/officeDocument/2006/relationships/hyperlink" Target="https://rijnland.maps.arcgis.com/apps/instant/sidebar/index.html?appid=2b214417eea74ae9a56119c251ffa960" TargetMode="External"/><Relationship Id="rId514" Type="http://schemas.openxmlformats.org/officeDocument/2006/relationships/hyperlink" Target="https://app.pdok.nl/viewer/" TargetMode="External"/><Relationship Id="rId998" Type="http://schemas.openxmlformats.org/officeDocument/2006/relationships/hyperlink" Target="https://maps.app.goo.gl/ioATMR6f59tRALjp6" TargetMode="External"/><Relationship Id="rId513" Type="http://schemas.openxmlformats.org/officeDocument/2006/relationships/hyperlink" Target="https://maps.app.goo.gl/qKErgT9GZqJdWcGz7" TargetMode="External"/><Relationship Id="rId997" Type="http://schemas.openxmlformats.org/officeDocument/2006/relationships/hyperlink" Target="https://www.klicviewer.nl/klic-viewer/uitlevering/ce925388-9e41-4f17-9748-13ab24dd4fd7" TargetMode="External"/><Relationship Id="rId512" Type="http://schemas.openxmlformats.org/officeDocument/2006/relationships/hyperlink" Target="https://www.klicviewer.nl/klic-viewer/uitlevering/8efa7d35-c787-449f-bc2b-aab49a6c2bca" TargetMode="External"/><Relationship Id="rId996" Type="http://schemas.openxmlformats.org/officeDocument/2006/relationships/hyperlink" Target="https://maps.app.goo.gl/p94DcjAvixf5KBmD9" TargetMode="External"/><Relationship Id="rId511" Type="http://schemas.openxmlformats.org/officeDocument/2006/relationships/hyperlink" Target="https://kaarten.hhnk.nl/portal/apps/webappviewer/index.html?id=d2de3caed0ba442290991e1f5b404e1a" TargetMode="External"/><Relationship Id="rId995" Type="http://schemas.openxmlformats.org/officeDocument/2006/relationships/hyperlink" Target="https://www.klicviewer.nl/klic-viewer/uitlevering/e17591b0-d796-439a-acbc-7ebf890c1303" TargetMode="External"/><Relationship Id="rId518" Type="http://schemas.openxmlformats.org/officeDocument/2006/relationships/hyperlink" Target="https://app.pdok.nl/viewer/" TargetMode="External"/><Relationship Id="rId517" Type="http://schemas.openxmlformats.org/officeDocument/2006/relationships/hyperlink" Target="https://maps.app.goo.gl/quivwqPTMnBBpbYW8" TargetMode="External"/><Relationship Id="rId516" Type="http://schemas.openxmlformats.org/officeDocument/2006/relationships/hyperlink" Target="https://www.klicviewer.nl/klic-viewer/uitlevering/c074a099-75f5-424a-95f2-cffac7e5d865" TargetMode="External"/><Relationship Id="rId515" Type="http://schemas.openxmlformats.org/officeDocument/2006/relationships/hyperlink" Target="https://maps.waternet.nl/portal/apps/experiencebuilder/experience/?id=36500ca8332b489182bf9ab83427cbc1" TargetMode="External"/><Relationship Id="rId999" Type="http://schemas.openxmlformats.org/officeDocument/2006/relationships/hyperlink" Target="https://app.pdok.nl/viewer/" TargetMode="External"/><Relationship Id="rId990" Type="http://schemas.openxmlformats.org/officeDocument/2006/relationships/hyperlink" Target="https://app.pdok.nl/viewer/" TargetMode="External"/><Relationship Id="rId1580" Type="http://schemas.openxmlformats.org/officeDocument/2006/relationships/hyperlink" Target="https://rijnland.maps.arcgis.com/apps/instant/sidebar/index.html?appid=5469a9663c5e4643b10efe6da9a15ae2" TargetMode="External"/><Relationship Id="rId1581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582" Type="http://schemas.openxmlformats.org/officeDocument/2006/relationships/hyperlink" Target="https://www.klicviewer.nl/klic-viewer/uitlevering/148e30f9-d5f9-480e-a86e-1aec1f7061d2" TargetMode="External"/><Relationship Id="rId510" Type="http://schemas.openxmlformats.org/officeDocument/2006/relationships/hyperlink" Target="https://app.pdok.nl/viewer/" TargetMode="External"/><Relationship Id="rId994" Type="http://schemas.openxmlformats.org/officeDocument/2006/relationships/hyperlink" Target="https://maps.app.goo.gl/p94DcjAvixf5KBmD9" TargetMode="External"/><Relationship Id="rId1583" Type="http://schemas.openxmlformats.org/officeDocument/2006/relationships/hyperlink" Target="https://maps.app.goo.gl/sz8kiAJqiR2mekjg8" TargetMode="External"/><Relationship Id="rId993" Type="http://schemas.openxmlformats.org/officeDocument/2006/relationships/hyperlink" Target="https://www.klicviewer.nl/klic-viewer/uitlevering/7d9164b3-d511-411f-bbfe-2f9cbfcc4061" TargetMode="External"/><Relationship Id="rId1100" Type="http://schemas.openxmlformats.org/officeDocument/2006/relationships/hyperlink" Target="https://app.pdok.nl/viewer/" TargetMode="External"/><Relationship Id="rId1584" Type="http://schemas.openxmlformats.org/officeDocument/2006/relationships/hyperlink" Target="https://app.pdok.nl/viewer/" TargetMode="External"/><Relationship Id="rId992" Type="http://schemas.openxmlformats.org/officeDocument/2006/relationships/hyperlink" Target="https://maps.app.goo.gl/p94DcjAvixf5KBmD9" TargetMode="External"/><Relationship Id="rId1101" Type="http://schemas.openxmlformats.org/officeDocument/2006/relationships/hyperlink" Target="https://wdedommel.maps.arcgis.com/apps/instant/sidebar/index.html?appid=23a834ba19684851a978b08708f6e83b" TargetMode="External"/><Relationship Id="rId1585" Type="http://schemas.openxmlformats.org/officeDocument/2006/relationships/hyperlink" Target="https://kaarten.hhnk.nl/portal/apps/webappviewer/index.html?id=d2de3caed0ba442290991e1f5b404e1a" TargetMode="External"/><Relationship Id="rId991" Type="http://schemas.openxmlformats.org/officeDocument/2006/relationships/hyperlink" Target="https://www.klicviewer.nl/klic-viewer/uitlevering/ce7d8c1f-ed34-47f7-8248-2cd4a0b2c2d7" TargetMode="External"/><Relationship Id="rId1102" Type="http://schemas.openxmlformats.org/officeDocument/2006/relationships/hyperlink" Target="https://www.klicviewer.nl/klic-viewer/uitlevering/ad0e0f66-b546-4d0b-8fda-f57b04d36da3" TargetMode="External"/><Relationship Id="rId1586" Type="http://schemas.openxmlformats.org/officeDocument/2006/relationships/hyperlink" Target="https://kaarten.hhnk.nl/portal/apps/experiencebuilder/experience/?id=51ae36990bf448248b105c8fbc9fbeb3" TargetMode="External"/><Relationship Id="rId1532" Type="http://schemas.openxmlformats.org/officeDocument/2006/relationships/hyperlink" Target="https://open-geodata-portaal-valleienveluwe.hub.arcgis.com/apps/e75d12ac1ccb47daa53c1b53916be4e9/explore" TargetMode="External"/><Relationship Id="rId153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534" Type="http://schemas.openxmlformats.org/officeDocument/2006/relationships/hyperlink" Target="https://www.klicviewer.nl/klic-viewer/uitlevering/0b5702be-8726-4296-a42a-89adfac05899" TargetMode="External"/><Relationship Id="rId1535" Type="http://schemas.openxmlformats.org/officeDocument/2006/relationships/hyperlink" Target="https://maps.app.goo.gl/FDKgHaJSXLNQkSXP7" TargetMode="External"/><Relationship Id="rId1536" Type="http://schemas.openxmlformats.org/officeDocument/2006/relationships/hyperlink" Target="https://app.pdok.nl/viewer/" TargetMode="External"/><Relationship Id="rId1537" Type="http://schemas.openxmlformats.org/officeDocument/2006/relationships/hyperlink" Target="https://rijnland.maps.arcgis.com/apps/instant/interactivelegend/index.html?appid=7bc3198037d24d54a9743987ad0731d2" TargetMode="External"/><Relationship Id="rId1538" Type="http://schemas.openxmlformats.org/officeDocument/2006/relationships/hyperlink" Target="https://rijnland.maps.arcgis.com/apps/instant/interactivelegend/index.html?appid=ac183c60750a435db95b1705d25b3121" TargetMode="External"/><Relationship Id="rId1539" Type="http://schemas.openxmlformats.org/officeDocument/2006/relationships/hyperlink" Target="https://rijnland.maps.arcgis.com/apps/instant/sidebar/index.html?appid=5469a9663c5e4643b10efe6da9a15ae2" TargetMode="External"/><Relationship Id="rId949" Type="http://schemas.openxmlformats.org/officeDocument/2006/relationships/hyperlink" Target="https://experience.arcgis.com/experience/9373fa4978604e8f91eb234b64e1d79e/page/De-dijken/" TargetMode="External"/><Relationship Id="rId948" Type="http://schemas.openxmlformats.org/officeDocument/2006/relationships/hyperlink" Target="https://app.pdok.nl/viewer/" TargetMode="External"/><Relationship Id="rId943" Type="http://schemas.openxmlformats.org/officeDocument/2006/relationships/hyperlink" Target="https://maps.app.goo.gl/Uk9NGMmEj3qrxbtbA" TargetMode="External"/><Relationship Id="rId942" Type="http://schemas.openxmlformats.org/officeDocument/2006/relationships/hyperlink" Target="https://www.klicviewer.nl/klic-viewer/uitlevering/48da49cc-fc2a-4546-8fd9-a18c6181ee97" TargetMode="External"/><Relationship Id="rId941" Type="http://schemas.openxmlformats.org/officeDocument/2006/relationships/hyperlink" Target="https://maps.waternet.nl/portal/apps/experiencebuilder/experience/?id=36500ca8332b489182bf9ab83427cbc1" TargetMode="External"/><Relationship Id="rId940" Type="http://schemas.openxmlformats.org/officeDocument/2006/relationships/hyperlink" Target="https://app.pdok.nl/viewer/" TargetMode="External"/><Relationship Id="rId947" Type="http://schemas.openxmlformats.org/officeDocument/2006/relationships/hyperlink" Target="https://www.google.com/maps/place/Molenviergang+4,+2761+BK+Zevenhuizen/@52.0264594,4.5591827,122m/data=!3m1!1e3!4m6!3m5!1s0x47c5ce7a814ac107:0x431193b82980a75d!8m2!3d52.0264882!4d4.559531!16s%2Fg%2F11ygx7y44z?entry=ttu&amp;g_ep=EgoyMDI1MTExMi4wIKXMDSoASAFQAw%3D%3D" TargetMode="External"/><Relationship Id="rId946" Type="http://schemas.openxmlformats.org/officeDocument/2006/relationships/hyperlink" Target="https://www.klicviewer.nl/klic-viewer/uitlevering/b7ff0724-0018-4f37-a699-5c24329b2351" TargetMode="External"/><Relationship Id="rId945" Type="http://schemas.openxmlformats.org/officeDocument/2006/relationships/hyperlink" Target="https://maps.waternet.nl/portal/apps/experiencebuilder/experience/?id=36500ca8332b489182bf9ab83427cbc1" TargetMode="External"/><Relationship Id="rId944" Type="http://schemas.openxmlformats.org/officeDocument/2006/relationships/hyperlink" Target="https://app.pdok.nl/viewer/" TargetMode="External"/><Relationship Id="rId1530" Type="http://schemas.openxmlformats.org/officeDocument/2006/relationships/hyperlink" Target="https://maps.app.goo.gl/aXvqSf8fGGLDGvPz9" TargetMode="External"/><Relationship Id="rId1531" Type="http://schemas.openxmlformats.org/officeDocument/2006/relationships/hyperlink" Target="https://app.pdok.nl/viewer/" TargetMode="External"/><Relationship Id="rId1521" Type="http://schemas.openxmlformats.org/officeDocument/2006/relationships/hyperlink" Target="https://www.klicviewer.nl/klic-viewer/uitlevering/fda1872b-b234-44fc-b19d-69ba320f1fb5" TargetMode="External"/><Relationship Id="rId1522" Type="http://schemas.openxmlformats.org/officeDocument/2006/relationships/hyperlink" Target="https://www.google.com/maps/place/Rigedyk+8,+8614+XA+Oudega/@52.9909738,5.5624576,169m/data=!3m1!1e3!4m6!3m5!1s0x47c8ec3ad5a6bef3:0x7daf2e0b33724cb5!8m2!3d52.9910284!4d5.5633571!16s%2Fg%2F11c3s93d_t?entry=ttu&amp;g_ep=EgoyMDI1MDkyOS4wIKXMDSoASAFQAw%3D%3D" TargetMode="External"/><Relationship Id="rId1523" Type="http://schemas.openxmlformats.org/officeDocument/2006/relationships/hyperlink" Target="https://app.pdok.nl/viewer/" TargetMode="External"/><Relationship Id="rId1524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1525" Type="http://schemas.openxmlformats.org/officeDocument/2006/relationships/hyperlink" Target="https://www.klicviewer.nl/klic-viewer/uitlevering/22298477-b8d4-4ea0-861b-0eb8cfc1c221" TargetMode="External"/><Relationship Id="rId1526" Type="http://schemas.openxmlformats.org/officeDocument/2006/relationships/hyperlink" Target="https://maps.app.goo.gl/aXvqSf8fGGLDGvPz9" TargetMode="External"/><Relationship Id="rId1527" Type="http://schemas.openxmlformats.org/officeDocument/2006/relationships/hyperlink" Target="https://app.pdok.nl/viewer/" TargetMode="External"/><Relationship Id="rId1528" Type="http://schemas.openxmlformats.org/officeDocument/2006/relationships/hyperlink" Target="https://open-geodata-portaal-valleienveluwe.hub.arcgis.com/apps/e75d12ac1ccb47daa53c1b53916be4e9/explore" TargetMode="External"/><Relationship Id="rId1529" Type="http://schemas.openxmlformats.org/officeDocument/2006/relationships/hyperlink" Target="https://www.klicviewer.nl/klic-viewer/uitlevering/4a0fd836-6c06-4bd1-a5c9-b12352ea907c" TargetMode="External"/><Relationship Id="rId939" Type="http://schemas.openxmlformats.org/officeDocument/2006/relationships/hyperlink" Target="https://www.google.com/maps/place/Herenweg+78B,+1433+HB+Kudelstaart/@52.2328037,4.7264199,122m/data=!3m1!1e3!4m15!1m8!3m7!1s0x47c5ddd05e309f81:0xbd27f5f4bcc1982f!2sHerenweg+78,+1433+HB+Kudelstaart!3b1!8m2!3d52.2334783!4d4.7288442!16s%2Fg%2F11snp_1q6p!3m5!1s0x47c5ddd039af079b:0xa7cc3e0bd48047fc!8m2!3d52.2330734!4d4.7271392!16s%2Fg%2F11c4vn6s14?entry=ttu&amp;g_ep=EgoyMDI1MTAxNC4wIKXMDSoASAFQAw%3D%3D" TargetMode="External"/><Relationship Id="rId938" Type="http://schemas.openxmlformats.org/officeDocument/2006/relationships/hyperlink" Target="https://www.klicviewer.nl/klic-viewer/uitlevering/3721b41e-d724-4e88-a426-3aa2fcd1b54a" TargetMode="External"/><Relationship Id="rId937" Type="http://schemas.openxmlformats.org/officeDocument/2006/relationships/hyperlink" Target="https://www.rijnland.net/over-rijnland/wat-doet-rijnland/voldoende-water/peilbesluiten/" TargetMode="External"/><Relationship Id="rId932" Type="http://schemas.openxmlformats.org/officeDocument/2006/relationships/hyperlink" Target="https://www.klicviewer.nl/klic-viewer/uitlevering/fcb7e3ce-bcbd-4484-9b17-cfcc271a6e31" TargetMode="External"/><Relationship Id="rId931" Type="http://schemas.openxmlformats.org/officeDocument/2006/relationships/hyperlink" Target="https://maps.waternet.nl/portal/apps/experiencebuilder/experience/?id=36500ca8332b489182bf9ab83427cbc1" TargetMode="External"/><Relationship Id="rId930" Type="http://schemas.openxmlformats.org/officeDocument/2006/relationships/hyperlink" Target="https://app.pdok.nl/viewer/" TargetMode="External"/><Relationship Id="rId936" Type="http://schemas.openxmlformats.org/officeDocument/2006/relationships/hyperlink" Target="https://rijnland.maps.arcgis.com/apps/instant/sidebar/index.html?appid=f0fd839278474fe7841a12800fcc3e39" TargetMode="External"/><Relationship Id="rId935" Type="http://schemas.openxmlformats.org/officeDocument/2006/relationships/hyperlink" Target="https://rijnland.maps.arcgis.com/apps/instant/sidebar/index.html?appid=2b214417eea74ae9a56119c251ffa960" TargetMode="External"/><Relationship Id="rId934" Type="http://schemas.openxmlformats.org/officeDocument/2006/relationships/hyperlink" Target="https://app.pdok.nl/viewer/" TargetMode="External"/><Relationship Id="rId933" Type="http://schemas.openxmlformats.org/officeDocument/2006/relationships/hyperlink" Target="https://www.google.com/maps/place/Spieringweg+1154,+2136+LP+Zwaanshoek/@52.303962,4.6105459,243m/data=!3m1!1e3!4m6!3m5!1s0x47c5e85b4ef48b55:0x8da5fc4218d06ab0!8m2!3d52.303847!4d4.6113625!16s%2Fg%2F11cpl1p3tw?entry=ttu&amp;g_ep=EgoyMDI1MTExMi4wIKXMDSoASAFQAw%3D%3D" TargetMode="External"/><Relationship Id="rId1520" Type="http://schemas.openxmlformats.org/officeDocument/2006/relationships/hyperlink" Target="https://experience.arcgis.com/experience/a316920536d94e7a90d5fb5edfe48134/" TargetMode="External"/><Relationship Id="rId1554" Type="http://schemas.openxmlformats.org/officeDocument/2006/relationships/hyperlink" Target="https://rijnland.maps.arcgis.com/apps/instant/interactivelegend/index.html?appid=7bc3198037d24d54a9743987ad0731d2" TargetMode="External"/><Relationship Id="rId1555" Type="http://schemas.openxmlformats.org/officeDocument/2006/relationships/hyperlink" Target="https://www.klicviewer.nl/klic-viewer/uitlevering/5f68b5db-f680-4fef-8a3f-93afd7250ceb" TargetMode="External"/><Relationship Id="rId1556" Type="http://schemas.openxmlformats.org/officeDocument/2006/relationships/hyperlink" Target="https://www.google.com/maps/place/Weenderstraat+122,+9541+AJ+Vlagtwedde/@53.022524,7.1083275,138m/data=!3m1!1e3!4m6!3m5!1s0x47b7c8b97ae55ffb:0x6b2206b7e215022f!8m2!3d53.0224911!4d7.1094199!16s%2Fg%2F11csl5h03n?entry=ttu&amp;g_ep=EgoyMDI1MDgyNS4wIKXMDSoASAFQAw%3D%3D" TargetMode="External"/><Relationship Id="rId1557" Type="http://schemas.openxmlformats.org/officeDocument/2006/relationships/hyperlink" Target="https://app.pdok.nl/viewer/" TargetMode="External"/><Relationship Id="rId1558" Type="http://schemas.openxmlformats.org/officeDocument/2006/relationships/hyperlink" Target="https://opendata.hunzeenaas.nl/opendataportaal/srv/dut/catalog.search" TargetMode="External"/><Relationship Id="rId1559" Type="http://schemas.openxmlformats.org/officeDocument/2006/relationships/hyperlink" Target="https://www.klicviewer.nl/klic-viewer/uitlevering/94cea5d4-935d-42b7-80e0-dd31f31776e1" TargetMode="External"/><Relationship Id="rId965" Type="http://schemas.openxmlformats.org/officeDocument/2006/relationships/hyperlink" Target="https://docs.google.com/spreadsheets/d/1p4n98__kYXpin-xkHqGziGsu5bSq-Wxc/edit?usp=sharing&amp;ouid=109069809842787901215&amp;rtpof=true&amp;sd=true" TargetMode="External"/><Relationship Id="rId964" Type="http://schemas.openxmlformats.org/officeDocument/2006/relationships/hyperlink" Target="https://geoportaal.brabantsedelta.nl/portal/apps/instant/basic/index.html?appid=1b1bc9e528d549569835253f2c42b240" TargetMode="External"/><Relationship Id="rId963" Type="http://schemas.openxmlformats.org/officeDocument/2006/relationships/hyperlink" Target="https://app.pdok.nl/viewer/" TargetMode="External"/><Relationship Id="rId962" Type="http://schemas.openxmlformats.org/officeDocument/2006/relationships/hyperlink" Target="https://maps.app.goo.gl/wQS788p7odhmDNn99" TargetMode="External"/><Relationship Id="rId969" Type="http://schemas.openxmlformats.org/officeDocument/2006/relationships/hyperlink" Target="https://opendata.hunzeenaas.nl/opendataportaal/srv/dut/catalog.search" TargetMode="External"/><Relationship Id="rId968" Type="http://schemas.openxmlformats.org/officeDocument/2006/relationships/hyperlink" Target="https://app.pdok.nl/viewer/" TargetMode="External"/><Relationship Id="rId967" Type="http://schemas.openxmlformats.org/officeDocument/2006/relationships/hyperlink" Target="https://maps.app.goo.gl/Qf98VzJXg4VHzwp46" TargetMode="External"/><Relationship Id="rId966" Type="http://schemas.openxmlformats.org/officeDocument/2006/relationships/hyperlink" Target="https://www.klicviewer.nl/klic-viewer/uitlevering/96e374c8-79c6-4a8c-9380-63c226ebd879" TargetMode="External"/><Relationship Id="rId961" Type="http://schemas.openxmlformats.org/officeDocument/2006/relationships/hyperlink" Target="https://www.klicviewer.nl/klic-viewer/uitlevering/085d912f-aaa8-4a7a-a875-0eac2c930181" TargetMode="External"/><Relationship Id="rId1550" Type="http://schemas.openxmlformats.org/officeDocument/2006/relationships/hyperlink" Target="https://vechtstromen.maps.arcgis.com/apps/webappviewer/index.html?id=157236e98867443696757e2091ebc25a" TargetMode="External"/><Relationship Id="rId960" Type="http://schemas.openxmlformats.org/officeDocument/2006/relationships/hyperlink" Target="https://experience.arcgis.com/experience/9269f566d1f04b38ad9712b9b9bf34fd" TargetMode="External"/><Relationship Id="rId1551" Type="http://schemas.openxmlformats.org/officeDocument/2006/relationships/hyperlink" Target="https://www.klicviewer.nl/klic-viewer/uitlevering/1107450c-cb5e-4444-aa90-1e468d11f048" TargetMode="External"/><Relationship Id="rId1552" Type="http://schemas.openxmlformats.org/officeDocument/2006/relationships/hyperlink" Target="https://www.google.com/maps/place/IJweg+1588,+2152+ND+Nieuw-Vennep/@52.2787995,4.6143866,172m/data=!3m1!1e3!4m6!3m5!1s0x47c5e8189d7c1539:0x4a3b42f181ac7203!8m2!3d52.2785306!4d4.6147576!16s%2Fg%2F11cpnyd1xx?entry=ttu&amp;g_ep=EgoyMDI1MDkyOC4wIKXMDSoASAFQAw%3D%3D" TargetMode="External"/><Relationship Id="rId1553" Type="http://schemas.openxmlformats.org/officeDocument/2006/relationships/hyperlink" Target="https://app.pdok.nl/viewer/" TargetMode="External"/><Relationship Id="rId1543" Type="http://schemas.openxmlformats.org/officeDocument/2006/relationships/hyperlink" Target="https://app.pdok.nl/viewer/" TargetMode="External"/><Relationship Id="rId1544" Type="http://schemas.openxmlformats.org/officeDocument/2006/relationships/hyperlink" Target="https://rijnland.maps.arcgis.com/apps/instant/interactivelegend/index.html?appid=7bc3198037d24d54a9743987ad0731d2" TargetMode="External"/><Relationship Id="rId1545" Type="http://schemas.openxmlformats.org/officeDocument/2006/relationships/hyperlink" Target="https://rijnland.maps.arcgis.com/apps/instant/interactivelegend/index.html?appid=ac183c60750a435db95b1705d25b3121" TargetMode="External"/><Relationship Id="rId1546" Type="http://schemas.openxmlformats.org/officeDocument/2006/relationships/hyperlink" Target="https://rijnland.maps.arcgis.com/apps/instant/sidebar/index.html?appid=5469a9663c5e4643b10efe6da9a15ae2" TargetMode="External"/><Relationship Id="rId1547" Type="http://schemas.openxmlformats.org/officeDocument/2006/relationships/hyperlink" Target="https://www.klicviewer.nl/klic-viewer/uitlevering/6a78b774-1be1-4a2f-a13a-830557b70bf1" TargetMode="External"/><Relationship Id="rId1548" Type="http://schemas.openxmlformats.org/officeDocument/2006/relationships/hyperlink" Target="https://www.google.com/maps/place/Sliepersdijk+1,+7645+AE+Hoge+Hexel/@52.3966148,6.5638787,20z/data=!4m15!1m8!3m7!1s0x47c7f8f6c2c4dc83:0x59b04ad38e194b5a!2sSliepersdijk+2,+7645+AE+Hoge+Hexel!3b1!8m2!3d52.3966385!4d6.5645237!16s%2Fg%2F11sm942vbm!3m5!1s0x47c7f8f6d923159d:0x98443c6cec1124e!8m2!3d52.3969535!4d6.5639427!16s%2Fg%2F11c2b7c0nw?entry=ttu&amp;g_ep=EgoyMDI1MDkyOC4wIKXMDSoASAFQAw%3D%3D" TargetMode="External"/><Relationship Id="rId1549" Type="http://schemas.openxmlformats.org/officeDocument/2006/relationships/hyperlink" Target="https://app.pdok.nl/viewer/" TargetMode="External"/><Relationship Id="rId959" Type="http://schemas.openxmlformats.org/officeDocument/2006/relationships/hyperlink" Target="https://app.pdok.nl/viewer/" TargetMode="External"/><Relationship Id="rId954" Type="http://schemas.openxmlformats.org/officeDocument/2006/relationships/hyperlink" Target="https://www.google.com/maps/search/52.748266,+5.035103?entry=tts&amp;g_ep=EgoyMDI1MTEwNS4wIPu8ASoASAFQAw%3D%3D&amp;skid=42bd0e24-3c2b-4067-84b9-a03d167bde9b" TargetMode="External"/><Relationship Id="rId953" Type="http://schemas.openxmlformats.org/officeDocument/2006/relationships/hyperlink" Target="https://www.klicviewer.nl/klic-viewer/uitlevering/c113a64b-ecd2-4b5a-88c7-b3b82dec1741" TargetMode="External"/><Relationship Id="rId952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951" Type="http://schemas.openxmlformats.org/officeDocument/2006/relationships/hyperlink" Target="https://opendata-hhsk.hub.arcgis.com/datasets/3b344e93e6db4295b27ff1b64c9ac4ad_1/explore" TargetMode="External"/><Relationship Id="rId958" Type="http://schemas.openxmlformats.org/officeDocument/2006/relationships/hyperlink" Target="https://www.google.com/maps/place/Tolhuisweg+6A,+7722+HT+Dalfsen/@52.498868,6.298706,144m/data=!3m1!1e3!4m6!3m5!1s0x47c7e229763df871:0xe539397e929b4c77!8m2!3d52.4988023!4d6.2999554!16s%2Fg%2F11xsr3x9pb?entry=ttu&amp;g_ep=EgoyMDI1MTExMi4wIKXMDSoASAFQAw%3D%3D" TargetMode="External"/><Relationship Id="rId957" Type="http://schemas.openxmlformats.org/officeDocument/2006/relationships/hyperlink" Target="https://www.klicviewer.nl/klic-viewer/uitlevering/f48d0528-bde0-40be-9f9e-0099daf1e10c" TargetMode="External"/><Relationship Id="rId956" Type="http://schemas.openxmlformats.org/officeDocument/2006/relationships/hyperlink" Target="https://kaarten.hhnk.nl/portal/apps/webappviewer/index.html?id=d2de3caed0ba442290991e1f5b404e1a" TargetMode="External"/><Relationship Id="rId955" Type="http://schemas.openxmlformats.org/officeDocument/2006/relationships/hyperlink" Target="https://app.pdok.nl/viewer/" TargetMode="External"/><Relationship Id="rId950" Type="http://schemas.openxmlformats.org/officeDocument/2006/relationships/hyperlink" Target="https://experience.arcgis.com/experience/e4162895d005481ba26c8530c09b7f62" TargetMode="External"/><Relationship Id="rId1540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541" Type="http://schemas.openxmlformats.org/officeDocument/2006/relationships/hyperlink" Target="https://www.klicviewer.nl/klic-viewer/uitlevering/0b5702be-8726-4296-a42a-89adfac05899" TargetMode="External"/><Relationship Id="rId1542" Type="http://schemas.openxmlformats.org/officeDocument/2006/relationships/hyperlink" Target="https://maps.app.goo.gl/FDKgHaJSXLNQkSXP7" TargetMode="External"/><Relationship Id="rId590" Type="http://schemas.openxmlformats.org/officeDocument/2006/relationships/hyperlink" Target="https://www.google.com/maps/place/Leidsestraatweg+16,+3481+EX+Harmelen/@52.0950663,4.9452517,122m/data=!3m1!1e3!4m6!3m5!1s0x47c670a386b28635:0x3d4a07ede05555dd!8m2!3d52.0952955!4d4.9458652!16s%2Fg%2F11c5bvwwdg?entry=ttu&amp;g_ep=EgoyMDI1MTIwMi4wIKXMDSoASAFQAw%3D%3D" TargetMode="External"/><Relationship Id="rId107" Type="http://schemas.openxmlformats.org/officeDocument/2006/relationships/hyperlink" Target="https://www.klicviewer.nl/klic-viewer/uitlevering/42a4230e-41ba-45d7-8b11-8127843266c3" TargetMode="External"/><Relationship Id="rId106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05" Type="http://schemas.openxmlformats.org/officeDocument/2006/relationships/hyperlink" Target="https://experience.arcgis.com/experience/e4162895d005481ba26c8530c09b7f62" TargetMode="External"/><Relationship Id="rId589" Type="http://schemas.openxmlformats.org/officeDocument/2006/relationships/hyperlink" Target="https://www.klicviewer.nl/klic-viewer/uitlevering/27c6cb23-cb5b-4618-823b-d18069089047" TargetMode="External"/><Relationship Id="rId104" Type="http://schemas.openxmlformats.org/officeDocument/2006/relationships/hyperlink" Target="https://experience.arcgis.com/experience/9373fa4978604e8f91eb234b64e1d79e/page/De-dijken/" TargetMode="External"/><Relationship Id="rId588" Type="http://schemas.openxmlformats.org/officeDocument/2006/relationships/hyperlink" Target="https://noorderzijlvest.maps.arcgis.com/apps/mapviewer/index.html?webmap=1576324c8de14bf180c17743e24584cc" TargetMode="External"/><Relationship Id="rId109" Type="http://schemas.openxmlformats.org/officeDocument/2006/relationships/hyperlink" Target="https://app.pdok.nl/viewer/" TargetMode="External"/><Relationship Id="rId1170" Type="http://schemas.openxmlformats.org/officeDocument/2006/relationships/hyperlink" Target="https://www.klicviewer.nl/klic-viewer/uitlevering/ccf5aa7b-4e07-4873-a3ff-0f7ef271b59b" TargetMode="External"/><Relationship Id="rId108" Type="http://schemas.openxmlformats.org/officeDocument/2006/relationships/hyperlink" Target="https://maps.app.goo.gl/R3GqLdPV2bwRuUCu8" TargetMode="External"/><Relationship Id="rId1171" Type="http://schemas.openxmlformats.org/officeDocument/2006/relationships/hyperlink" Target="https://www.google.com/maps/place/Verkeerspost+Hansweert/@51.4406034,4.0153104,209m/data=!3m1!1e3!4m14!1m7!3m6!1s0x47c47b18daad23cd:0x1f0ab2db3edf8a01!2sHansweert+Uitkijk+waterweg+Kruiningen!8m2!3d51.440124!4d4.0160487!16s%2Fg%2F11j6zh2cvk!3m5!1s0x47c47b4970136861:0x5c7e6a8c2b898a1a!8m2!3d51.4404335!4d4.0154495!16s%2Fg%2F11cjgchmg9?entry=ttu&amp;g_ep=EgoyMDI1MTAyMi4wIKXMDSoASAFQAw%3D%3D" TargetMode="External"/><Relationship Id="rId583" Type="http://schemas.openxmlformats.org/officeDocument/2006/relationships/hyperlink" Target="https://rijnland.maps.arcgis.com/apps/instant/sidebar/index.html?appid=5469a9663c5e4643b10efe6da9a15ae2" TargetMode="External"/><Relationship Id="rId1172" Type="http://schemas.openxmlformats.org/officeDocument/2006/relationships/hyperlink" Target="https://app.pdok.nl/viewer/" TargetMode="External"/><Relationship Id="rId582" Type="http://schemas.openxmlformats.org/officeDocument/2006/relationships/hyperlink" Target="https://rijnland.maps.arcgis.com/apps/instant/sidebar/index.html?appid=f0fd839278474fe7841a12800fcc3e39" TargetMode="External"/><Relationship Id="rId1173" Type="http://schemas.openxmlformats.org/officeDocument/2006/relationships/hyperlink" Target="https://experience.arcgis.com/experience/71d0ad9043bf442c91b7fd9bbc1f2e70/" TargetMode="External"/><Relationship Id="rId581" Type="http://schemas.openxmlformats.org/officeDocument/2006/relationships/hyperlink" Target="https://rijnland.maps.arcgis.com/apps/instant/sidebar/index.html?appid=2b214417eea74ae9a56119c251ffa960" TargetMode="External"/><Relationship Id="rId1174" Type="http://schemas.openxmlformats.org/officeDocument/2006/relationships/hyperlink" Target="https://scheldestromen.nl/interactievekaart" TargetMode="External"/><Relationship Id="rId580" Type="http://schemas.openxmlformats.org/officeDocument/2006/relationships/hyperlink" Target="https://app.pdok.nl/viewer/" TargetMode="External"/><Relationship Id="rId1175" Type="http://schemas.openxmlformats.org/officeDocument/2006/relationships/hyperlink" Target="https://www.klicviewer.nl/klic-viewer/uitlevering/c62e7e41-d761-488d-a554-17230fb02b7b" TargetMode="External"/><Relationship Id="rId103" Type="http://schemas.openxmlformats.org/officeDocument/2006/relationships/hyperlink" Target="https://app.pdok.nl/viewer/" TargetMode="External"/><Relationship Id="rId587" Type="http://schemas.openxmlformats.org/officeDocument/2006/relationships/hyperlink" Target="https://noorderzijlvest.maps.arcgis.com/apps/mapviewer/index.html?webmap=1576324c8de14bf180c17743e24584cc" TargetMode="External"/><Relationship Id="rId1176" Type="http://schemas.openxmlformats.org/officeDocument/2006/relationships/hyperlink" Target="https://www.google.com/maps/place/Troelstrasingel+2,+8262+SX+Kampen/@52.5613982,5.8998973,20z/data=!4m6!3m5!1s0x47c878a20217b0c1:0xfa2234af2c6e51e1!8m2!3d52.5614143!4d5.9003606!16s%2Fg%2F11c5cj_8l1?entry=ttu&amp;g_ep=EgoyMDI1MTAyMi4wIKXMDSoASAFQAw%3D%3D" TargetMode="External"/><Relationship Id="rId102" Type="http://schemas.openxmlformats.org/officeDocument/2006/relationships/hyperlink" Target="https://www.google.com/maps/place/Ringvaartweg+214,+3065+AH+Rotterdam/@51.9281533,4.5617871,146m/data=!3m1!1e3!4m6!3m5!1s0x47c432b4187dc78f:0xfcbf9aed2ff68206!8m2!3d51.9285368!4d4.5617622!16s%2Fg%2F11j_1ltwm_?entry=ttu&amp;g_ep=EgoyMDI2MDIxOC4wIKXMDSoASAFQAw%3D%3D" TargetMode="External"/><Relationship Id="rId586" Type="http://schemas.openxmlformats.org/officeDocument/2006/relationships/hyperlink" Target="https://app.pdok.nl/viewer/" TargetMode="External"/><Relationship Id="rId1177" Type="http://schemas.openxmlformats.org/officeDocument/2006/relationships/hyperlink" Target="https://app.pdok.nl/viewer/" TargetMode="External"/><Relationship Id="rId101" Type="http://schemas.openxmlformats.org/officeDocument/2006/relationships/hyperlink" Target="https://www.klicviewer.nl/klic-viewer/uitlevering/3de04143-2255-420f-80d4-a680681eefe1" TargetMode="External"/><Relationship Id="rId585" Type="http://schemas.openxmlformats.org/officeDocument/2006/relationships/hyperlink" Target="https://maps.app.goo.gl/TcTZCfe4u8gz68h29" TargetMode="External"/><Relationship Id="rId1178" Type="http://schemas.openxmlformats.org/officeDocument/2006/relationships/hyperlink" Target="https://experience.arcgis.com/experience/9269f566d1f04b38ad9712b9b9bf34fd" TargetMode="External"/><Relationship Id="rId100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584" Type="http://schemas.openxmlformats.org/officeDocument/2006/relationships/hyperlink" Target="https://www.klicviewer.nl/klic-viewer/uitlevering/963f2646-7a76-4fee-9941-4b09b6a776af" TargetMode="External"/><Relationship Id="rId1179" Type="http://schemas.openxmlformats.org/officeDocument/2006/relationships/hyperlink" Target="https://www.klicviewer.nl/klic-viewer/uitlevering/459c44cf-9ed4-4b2b-9884-c7b4587af3f0" TargetMode="External"/><Relationship Id="rId1169" Type="http://schemas.openxmlformats.org/officeDocument/2006/relationships/hyperlink" Target="https://rijnland.maps.arcgis.com/apps/instant/sidebar/index.html?appid=5469a9663c5e4643b10efe6da9a15ae2" TargetMode="External"/><Relationship Id="rId579" Type="http://schemas.openxmlformats.org/officeDocument/2006/relationships/hyperlink" Target="https://maps.app.goo.gl/77ZTsYNEsnjsZ6Qx6" TargetMode="External"/><Relationship Id="rId578" Type="http://schemas.openxmlformats.org/officeDocument/2006/relationships/hyperlink" Target="https://www.klicviewer.nl/klic-viewer/uitlevering/c5421801-332d-4502-8511-10119302a775" TargetMode="External"/><Relationship Id="rId577" Type="http://schemas.openxmlformats.org/officeDocument/2006/relationships/hyperlink" Target="https://rijnland.maps.arcgis.com/apps/instant/sidebar/index.html?appid=5469a9663c5e4643b10efe6da9a15ae2" TargetMode="External"/><Relationship Id="rId1160" Type="http://schemas.openxmlformats.org/officeDocument/2006/relationships/hyperlink" Target="https://rijnland.maps.arcgis.com/apps/instant/interactivelegend/index.html?appid=7bc3198037d24d54a9743987ad0731d2" TargetMode="External"/><Relationship Id="rId572" Type="http://schemas.openxmlformats.org/officeDocument/2006/relationships/hyperlink" Target="https://www.klicviewer.nl/klic-viewer/uitlevering/cde6752e-68c6-44a3-bd4b-decfba101406" TargetMode="External"/><Relationship Id="rId1161" Type="http://schemas.openxmlformats.org/officeDocument/2006/relationships/hyperlink" Target="https://rijnland.maps.arcgis.com/apps/instant/interactivelegend/index.html?appid=ac183c60750a435db95b1705d25b3121" TargetMode="External"/><Relationship Id="rId571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162" Type="http://schemas.openxmlformats.org/officeDocument/2006/relationships/hyperlink" Target="https://rijnland.maps.arcgis.com/apps/instant/sidebar/index.html?appid=5469a9663c5e4643b10efe6da9a15ae2" TargetMode="External"/><Relationship Id="rId570" Type="http://schemas.openxmlformats.org/officeDocument/2006/relationships/hyperlink" Target="https://rijnland.maps.arcgis.com/apps/instant/sidebar/index.html?appid=5469a9663c5e4643b10efe6da9a15ae2" TargetMode="External"/><Relationship Id="rId116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164" Type="http://schemas.openxmlformats.org/officeDocument/2006/relationships/hyperlink" Target="https://www.klicviewer.nl/klic-viewer/uitlevering/070c67fd-99c5-4368-9cfb-a633af62ceef" TargetMode="External"/><Relationship Id="rId576" Type="http://schemas.openxmlformats.org/officeDocument/2006/relationships/hyperlink" Target="https://rijnland.maps.arcgis.com/apps/instant/sidebar/index.html?appid=f0fd839278474fe7841a12800fcc3e39" TargetMode="External"/><Relationship Id="rId1165" Type="http://schemas.openxmlformats.org/officeDocument/2006/relationships/hyperlink" Target="https://maps.app.goo.gl/ticFNC6pkeJu4dws7" TargetMode="External"/><Relationship Id="rId575" Type="http://schemas.openxmlformats.org/officeDocument/2006/relationships/hyperlink" Target="https://rijnland.maps.arcgis.com/apps/instant/sidebar/index.html?appid=2b214417eea74ae9a56119c251ffa960" TargetMode="External"/><Relationship Id="rId1166" Type="http://schemas.openxmlformats.org/officeDocument/2006/relationships/hyperlink" Target="https://dmmb.ipm4pro.nl/port.html?guid=61c7588f-3a78-4dd0-8ef5-7eb0b216ff76" TargetMode="External"/><Relationship Id="rId574" Type="http://schemas.openxmlformats.org/officeDocument/2006/relationships/hyperlink" Target="https://app.pdok.nl/viewer/" TargetMode="External"/><Relationship Id="rId1167" Type="http://schemas.openxmlformats.org/officeDocument/2006/relationships/hyperlink" Target="https://rijnland.maps.arcgis.com/apps/instant/interactivelegend/index.html?appid=7bc3198037d24d54a9743987ad0731d2" TargetMode="External"/><Relationship Id="rId573" Type="http://schemas.openxmlformats.org/officeDocument/2006/relationships/hyperlink" Target="https://maps.app.goo.gl/HP7uT9n4uSgCRvjYA" TargetMode="External"/><Relationship Id="rId1168" Type="http://schemas.openxmlformats.org/officeDocument/2006/relationships/hyperlink" Target="https://rijnland.maps.arcgis.com/apps/instant/interactivelegend/index.html?appid=ac183c60750a435db95b1705d25b3121" TargetMode="External"/><Relationship Id="rId129" Type="http://schemas.openxmlformats.org/officeDocument/2006/relationships/hyperlink" Target="https://maps.app.goo.gl/zvLhQ7kQkeih7L6XA" TargetMode="External"/><Relationship Id="rId128" Type="http://schemas.openxmlformats.org/officeDocument/2006/relationships/hyperlink" Target="https://www.klicviewer.nl/klic-viewer/uitlevering/f06c3ea1-deae-42b1-a1a5-6ffd61fa18cc" TargetMode="External"/><Relationship Id="rId127" Type="http://schemas.openxmlformats.org/officeDocument/2006/relationships/hyperlink" Target="https://kaarten.hhnk.nl/portal/apps/experiencebuilder/experience/?id=51ae36990bf448248b105c8fbc9fbeb3" TargetMode="External"/><Relationship Id="rId126" Type="http://schemas.openxmlformats.org/officeDocument/2006/relationships/hyperlink" Target="https://kaarten.hhnk.nl/portal/apps/webappviewer/index.html?id=d2de3caed0ba442290991e1f5b404e1a" TargetMode="External"/><Relationship Id="rId1190" Type="http://schemas.openxmlformats.org/officeDocument/2006/relationships/hyperlink" Target="https://www.klicviewer.nl/klic-viewer/uitlevering/9846b6fe-432c-48b5-b3e5-bb1885d7f4b5" TargetMode="External"/><Relationship Id="rId1191" Type="http://schemas.openxmlformats.org/officeDocument/2006/relationships/hyperlink" Target="https://maps.app.goo.gl/cEXjznEwEmDsvdKN9" TargetMode="External"/><Relationship Id="rId1192" Type="http://schemas.openxmlformats.org/officeDocument/2006/relationships/hyperlink" Target="https://app.pdok.nl/viewer/" TargetMode="External"/><Relationship Id="rId1193" Type="http://schemas.openxmlformats.org/officeDocument/2006/relationships/hyperlink" Target="https://maps.waternet.nl/portal/apps/experiencebuilder/experience/?id=36500ca8332b489182bf9ab83427cbc1" TargetMode="External"/><Relationship Id="rId121" Type="http://schemas.openxmlformats.org/officeDocument/2006/relationships/hyperlink" Target="https://kaarten.hhnk.nl/portal/apps/webappviewer/index.html?id=d2de3caed0ba442290991e1f5b404e1a" TargetMode="External"/><Relationship Id="rId1194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20" Type="http://schemas.openxmlformats.org/officeDocument/2006/relationships/hyperlink" Target="https://app.pdok.nl/viewer/" TargetMode="External"/><Relationship Id="rId1195" Type="http://schemas.openxmlformats.org/officeDocument/2006/relationships/hyperlink" Target="https://www.klicviewer.nl/klic-viewer/uitlevering/afe58ed0-625c-44b1-a19a-1c21a81cdb7f" TargetMode="External"/><Relationship Id="rId1196" Type="http://schemas.openxmlformats.org/officeDocument/2006/relationships/hyperlink" Target="https://maps.app.goo.gl/1tiYLrpm3q3VAvGdA" TargetMode="External"/><Relationship Id="rId1197" Type="http://schemas.openxmlformats.org/officeDocument/2006/relationships/hyperlink" Target="https://dmmb.ipm4pro.nl/port.html?guid=98aa06ef-c370-45ee-8e91-0bb776a96118" TargetMode="External"/><Relationship Id="rId125" Type="http://schemas.openxmlformats.org/officeDocument/2006/relationships/hyperlink" Target="https://app.pdok.nl/viewer/" TargetMode="External"/><Relationship Id="rId1198" Type="http://schemas.openxmlformats.org/officeDocument/2006/relationships/hyperlink" Target="https://rijnland.maps.arcgis.com/apps/instant/interactivelegend/index.html?appid=7bc3198037d24d54a9743987ad0731d2" TargetMode="External"/><Relationship Id="rId124" Type="http://schemas.openxmlformats.org/officeDocument/2006/relationships/hyperlink" Target="https://maps.app.goo.gl/fTLHC4kJXLU7kfND9" TargetMode="External"/><Relationship Id="rId1199" Type="http://schemas.openxmlformats.org/officeDocument/2006/relationships/hyperlink" Target="https://rijnland.maps.arcgis.com/apps/instant/interactivelegend/index.html?appid=ac183c60750a435db95b1705d25b3121" TargetMode="External"/><Relationship Id="rId123" Type="http://schemas.openxmlformats.org/officeDocument/2006/relationships/hyperlink" Target="https://www.klicviewer.nl/klic-viewer/uitlevering/c97dfae3-1fde-4408-9f21-1cdc4c427d57" TargetMode="External"/><Relationship Id="rId122" Type="http://schemas.openxmlformats.org/officeDocument/2006/relationships/hyperlink" Target="https://kaarten.hhnk.nl/portal/apps/experiencebuilder/experience/?id=44d528c37de546e9846eb2bcaebee084" TargetMode="External"/><Relationship Id="rId118" Type="http://schemas.openxmlformats.org/officeDocument/2006/relationships/hyperlink" Target="https://www.klicviewer.nl/klic-viewer/uitlevering/3c5180b0-15db-4d26-8d11-4f7ea3fffae4" TargetMode="External"/><Relationship Id="rId117" Type="http://schemas.openxmlformats.org/officeDocument/2006/relationships/hyperlink" Target="https://kaarten.hhnk.nl/portal/apps/experiencebuilder/experience/?id=44d528c37de546e9846eb2bcaebee084" TargetMode="External"/><Relationship Id="rId116" Type="http://schemas.openxmlformats.org/officeDocument/2006/relationships/hyperlink" Target="https://kaarten.hhnk.nl/portal/apps/webappviewer/index.html?id=d2de3caed0ba442290991e1f5b404e1a" TargetMode="External"/><Relationship Id="rId115" Type="http://schemas.openxmlformats.org/officeDocument/2006/relationships/hyperlink" Target="https://app.pdok.nl/viewer/" TargetMode="External"/><Relationship Id="rId599" Type="http://schemas.openxmlformats.org/officeDocument/2006/relationships/hyperlink" Target="https://rijnland.maps.arcgis.com/apps/instant/sidebar/index.html?appid=f0fd839278474fe7841a12800fcc3e39" TargetMode="External"/><Relationship Id="rId1180" Type="http://schemas.openxmlformats.org/officeDocument/2006/relationships/hyperlink" Target="https://www.google.com/maps/place/Haatland,+Reigerweg+17,+8263+BB+Kampen/@52.564377,5.8907466,19z/data=!4m15!1m8!3m7!1s0x47c878a468805d67:0x411c88266e65b11e!2sHaatland,+Haatlanderdijk+21,+8263+AN+Kampen!3b1!8m2!3d52.5637036!4d5.8930531!16s%2Fg%2F11vkgnw52b!3m5!1s0x47c878a4ff589439:0x36841aca868c7f51!8m2!3d52.5644655!4d5.8916601!16s%2Fg%2F11c4zjwjq7?entry=ttu&amp;g_ep=EgoyMDI1MTAyMi4wIKXMDSoASAFQAw%3D%3D" TargetMode="External"/><Relationship Id="rId1181" Type="http://schemas.openxmlformats.org/officeDocument/2006/relationships/hyperlink" Target="https://app.pdok.nl/viewer/" TargetMode="External"/><Relationship Id="rId119" Type="http://schemas.openxmlformats.org/officeDocument/2006/relationships/hyperlink" Target="https://www.google.com/maps/place/Oostmijzerdijk+7,+1636+WC+Schermerhorn/@52.601351,4.8943812,144m/data=!3m1!1e3!4m6!3m5!1s0x47c5fff7e6c0c605:0xd4586039ef1d6251!8m2!3d52.6014359!4d4.8947923!16s%2Fg%2F11j_1k_mt0?entry=ttu&amp;g_ep=EgoyMDI2MDIxOC4wIKXMDSoASAFQAw%3D%3D" TargetMode="External"/><Relationship Id="rId1182" Type="http://schemas.openxmlformats.org/officeDocument/2006/relationships/hyperlink" Target="https://experience.arcgis.com/experience/9269f566d1f04b38ad9712b9b9bf34fd" TargetMode="External"/><Relationship Id="rId110" Type="http://schemas.openxmlformats.org/officeDocument/2006/relationships/hyperlink" Target="https://rijnland.maps.arcgis.com/apps/instant/sidebar/index.html?appid=2b214417eea74ae9a56119c251ffa960" TargetMode="External"/><Relationship Id="rId594" Type="http://schemas.openxmlformats.org/officeDocument/2006/relationships/hyperlink" Target="https://hdsr.maps.arcgis.com/apps/instant/interactivelegend/index.html?appid=9e93c659d8a94b63a66f7d7c41f5a15b" TargetMode="External"/><Relationship Id="rId1183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593" Type="http://schemas.openxmlformats.org/officeDocument/2006/relationships/hyperlink" Target="https://experience.arcgis.com/experience/d8c3882f27734761b57f4c766e21b41c" TargetMode="External"/><Relationship Id="rId1184" Type="http://schemas.openxmlformats.org/officeDocument/2006/relationships/hyperlink" Target="https://www.klicviewer.nl/klic-viewer/uitlevering/517edbf9-914f-4919-9f28-c1435cef8a5d" TargetMode="External"/><Relationship Id="rId592" Type="http://schemas.openxmlformats.org/officeDocument/2006/relationships/hyperlink" Target="https://experience.arcgis.com/experience/574ae177043749ce9fc5cc2df510f79a" TargetMode="External"/><Relationship Id="rId1185" Type="http://schemas.openxmlformats.org/officeDocument/2006/relationships/hyperlink" Target="https://maps.app.goo.gl/ticFNC6pkeJu4dws7" TargetMode="External"/><Relationship Id="rId591" Type="http://schemas.openxmlformats.org/officeDocument/2006/relationships/hyperlink" Target="https://app.pdok.nl/viewer/" TargetMode="External"/><Relationship Id="rId1186" Type="http://schemas.openxmlformats.org/officeDocument/2006/relationships/hyperlink" Target="https://dmmb.ipm4pro.nl/port.html?guid=61c7588f-3a78-4dd0-8ef5-7eb0b216ff76" TargetMode="External"/><Relationship Id="rId114" Type="http://schemas.openxmlformats.org/officeDocument/2006/relationships/hyperlink" Target="https://www.google.com/maps/place/Zwaagdijk+425,+1685+PD+Zwaagdijk/@52.6739609,5.05222,203m/data=!3m1!1e3!4m6!3m5!1s0x47c8a9490eddb031:0xe056d9a22352185e!8m2!3d52.6737328!4d5.0529808!16s%2Fg%2F11c2gvkj2v?entry=ttu&amp;g_ep=EgoyMDI2MDIxOC4wIKXMDSoASAFQAw%3D%3D" TargetMode="External"/><Relationship Id="rId598" Type="http://schemas.openxmlformats.org/officeDocument/2006/relationships/hyperlink" Target="https://rijnland.maps.arcgis.com/apps/instant/sidebar/index.html?appid=2b214417eea74ae9a56119c251ffa960" TargetMode="External"/><Relationship Id="rId1187" Type="http://schemas.openxmlformats.org/officeDocument/2006/relationships/hyperlink" Target="https://rijnland.maps.arcgis.com/apps/instant/interactivelegend/index.html?appid=7bc3198037d24d54a9743987ad0731d2" TargetMode="External"/><Relationship Id="rId113" Type="http://schemas.openxmlformats.org/officeDocument/2006/relationships/hyperlink" Target="https://www.klicviewer.nl/klic-viewer/uitlevering/43f1bb1e-5275-4b06-b056-0fcae125acd3" TargetMode="External"/><Relationship Id="rId597" Type="http://schemas.openxmlformats.org/officeDocument/2006/relationships/hyperlink" Target="https://app.pdok.nl/viewer/" TargetMode="External"/><Relationship Id="rId1188" Type="http://schemas.openxmlformats.org/officeDocument/2006/relationships/hyperlink" Target="https://rijnland.maps.arcgis.com/apps/instant/interactivelegend/index.html?appid=ac183c60750a435db95b1705d25b3121" TargetMode="External"/><Relationship Id="rId112" Type="http://schemas.openxmlformats.org/officeDocument/2006/relationships/hyperlink" Target="https://rijnland.maps.arcgis.com/apps/instant/sidebar/index.html?appid=5469a9663c5e4643b10efe6da9a15ae2" TargetMode="External"/><Relationship Id="rId596" Type="http://schemas.openxmlformats.org/officeDocument/2006/relationships/hyperlink" Target="https://www.google.com/maps/place/Oosterduinweg+18,+2111+XJ+Aerdenhout/@52.3713215,4.6035965,136m/data=!3m1!1e3!4m6!3m5!1s0x47c5ef27627ac495:0x6879fa8d05e7bda5!8m2!3d52.3712372!4d4.6038907!16s%2Fg%2F11v0kk46v5?entry=ttu&amp;g_ep=EgoyMDI1MTIwMi4wIKXMDSoASAFQAw%3D%3D" TargetMode="External"/><Relationship Id="rId1189" Type="http://schemas.openxmlformats.org/officeDocument/2006/relationships/hyperlink" Target="https://rijnland.maps.arcgis.com/apps/instant/sidebar/index.html?appid=5469a9663c5e4643b10efe6da9a15ae2" TargetMode="External"/><Relationship Id="rId111" Type="http://schemas.openxmlformats.org/officeDocument/2006/relationships/hyperlink" Target="https://rijnland.maps.arcgis.com/apps/instant/sidebar/index.html?appid=f0fd839278474fe7841a12800fcc3e39" TargetMode="External"/><Relationship Id="rId595" Type="http://schemas.openxmlformats.org/officeDocument/2006/relationships/hyperlink" Target="https://www.klicviewer.nl/klic-viewer/uitlevering/5548c59b-0f50-4b1b-bdb4-43015d0f036e" TargetMode="External"/><Relationship Id="rId1136" Type="http://schemas.openxmlformats.org/officeDocument/2006/relationships/hyperlink" Target="https://www.klicviewer.nl/klic-viewer/uitlevering/d860d37c-2b31-45f8-bac4-59ba0d1af0e8" TargetMode="External"/><Relationship Id="rId1137" Type="http://schemas.openxmlformats.org/officeDocument/2006/relationships/hyperlink" Target="https://maps.app.goo.gl/ticFNC6pkeJu4dws7" TargetMode="External"/><Relationship Id="rId1138" Type="http://schemas.openxmlformats.org/officeDocument/2006/relationships/hyperlink" Target="https://dmmb.ipm4pro.nl/port.html?guid=61c7588f-3a78-4dd0-8ef5-7eb0b216ff76" TargetMode="External"/><Relationship Id="rId1139" Type="http://schemas.openxmlformats.org/officeDocument/2006/relationships/hyperlink" Target="https://rijnland.maps.arcgis.com/apps/instant/interactivelegend/index.html?appid=7bc3198037d24d54a9743987ad0731d2" TargetMode="External"/><Relationship Id="rId547" Type="http://schemas.openxmlformats.org/officeDocument/2006/relationships/hyperlink" Target="https://app.pdok.nl/viewer/" TargetMode="External"/><Relationship Id="rId546" Type="http://schemas.openxmlformats.org/officeDocument/2006/relationships/hyperlink" Target="https://www.google.com/maps/place/Lemsterweg+26,+8313+RC+Rutten/@52.8064057,5.7319874,681m/data=!3m2!1e3!4b1!4m6!3m5!1s0x47c88969e39096b5:0x22d8e0bc1bece478!8m2!3d52.8064057!4d5.7345677!16s%2Fg%2F11c4f2qp7c?entry=ttu&amp;g_ep=EgoyMDI1MTIwOS4wIKXMDSoASAFQAw%3D%3D" TargetMode="External"/><Relationship Id="rId545" Type="http://schemas.openxmlformats.org/officeDocument/2006/relationships/hyperlink" Target="https://www.klicviewer.nl/klic-viewer/uitlevering/bd1db289-bdf3-490e-bb9b-88bce387f75f" TargetMode="External"/><Relationship Id="rId544" Type="http://schemas.openxmlformats.org/officeDocument/2006/relationships/hyperlink" Target="https://open-geodata-portaal-valleienveluwe.hub.arcgis.com/apps/e75d12ac1ccb47daa53c1b53916be4e9/explore" TargetMode="External"/><Relationship Id="rId549" Type="http://schemas.openxmlformats.org/officeDocument/2006/relationships/hyperlink" Target="https://experience.arcgis.com/experience/d122fc8b91644543a693efd75233d2cc/page/Informatieproducten/" TargetMode="External"/><Relationship Id="rId548" Type="http://schemas.openxmlformats.org/officeDocument/2006/relationships/hyperlink" Target="https://experience.arcgis.com/experience/8911478aa46b44fcbd19bb1aacb50eb4/page/Legger-Keringen/" TargetMode="External"/><Relationship Id="rId1130" Type="http://schemas.openxmlformats.org/officeDocument/2006/relationships/hyperlink" Target="https://maps.app.goo.gl/ticFNC6pkeJu4dws7" TargetMode="External"/><Relationship Id="rId1131" Type="http://schemas.openxmlformats.org/officeDocument/2006/relationships/hyperlink" Target="https://dmmb.ipm4pro.nl/port.html?guid=61c7588f-3a78-4dd0-8ef5-7eb0b216ff76" TargetMode="External"/><Relationship Id="rId543" Type="http://schemas.openxmlformats.org/officeDocument/2006/relationships/hyperlink" Target="https://app.pdok.nl/viewer/" TargetMode="External"/><Relationship Id="rId1132" Type="http://schemas.openxmlformats.org/officeDocument/2006/relationships/hyperlink" Target="https://rijnland.maps.arcgis.com/apps/instant/interactivelegend/index.html?appid=7bc3198037d24d54a9743987ad0731d2" TargetMode="External"/><Relationship Id="rId542" Type="http://schemas.openxmlformats.org/officeDocument/2006/relationships/hyperlink" Target="https://www.google.com/maps/place/Rijksstraatweg+139,+7391+MK+Twello/@52.2404508,6.0979077,205m/data=!3m1!1e3!4m6!3m5!1s0x47c7c0497400d39b:0x1d586d3dbcc5a8c9!8m2!3d52.2402753!4d6.09857!16s%2Fg%2F11lmp2j64d?entry=ttu&amp;g_ep=EgoyMDI1MTIwOS4wIKXMDSoASAFQAw%3D%3D" TargetMode="External"/><Relationship Id="rId1133" Type="http://schemas.openxmlformats.org/officeDocument/2006/relationships/hyperlink" Target="https://rijnland.maps.arcgis.com/apps/instant/interactivelegend/index.html?appid=ac183c60750a435db95b1705d25b3121" TargetMode="External"/><Relationship Id="rId541" Type="http://schemas.openxmlformats.org/officeDocument/2006/relationships/hyperlink" Target="https://www.klicviewer.nl/klic-viewer/uitlevering/9939a7d6-4e1f-42c5-ae28-d56e2559c5b0" TargetMode="External"/><Relationship Id="rId1134" Type="http://schemas.openxmlformats.org/officeDocument/2006/relationships/hyperlink" Target="https://rijnland.maps.arcgis.com/apps/instant/sidebar/index.html?appid=5469a9663c5e4643b10efe6da9a15ae2" TargetMode="External"/><Relationship Id="rId540" Type="http://schemas.openxmlformats.org/officeDocument/2006/relationships/hyperlink" Target="https://experience.arcgis.com/experience/ff9e6ee747524d3cbce7712338ad0e89/page/Pagina-1" TargetMode="External"/><Relationship Id="rId1135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125" Type="http://schemas.openxmlformats.org/officeDocument/2006/relationships/hyperlink" Target="https://app.pdok.nl/viewer/" TargetMode="External"/><Relationship Id="rId1126" Type="http://schemas.openxmlformats.org/officeDocument/2006/relationships/hyperlink" Target="https://kaarten.hhnk.nl/portal/apps/webappviewer/index.html?id=d2de3caed0ba442290991e1f5b404e1a" TargetMode="External"/><Relationship Id="rId1127" Type="http://schemas.openxmlformats.org/officeDocument/2006/relationships/hyperlink" Target="https://kaarten.hhnk.nl/portal/apps/experiencebuilder/experience/?id=51ae36990bf448248b105c8fbc9fbeb3" TargetMode="External"/><Relationship Id="rId1128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129" Type="http://schemas.openxmlformats.org/officeDocument/2006/relationships/hyperlink" Target="https://www.klicviewer.nl/klic-viewer/uitlevering/56dbd8d5-235b-42ae-855d-788423c140e3" TargetMode="External"/><Relationship Id="rId536" Type="http://schemas.openxmlformats.org/officeDocument/2006/relationships/hyperlink" Target="https://kaarten.hhnk.nl/portal/apps/experiencebuilder/experience/?id=51ae36990bf448248b105c8fbc9fbeb3" TargetMode="External"/><Relationship Id="rId535" Type="http://schemas.openxmlformats.org/officeDocument/2006/relationships/hyperlink" Target="https://kaarten.hhnk.nl/portal/apps/webappviewer/index.html?id=d2de3caed0ba442290991e1f5b404e1a" TargetMode="External"/><Relationship Id="rId534" Type="http://schemas.openxmlformats.org/officeDocument/2006/relationships/hyperlink" Target="https://app.pdok.nl/viewer/" TargetMode="External"/><Relationship Id="rId533" Type="http://schemas.openxmlformats.org/officeDocument/2006/relationships/hyperlink" Target="https://www.google.com/maps/place/Herenweg+35,+1861+PA+Bergen/@52.6598548,4.6643506,342m/data=!3m1!1e3!4m6!3m5!1s0x47cf59b1fd806f45:0xdc0aa52bbbed1cfb!8m2!3d52.6597738!4d4.665577!16s%2Fg%2F11vkgwbkt0?entry=ttu&amp;g_ep=EgoyMDI1MTIwOS4wIKXMDSoASAFQAw%3D%3D" TargetMode="External"/><Relationship Id="rId539" Type="http://schemas.openxmlformats.org/officeDocument/2006/relationships/hyperlink" Target="https://app.pdok.nl/viewer/" TargetMode="External"/><Relationship Id="rId538" Type="http://schemas.openxmlformats.org/officeDocument/2006/relationships/hyperlink" Target="https://www.google.com/maps/place/Lingeweg+4,+6686+BW+Doornenburg/@51.8957957,6.001007,87m/data=!3m1!1e3!4m6!3m5!1s0x47c7a058b0acf9cb:0xfdd9f7605f88e2ed!8m2!3d51.895776!4d6.0014504!16s%2Fg%2F11cslf46sg?entry=ttu&amp;g_ep=EgoyMDI1MTIwOS4wIKXMDSoASAFQAw%3D%3D" TargetMode="External"/><Relationship Id="rId537" Type="http://schemas.openxmlformats.org/officeDocument/2006/relationships/hyperlink" Target="https://www.klicviewer.nl/klic-viewer/uitlevering/f7d3a50a-4056-42cf-9430-03187c8fe2fb" TargetMode="External"/><Relationship Id="rId1120" Type="http://schemas.openxmlformats.org/officeDocument/2006/relationships/hyperlink" Target="https://www.google.com/maps/place/Kudelstaartseweg+158,+1433+GN+Kudelstaart/@52.2413947,4.751853,19.5z/data=!4m6!3m5!1s0x47c5de7266596c01:0x242586eb6407ccd8!8m2!3d52.241408!4d4.7521619!16s%2Fg%2F11c31tcqk9?entry=ttu&amp;g_ep=EgoyMDI1MDMwMy4wIKXMDSoASAFQAw%3D%3D" TargetMode="External"/><Relationship Id="rId532" Type="http://schemas.openxmlformats.org/officeDocument/2006/relationships/hyperlink" Target="https://www.klicviewer.nl/klic-viewer/uitlevering/af71d096-c0d7-4247-a459-b494c81ed727" TargetMode="External"/><Relationship Id="rId1121" Type="http://schemas.openxmlformats.org/officeDocument/2006/relationships/hyperlink" Target="https://app.pdok.nl/viewer/" TargetMode="External"/><Relationship Id="rId531" Type="http://schemas.openxmlformats.org/officeDocument/2006/relationships/hyperlink" Target="https://rijnland.maps.arcgis.com/apps/instant/sidebar/index.html?appid=2b214417eea74ae9a56119c251ffa960" TargetMode="External"/><Relationship Id="rId1122" Type="http://schemas.openxmlformats.org/officeDocument/2006/relationships/hyperlink" Target="https://maps.waternet.nl/portal/apps/experiencebuilder/experience/?id=36500ca8332b489182bf9ab83427cbc1" TargetMode="External"/><Relationship Id="rId530" Type="http://schemas.openxmlformats.org/officeDocument/2006/relationships/hyperlink" Target="https://app.pdok.nl/viewer/" TargetMode="External"/><Relationship Id="rId1123" Type="http://schemas.openxmlformats.org/officeDocument/2006/relationships/hyperlink" Target="https://www.klicviewer.nl/klic-viewer/uitlevering/0ffd8600-b733-4395-b404-c8e4174522eb" TargetMode="External"/><Relationship Id="rId1124" Type="http://schemas.openxmlformats.org/officeDocument/2006/relationships/hyperlink" Target="https://www.google.com/maps/place/Rijperweg+120A,+1462+MG+Middenbeemster/@52.5429216,4.9368457,171m/data=!3m1!1e3!4m6!3m5!1s0x47c600ef0c354d03:0xec9423f19aec9132!8m2!3d52.5434713!4d4.9374044!16s%2Fg%2F11cscpq6zz?entry=ttu&amp;g_ep=EgoyMDI1MTAyMi4wIKXMDSoASAFQAw%3D%3D" TargetMode="External"/><Relationship Id="rId1158" Type="http://schemas.openxmlformats.org/officeDocument/2006/relationships/hyperlink" Target="https://maps.app.goo.gl/ticFNC6pkeJu4dws7" TargetMode="External"/><Relationship Id="rId1159" Type="http://schemas.openxmlformats.org/officeDocument/2006/relationships/hyperlink" Target="https://dmmb.ipm4pro.nl/port.html?guid=61c7588f-3a78-4dd0-8ef5-7eb0b216ff76" TargetMode="External"/><Relationship Id="rId569" Type="http://schemas.openxmlformats.org/officeDocument/2006/relationships/hyperlink" Target="https://rijnland.maps.arcgis.com/apps/instant/sidebar/index.html?appid=f0fd839278474fe7841a12800fcc3e39" TargetMode="External"/><Relationship Id="rId568" Type="http://schemas.openxmlformats.org/officeDocument/2006/relationships/hyperlink" Target="https://rijnland.maps.arcgis.com/apps/instant/sidebar/index.html?appid=2b214417eea74ae9a56119c251ffa960" TargetMode="External"/><Relationship Id="rId567" Type="http://schemas.openxmlformats.org/officeDocument/2006/relationships/hyperlink" Target="https://app.pdok.nl/viewer/" TargetMode="External"/><Relationship Id="rId566" Type="http://schemas.openxmlformats.org/officeDocument/2006/relationships/hyperlink" Target="https://www.google.com/maps/place/Meerpolder+33,+2717+PB+Zoetermeer/@52.0744215,4.4898115,122m/data=!3m1!1e3!4m15!1m8!3m7!1s0x47c5c8db25543e93:0x5450013018f0ca07!2sMeerpolder+31,+2717+PB+Zoetermeer!3b1!8m2!3d52.0735197!4d4.4852138!16s%2Fg%2F11c4x7fzb2!3m5!1s0x47c5c8cff00bf513:0x3be3e58c5f9214fb!8m2!3d52.0747066!4d4.4902097!16s%2Fg%2F11kfbkt674?entry=ttu&amp;g_ep=EgoyMDI1MTIwOS4wIKXMDSoASAFQAw%3D%3D" TargetMode="External"/><Relationship Id="rId561" Type="http://schemas.openxmlformats.org/officeDocument/2006/relationships/hyperlink" Target="https://www.google.com/maps/place/Zuiderweg+57B,+1456+NG+Wijdewormer/@52.4787072,4.8730525,343m/data=!3m1!1e3!4m6!3m5!1s0x47c5fd9cb182fb1b:0x967e90e133d9a557!8m2!3d52.4788525!4d4.8739968!16s%2Fg%2F11c4_7zr5n?entry=ttu&amp;g_ep=EgoyMDI1MTIwOS4wIKXMDSoASAFQAw%3D%3D" TargetMode="External"/><Relationship Id="rId1150" Type="http://schemas.openxmlformats.org/officeDocument/2006/relationships/hyperlink" Target="https://www.klicviewer.nl/klic-viewer/uitlevering/d059a28b-7a95-4386-ba22-a14ffa8d822e" TargetMode="External"/><Relationship Id="rId560" Type="http://schemas.openxmlformats.org/officeDocument/2006/relationships/hyperlink" Target="https://www.klicviewer.nl/klic-viewer/uitlevering/5ab6d910-6d7b-4fce-a774-d1d81fe64527" TargetMode="External"/><Relationship Id="rId1151" Type="http://schemas.openxmlformats.org/officeDocument/2006/relationships/hyperlink" Target="https://maps.app.goo.gl/ticFNC6pkeJu4dws7" TargetMode="External"/><Relationship Id="rId1152" Type="http://schemas.openxmlformats.org/officeDocument/2006/relationships/hyperlink" Target="https://dmmb.ipm4pro.nl/port.html?guid=61c7588f-3a78-4dd0-8ef5-7eb0b216ff76" TargetMode="External"/><Relationship Id="rId1153" Type="http://schemas.openxmlformats.org/officeDocument/2006/relationships/hyperlink" Target="https://rijnland.maps.arcgis.com/apps/instant/interactivelegend/index.html?appid=7bc3198037d24d54a9743987ad0731d2" TargetMode="External"/><Relationship Id="rId565" Type="http://schemas.openxmlformats.org/officeDocument/2006/relationships/hyperlink" Target="https://www.klicviewer.nl/klic-viewer/uitlevering/8a652fdc-d872-43c6-94c6-be89013cc1ac" TargetMode="External"/><Relationship Id="rId1154" Type="http://schemas.openxmlformats.org/officeDocument/2006/relationships/hyperlink" Target="https://rijnland.maps.arcgis.com/apps/instant/interactivelegend/index.html?appid=ac183c60750a435db95b1705d25b3121" TargetMode="External"/><Relationship Id="rId564" Type="http://schemas.openxmlformats.org/officeDocument/2006/relationships/hyperlink" Target="https://kaarten.hhnk.nl/portal/apps/experiencebuilder/experience/?id=51ae36990bf448248b105c8fbc9fbeb3" TargetMode="External"/><Relationship Id="rId1155" Type="http://schemas.openxmlformats.org/officeDocument/2006/relationships/hyperlink" Target="https://rijnland.maps.arcgis.com/apps/instant/sidebar/index.html?appid=5469a9663c5e4643b10efe6da9a15ae2" TargetMode="External"/><Relationship Id="rId563" Type="http://schemas.openxmlformats.org/officeDocument/2006/relationships/hyperlink" Target="https://kaarten.hhnk.nl/portal/apps/webappviewer/index.html?id=d2de3caed0ba442290991e1f5b404e1a" TargetMode="External"/><Relationship Id="rId1156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562" Type="http://schemas.openxmlformats.org/officeDocument/2006/relationships/hyperlink" Target="https://app.pdok.nl/viewer/" TargetMode="External"/><Relationship Id="rId1157" Type="http://schemas.openxmlformats.org/officeDocument/2006/relationships/hyperlink" Target="https://www.klicviewer.nl/klic-viewer/uitlevering/88fcccca-3ee6-4434-abdb-cc687075f190" TargetMode="External"/><Relationship Id="rId1147" Type="http://schemas.openxmlformats.org/officeDocument/2006/relationships/hyperlink" Target="https://rijnland.maps.arcgis.com/apps/instant/sidebar/index.html?appid=f0fd839278474fe7841a12800fcc3e39" TargetMode="External"/><Relationship Id="rId1148" Type="http://schemas.openxmlformats.org/officeDocument/2006/relationships/hyperlink" Target="https://rijnland.maps.arcgis.com/apps/instant/sidebar/index.html?appid=5469a9663c5e4643b10efe6da9a15ae2" TargetMode="External"/><Relationship Id="rId1149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558" Type="http://schemas.openxmlformats.org/officeDocument/2006/relationships/hyperlink" Target="https://rijnland.maps.arcgis.com/apps/instant/sidebar/index.html?appid=f0fd839278474fe7841a12800fcc3e39" TargetMode="External"/><Relationship Id="rId557" Type="http://schemas.openxmlformats.org/officeDocument/2006/relationships/hyperlink" Target="https://rijnland.maps.arcgis.com/apps/instant/sidebar/index.html?appid=2b214417eea74ae9a56119c251ffa960" TargetMode="External"/><Relationship Id="rId556" Type="http://schemas.openxmlformats.org/officeDocument/2006/relationships/hyperlink" Target="https://app.pdok.nl/viewer/" TargetMode="External"/><Relationship Id="rId555" Type="http://schemas.openxmlformats.org/officeDocument/2006/relationships/hyperlink" Target="https://www.google.com/maps/place/Uiterweg+53,+1431+AB+Aalsmeer/@52.2652389,4.7429283,172m/data=!3m1!1e3!4m6!3m5!1s0x47c5ddffe994e325:0x5a7ec3f73d3b37d3!8m2!3d52.2649931!4d4.7432503!16s%2Fg%2F11csg6nbzd?entry=ttu&amp;g_ep=EgoyMDI1MTIwOS4wIKXMDSoASAFQAw%3D%3D" TargetMode="External"/><Relationship Id="rId559" Type="http://schemas.openxmlformats.org/officeDocument/2006/relationships/hyperlink" Target="https://rijnland.maps.arcgis.com/apps/instant/sidebar/index.html?appid=5469a9663c5e4643b10efe6da9a15ae2" TargetMode="External"/><Relationship Id="rId550" Type="http://schemas.openxmlformats.org/officeDocument/2006/relationships/hyperlink" Target="https://www.klicviewer.nl/klic-viewer/uitlevering/2cec4c76-7745-40f4-8270-d934de562c73" TargetMode="External"/><Relationship Id="rId1140" Type="http://schemas.openxmlformats.org/officeDocument/2006/relationships/hyperlink" Target="https://rijnland.maps.arcgis.com/apps/instant/interactivelegend/index.html?appid=ac183c60750a435db95b1705d25b3121" TargetMode="External"/><Relationship Id="rId1141" Type="http://schemas.openxmlformats.org/officeDocument/2006/relationships/hyperlink" Target="https://rijnland.maps.arcgis.com/apps/instant/sidebar/index.html?appid=5469a9663c5e4643b10efe6da9a15ae2" TargetMode="External"/><Relationship Id="rId1142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554" Type="http://schemas.openxmlformats.org/officeDocument/2006/relationships/hyperlink" Target="https://www.klicviewer.nl/klic-viewer/uitlevering/f3f92921-6c37-4f4a-b69c-886fd16c1b18" TargetMode="External"/><Relationship Id="rId1143" Type="http://schemas.openxmlformats.org/officeDocument/2006/relationships/hyperlink" Target="https://www.klicviewer.nl/klic-viewer/uitlevering/fe3502e2-db93-4e6a-a927-fa12d0669fdf" TargetMode="External"/><Relationship Id="rId553" Type="http://schemas.openxmlformats.org/officeDocument/2006/relationships/hyperlink" Target="https://maps.waternet.nl/portal/apps/experiencebuilder/experience/?id=36500ca8332b489182bf9ab83427cbc1" TargetMode="External"/><Relationship Id="rId1144" Type="http://schemas.openxmlformats.org/officeDocument/2006/relationships/hyperlink" Target="https://maps.app.goo.gl/ticFNC6pkeJu4dws7" TargetMode="External"/><Relationship Id="rId552" Type="http://schemas.openxmlformats.org/officeDocument/2006/relationships/hyperlink" Target="https://app.pdok.nl/viewer/" TargetMode="External"/><Relationship Id="rId1145" Type="http://schemas.openxmlformats.org/officeDocument/2006/relationships/hyperlink" Target="https://dmmb.ipm4pro.nl/port.html?guid=61c7588f-3a78-4dd0-8ef5-7eb0b216ff76" TargetMode="External"/><Relationship Id="rId551" Type="http://schemas.openxmlformats.org/officeDocument/2006/relationships/hyperlink" Target="https://www.google.com/maps/place/Herenweg+61B,+1433+GX+Kudelstaart/@52.2336518,4.7352167,345m/data=!3m1!1e3!4m6!3m5!1s0x47c5ddd79920b6b3:0x9aba85cd24f72a7c!8m2!3d52.233412!4d4.7361735!16s%2Fg%2F11ypxq6dtm?entry=ttu&amp;g_ep=EgoyMDI1MTIwOS4wIKXMDSoASAFQAw%3D%3D" TargetMode="External"/><Relationship Id="rId1146" Type="http://schemas.openxmlformats.org/officeDocument/2006/relationships/hyperlink" Target="https://rijnland.maps.arcgis.com/apps/instant/interactivelegend/index.html?appid=7bc3198037d24d54a9743987ad0731d2" TargetMode="External"/><Relationship Id="rId495" Type="http://schemas.openxmlformats.org/officeDocument/2006/relationships/hyperlink" Target="https://www.google.com/maps/place/Semsweg+5a,+9473+TS+De+Groeve/@53.1159786,6.7367947,338m/data=!3m1!1e3!4m6!3m5!1s0x47c82a27a8b741a5:0x3aac11389a78caaa!8m2!3d53.1159531!4d6.7372974!16s%2Fg%2F11yhr0tgmc?entry=ttu&amp;g_ep=EgoyMDI2MDEwNC4wIKXMDSoASAFQAw%3D%3D" TargetMode="External"/><Relationship Id="rId494" Type="http://schemas.openxmlformats.org/officeDocument/2006/relationships/hyperlink" Target="https://www.klicviewer.nl/klic-viewer/uitlevering/86e11199-4900-427f-bae6-f660b462e53e" TargetMode="External"/><Relationship Id="rId493" Type="http://schemas.openxmlformats.org/officeDocument/2006/relationships/hyperlink" Target="https://wdodelta.maps.arcgis.com/apps/instant/basic/index.html?appid=b84164114b70469ca1ba12d662946309" TargetMode="External"/><Relationship Id="rId492" Type="http://schemas.openxmlformats.org/officeDocument/2006/relationships/hyperlink" Target="https://app.pdok.nl/viewer/" TargetMode="External"/><Relationship Id="rId499" Type="http://schemas.openxmlformats.org/officeDocument/2006/relationships/hyperlink" Target="https://www.google.com/maps/place/Hekendorpse+Buurt+39,+3467+PA+Hekendorp/@52.0171947,4.8305713,346m/data=!3m1!1e3!4m6!3m5!1s0x47c678b792e3de87:0x63c44f54a514f0c0!8m2!3d52.0172426!4d4.8313733!16s%2Fg%2F11nns9yv0v?entry=ttu&amp;g_ep=EgoyMDI2MDEwNy4wIKXMDSoASAFQAw%3D%3D" TargetMode="External"/><Relationship Id="rId498" Type="http://schemas.openxmlformats.org/officeDocument/2006/relationships/hyperlink" Target="https://www.klicviewer.nl/klic-viewer/uitlevering/07eb9dee-b1a4-4d6d-8aac-d643b59e2d33" TargetMode="External"/><Relationship Id="rId497" Type="http://schemas.openxmlformats.org/officeDocument/2006/relationships/hyperlink" Target="https://opendata.hunzeenaas.nl/opendataportaal/srv/dut/catalog.search" TargetMode="External"/><Relationship Id="rId496" Type="http://schemas.openxmlformats.org/officeDocument/2006/relationships/hyperlink" Target="https://app.pdok.nl/viewer/" TargetMode="External"/><Relationship Id="rId1610" Type="http://schemas.openxmlformats.org/officeDocument/2006/relationships/hyperlink" Target="https://rijnland.maps.arcgis.com/apps/instant/interactivelegend/index.html?appid=7bc3198037d24d54a9743987ad0731d2" TargetMode="External"/><Relationship Id="rId1611" Type="http://schemas.openxmlformats.org/officeDocument/2006/relationships/hyperlink" Target="https://www.klicviewer.nl/klic-viewer/uitlevering/84fda941-9bc9-41b7-be49-d2a014670c84" TargetMode="External"/><Relationship Id="rId1612" Type="http://schemas.openxmlformats.org/officeDocument/2006/relationships/hyperlink" Target="https://www.google.com/maps/place/Noorddijk+5,+2751+DK+Moerkapelle/@52.0587436,4.5651448,346m/data=!3m1!1e3!4m6!3m5!1s0x47c5ce4d6cda4169:0x650d471df26f84ab!8m2!3d52.0586612!4d4.5668024!16s%2Fg%2F11rp39j97v?entry=ttu&amp;g_ep=EgoyMDI1MDkyNC4wIKXMDSoASAFQAw%3D%3D" TargetMode="External"/><Relationship Id="rId1613" Type="http://schemas.openxmlformats.org/officeDocument/2006/relationships/hyperlink" Target="https://app.pdok.nl/viewer/" TargetMode="External"/><Relationship Id="rId1614" Type="http://schemas.openxmlformats.org/officeDocument/2006/relationships/hyperlink" Target="https://experience.arcgis.com/experience/9373fa4978604e8f91eb234b64e1d79e/page/De-dijken/" TargetMode="External"/><Relationship Id="rId1615" Type="http://schemas.openxmlformats.org/officeDocument/2006/relationships/hyperlink" Target="https://experience.arcgis.com/experience/e4162895d005481ba26c8530c09b7f62" TargetMode="External"/><Relationship Id="rId1616" Type="http://schemas.openxmlformats.org/officeDocument/2006/relationships/hyperlink" Target="https://www.klicviewer.nl/klic-viewer/uitlevering/8c382536-3deb-463c-adab-2a673c943011" TargetMode="External"/><Relationship Id="rId907" Type="http://schemas.openxmlformats.org/officeDocument/2006/relationships/hyperlink" Target="https://www.google.com/maps/place/Stichts+End+81,+1244+PL+Ankeveen/@52.2618663,5.0957579,102m/data=!3m1!1e3!4m6!3m5!1s0x47c612cf60ae5cbf:0xb78cbd786475b918!8m2!3d52.2618795!4d5.0964972!16s%2Fg%2F11c4jfx320?entry=ttu&amp;g_ep=EgoyMDI1MTEyMy4xIKXMDSoASAFQAw%3D%3D" TargetMode="External"/><Relationship Id="rId1617" Type="http://schemas.openxmlformats.org/officeDocument/2006/relationships/hyperlink" Target="https://www.google.com/maps/place/Noordervaart+52,+1841+HA+Stompetoren/@52.6083415,4.8345216,342m/data=!3m1!1e3!4m6!3m5!1s0x47cf558ba0db17bf:0x517bffd75026cfc5!8m2!3d52.6080774!4d4.8339259!16s%2Fg%2F11bw4273gl?entry=ttu&amp;g_ep=EgoyMDI1MDkyMy4wIKXMDSoASAFQAw%3D%3D" TargetMode="External"/><Relationship Id="rId906" Type="http://schemas.openxmlformats.org/officeDocument/2006/relationships/hyperlink" Target="https://www.klicviewer.nl/klic-viewer/uitlevering/fec7cc61-2d97-4b66-a973-e56304939029" TargetMode="External"/><Relationship Id="rId1618" Type="http://schemas.openxmlformats.org/officeDocument/2006/relationships/hyperlink" Target="https://app.pdok.nl/viewer/" TargetMode="External"/><Relationship Id="rId905" Type="http://schemas.openxmlformats.org/officeDocument/2006/relationships/hyperlink" Target="https://experience.arcgis.com/experience/ff9e6ee747524d3cbce7712338ad0e89/page/Pagina-1" TargetMode="External"/><Relationship Id="rId1619" Type="http://schemas.openxmlformats.org/officeDocument/2006/relationships/hyperlink" Target="https://kaarten.hhnk.nl/portal/apps/webappviewer/index.html?id=d2de3caed0ba442290991e1f5b404e1a" TargetMode="External"/><Relationship Id="rId904" Type="http://schemas.openxmlformats.org/officeDocument/2006/relationships/hyperlink" Target="https://app.pdok.nl/viewer/" TargetMode="External"/><Relationship Id="rId909" Type="http://schemas.openxmlformats.org/officeDocument/2006/relationships/hyperlink" Target="https://maps.waternet.nl/portal/apps/experiencebuilder/experience/?id=36500ca8332b489182bf9ab83427cbc1" TargetMode="External"/><Relationship Id="rId908" Type="http://schemas.openxmlformats.org/officeDocument/2006/relationships/hyperlink" Target="https://app.pdok.nl/viewer/" TargetMode="External"/><Relationship Id="rId903" Type="http://schemas.openxmlformats.org/officeDocument/2006/relationships/hyperlink" Target="https://www.google.com/maps/place/De+Kooi+2,+4251+GB+Werkendam/@51.8081073,4.9026354,19z/data=!4m6!3m5!1s0x47c6844225692437:0xcdbe4670e6e460f0!8m2!3d51.8078103!4d4.9034599!16s%2Fg%2F11c1y90vqc?entry=ttu&amp;g_ep=EgoyMDI1MTEyMy4xIKXMDSoASAFQAw%3D%3D" TargetMode="External"/><Relationship Id="rId902" Type="http://schemas.openxmlformats.org/officeDocument/2006/relationships/hyperlink" Target="https://www.klicviewer.nl/klic-viewer/uitlevering/1c01d653-fa09-4055-b8b5-257c431995a7" TargetMode="External"/><Relationship Id="rId901" Type="http://schemas.openxmlformats.org/officeDocument/2006/relationships/hyperlink" Target="https://rijnland.maps.arcgis.com/apps/instant/sidebar/index.html?appid=2b214417eea74ae9a56119c251ffa960" TargetMode="External"/><Relationship Id="rId900" Type="http://schemas.openxmlformats.org/officeDocument/2006/relationships/hyperlink" Target="https://app.pdok.nl/viewer/" TargetMode="External"/><Relationship Id="rId1600" Type="http://schemas.openxmlformats.org/officeDocument/2006/relationships/hyperlink" Target="https://scheldestromen.maps.arcgis.com/apps/webappviewer/index.html?id=645fc46b232441c19c45e8b01a546e83" TargetMode="External"/><Relationship Id="rId1601" Type="http://schemas.openxmlformats.org/officeDocument/2006/relationships/hyperlink" Target="https://experience.arcgis.com/experience/a134ba0db7404f348abb820e65f6ecb8/page/Page?views=Toelichting-kaart" TargetMode="External"/><Relationship Id="rId1602" Type="http://schemas.openxmlformats.org/officeDocument/2006/relationships/hyperlink" Target="https://www.klicviewer.nl/klic-viewer/uitlevering/57a2d6a9-7e78-4c33-ae5a-d569d0eb3040" TargetMode="External"/><Relationship Id="rId1603" Type="http://schemas.openxmlformats.org/officeDocument/2006/relationships/hyperlink" Target="https://www.google.com/maps/place/Ten+Darperweg+10,+7981+LX+Diever/@52.8647739,6.2954358,961m/data=!3m1!1e3!4m6!3m5!1s0x47c815420fe5e319:0xa012a6a5a66c0dc2!8m2!3d52.8637949!4d6.2965676!16s%2Fg%2F11qptbs2ch?entry=ttu&amp;g_ep=EgoyMDI1MDkyNC4wIKXMDSoASAFQAw%3D%3D" TargetMode="External"/><Relationship Id="rId1604" Type="http://schemas.openxmlformats.org/officeDocument/2006/relationships/hyperlink" Target="https://app.pdok.nl/viewer/" TargetMode="External"/><Relationship Id="rId1605" Type="http://schemas.openxmlformats.org/officeDocument/2006/relationships/hyperlink" Target="https://experience.arcgis.com/experience/9269f566d1f04b38ad9712b9b9bf34fd" TargetMode="External"/><Relationship Id="rId1606" Type="http://schemas.openxmlformats.org/officeDocument/2006/relationships/hyperlink" Target="https://www.wdodelta.nl/kaarten" TargetMode="External"/><Relationship Id="rId1607" Type="http://schemas.openxmlformats.org/officeDocument/2006/relationships/hyperlink" Target="https://www.klicviewer.nl/klic-viewer/uitlevering/a38a14eb-80ca-45e2-b711-defb693ef670" TargetMode="External"/><Relationship Id="rId1608" Type="http://schemas.openxmlformats.org/officeDocument/2006/relationships/hyperlink" Target="https://www.google.com/maps/place/Rijperweg+22,+2061+BH+Bloemendaal/@52.4011645,4.6139926,121m/data=!3m1!1e3!4m6!3m5!1s0x47c5efaa392fe205:0xf210617a7b56eada!8m2!3d52.401026!4d4.6140311!16s%2Fg%2F11c0_6qxw7?entry=ttu&amp;g_ep=EgoyMDI1MDkyMy4wIKXMDSoASAFQAw%3D%3D" TargetMode="External"/><Relationship Id="rId1609" Type="http://schemas.openxmlformats.org/officeDocument/2006/relationships/hyperlink" Target="https://app.pdok.nl/viewer/" TargetMode="External"/><Relationship Id="rId1631" Type="http://schemas.openxmlformats.org/officeDocument/2006/relationships/hyperlink" Target="https://www.google.com/maps/place/Proschoon/@52.7765473,4.809778,120m/data=!3m1!1e3!4m15!1m8!3m7!1s0x47cf51e1d46116e1:0x5c5fa9a9338ec442!2sWitte+Paal,+118,+1742+NW+Schagen!3b1!8m2!3d52.7765667!4d4.8098414!16s%2Fg%2F11crs796_f!3m5!1s0x47cf510b480a9a6f:0x41db9f5eebda9bf8!8m2!3d52.7765328!4d4.8101056!16s%2Fg%2F11h5sn5zyw?entry=ttu&amp;g_ep=EgoyMDI1MDkyMS4wIKXMDSoASAFQAw%3D%3D" TargetMode="External"/><Relationship Id="rId1632" Type="http://schemas.openxmlformats.org/officeDocument/2006/relationships/hyperlink" Target="https://app.pdok.nl/viewer/" TargetMode="External"/><Relationship Id="rId1633" Type="http://schemas.openxmlformats.org/officeDocument/2006/relationships/hyperlink" Target="https://kaarten.hhnk.nl/portal/apps/webappviewer/index.html?id=d2de3caed0ba442290991e1f5b404e1a" TargetMode="External"/><Relationship Id="rId1634" Type="http://schemas.openxmlformats.org/officeDocument/2006/relationships/hyperlink" Target="https://www.klicviewer.nl/klic-viewer/uitlevering/11edf7aa-7689-4764-9df4-4d05daf4284a" TargetMode="External"/><Relationship Id="rId1635" Type="http://schemas.openxmlformats.org/officeDocument/2006/relationships/hyperlink" Target="https://maps.app.goo.gl/nk4pfLdCEqvPtXam9" TargetMode="External"/><Relationship Id="rId1636" Type="http://schemas.openxmlformats.org/officeDocument/2006/relationships/hyperlink" Target="https://app.pdok.nl/viewer/" TargetMode="External"/><Relationship Id="rId1637" Type="http://schemas.openxmlformats.org/officeDocument/2006/relationships/hyperlink" Target="https://vechtstromen.maps.arcgis.com/apps/webappviewer/index.html?id=157236e98867443696757e2091ebc25a" TargetMode="External"/><Relationship Id="rId1638" Type="http://schemas.openxmlformats.org/officeDocument/2006/relationships/hyperlink" Target="https://www.klicviewer.nl/klic-viewer/uitlevering/32253d1f-82ef-4338-884d-05eaa94e0e85" TargetMode="External"/><Relationship Id="rId929" Type="http://schemas.openxmlformats.org/officeDocument/2006/relationships/hyperlink" Target="https://www.google.com/maps/place/Ringdijk+BP+1,+1186+WB+Amstelveen/@52.2863752,4.8806466,344m/data=!3m1!1e3!4m12!1m5!3m4!2zNTLCsDE2JzQ4LjYiTiA0wrA1MiczNy42IkU!8m2!3d52.2801667!4d4.8771111!3m5!1s0x47c60aeb52b97ca3:0xd4a3dd3abbff19e9!8m2!3d52.2866896!4d4.8804746!16s%2Fg%2F11cpg684dn?entry=ttu&amp;g_ep=EgoyMDI1MTEyMy4xIKXMDSoASAFQAw%3D%3D" TargetMode="External"/><Relationship Id="rId1639" Type="http://schemas.openxmlformats.org/officeDocument/2006/relationships/hyperlink" Target="http://google.com/maps/place/Scharenburg+1,+1046+BZ+Amsterdam/@52.3974852,4.7794228,344m/data=!3m1!1e3!4m6!3m5!1s0x47c5e377650b636d:0x1681d4848072a6ec!8m2!3d52.396017!4d4.7793659!16s%2Fg%2F11c5q560ss?entry=ttu&amp;g_ep=EgoyMDI1MDkyMS4wIKXMDSoASAFQAw%3D%3D" TargetMode="External"/><Relationship Id="rId928" Type="http://schemas.openxmlformats.org/officeDocument/2006/relationships/hyperlink" Target="https://www.klicviewer.nl/klic-viewer/uitlevering/5186391b-d7a9-4d96-bc94-258cb780f9aa" TargetMode="External"/><Relationship Id="rId927" Type="http://schemas.openxmlformats.org/officeDocument/2006/relationships/hyperlink" Target="https://www.rijnland.net/over-rijnland/wat-doet-rijnland/voldoende-water/peilbesluiten/" TargetMode="External"/><Relationship Id="rId926" Type="http://schemas.openxmlformats.org/officeDocument/2006/relationships/hyperlink" Target="https://rijnland.maps.arcgis.com/apps/instant/sidebar/index.html?appid=f0fd839278474fe7841a12800fcc3e39" TargetMode="External"/><Relationship Id="rId921" Type="http://schemas.openxmlformats.org/officeDocument/2006/relationships/hyperlink" Target="https://opendata.hunzeenaas.nl/opendataportaal/srv/dut/catalog.search" TargetMode="External"/><Relationship Id="rId920" Type="http://schemas.openxmlformats.org/officeDocument/2006/relationships/hyperlink" Target="https://app.pdok.nl/viewer/" TargetMode="External"/><Relationship Id="rId925" Type="http://schemas.openxmlformats.org/officeDocument/2006/relationships/hyperlink" Target="https://rijnland.maps.arcgis.com/apps/instant/sidebar/index.html?appid=2b214417eea74ae9a56119c251ffa960" TargetMode="External"/><Relationship Id="rId924" Type="http://schemas.openxmlformats.org/officeDocument/2006/relationships/hyperlink" Target="https://app.pdok.nl/viewer/" TargetMode="External"/><Relationship Id="rId923" Type="http://schemas.openxmlformats.org/officeDocument/2006/relationships/hyperlink" Target="https://www.google.com/maps/place/John+Henry+Wiltonlaan+10,+2132+NV+Hoofddorp/@52.2842625,4.6748644,579m/data=!3m1!1e3!4m6!3m5!1s0x47c5e7914f474615:0x7c9cfe3cb7b6d0ca!8m2!3d52.284189!4d4.6765384!16s%2Fg%2F11k9b37hcr?entry=ttu&amp;g_ep=EgoyMDI1MTExMi4wIKXMDSoASAFQAw%3D%3D" TargetMode="External"/><Relationship Id="rId922" Type="http://schemas.openxmlformats.org/officeDocument/2006/relationships/hyperlink" Target="https://www.klicviewer.nl/klic-viewer/uitlevering/7af89dec-fb37-4397-9ab6-3229c43fc7a2" TargetMode="External"/><Relationship Id="rId1630" Type="http://schemas.openxmlformats.org/officeDocument/2006/relationships/hyperlink" Target="https://www.klicviewer.nl/klic-viewer/uitlevering/c2a3154b-5d7f-4561-af29-0b7569b9f65a" TargetMode="External"/><Relationship Id="rId1620" Type="http://schemas.openxmlformats.org/officeDocument/2006/relationships/hyperlink" Target="https://kaarten.hhnk.nl/portal/apps/experiencebuilder/experience/?id=51ae36990bf448248b105c8fbc9fbeb3" TargetMode="External"/><Relationship Id="rId1621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622" Type="http://schemas.openxmlformats.org/officeDocument/2006/relationships/hyperlink" Target="https://www.klicviewer.nl/klic-viewer/uitlevering/43eeca7e-469c-4427-b082-c45c3e03c537" TargetMode="External"/><Relationship Id="rId1623" Type="http://schemas.openxmlformats.org/officeDocument/2006/relationships/hyperlink" Target="https://maps.app.goo.gl/zVQMf3hu3M9wHwZFA" TargetMode="External"/><Relationship Id="rId1624" Type="http://schemas.openxmlformats.org/officeDocument/2006/relationships/hyperlink" Target="https://kaarten.hhnk.nl/portal/apps/webappviewer/index.html?id=d2de3caed0ba442290991e1f5b404e1a" TargetMode="External"/><Relationship Id="rId1625" Type="http://schemas.openxmlformats.org/officeDocument/2006/relationships/hyperlink" Target="https://app.pdok.nl/viewer/" TargetMode="External"/><Relationship Id="rId1626" Type="http://schemas.openxmlformats.org/officeDocument/2006/relationships/hyperlink" Target="https://www.klicviewer.nl/klic-viewer/uitlevering/2ec5eba4-52a0-4ea1-95f9-81a9c315fd6f" TargetMode="External"/><Relationship Id="rId1627" Type="http://schemas.openxmlformats.org/officeDocument/2006/relationships/hyperlink" Target="https://maps.app.goo.gl/kd3WXz41VpeGmF1c6" TargetMode="External"/><Relationship Id="rId918" Type="http://schemas.openxmlformats.org/officeDocument/2006/relationships/hyperlink" Target="https://www.klicviewer.nl/klic-viewer/uitlevering/4b7d08d8-363a-4eb8-bd96-d91c375fffa7" TargetMode="External"/><Relationship Id="rId1628" Type="http://schemas.openxmlformats.org/officeDocument/2006/relationships/hyperlink" Target="https://app.pdok.nl/viewer/" TargetMode="External"/><Relationship Id="rId917" Type="http://schemas.openxmlformats.org/officeDocument/2006/relationships/hyperlink" Target="https://opendata.hunzeenaas.nl/opendataportaal/srv/dut/catalog.search" TargetMode="External"/><Relationship Id="rId1629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916" Type="http://schemas.openxmlformats.org/officeDocument/2006/relationships/hyperlink" Target="https://app.pdok.nl/viewer/" TargetMode="External"/><Relationship Id="rId915" Type="http://schemas.openxmlformats.org/officeDocument/2006/relationships/hyperlink" Target="https://maps.app.goo.gl/etrXh8zSjwkUyrCu9" TargetMode="External"/><Relationship Id="rId919" Type="http://schemas.openxmlformats.org/officeDocument/2006/relationships/hyperlink" Target="https://maps.app.goo.gl/Vxn5SqUozrywetZt5" TargetMode="External"/><Relationship Id="rId910" Type="http://schemas.openxmlformats.org/officeDocument/2006/relationships/hyperlink" Target="https://www.klicviewer.nl/klic-viewer/uitlevering/845bc426-79f6-4666-87f0-20be02fbceec" TargetMode="External"/><Relationship Id="rId914" Type="http://schemas.openxmlformats.org/officeDocument/2006/relationships/hyperlink" Target="https://www.klicviewer.nl/klic-viewer/uitlevering/a43e7bda-fdce-4163-ac47-b7d0b3f52343" TargetMode="External"/><Relationship Id="rId913" Type="http://schemas.openxmlformats.org/officeDocument/2006/relationships/hyperlink" Target="https://open-geodata-portaal-valleienveluwe.hub.arcgis.com/apps/e75d12ac1ccb47daa53c1b53916be4e9/explore" TargetMode="External"/><Relationship Id="rId912" Type="http://schemas.openxmlformats.org/officeDocument/2006/relationships/hyperlink" Target="https://app.pdok.nl/viewer/" TargetMode="External"/><Relationship Id="rId911" Type="http://schemas.openxmlformats.org/officeDocument/2006/relationships/hyperlink" Target="https://www.google.com/maps/place/Eendrachtstraat+18A,+3784+KB+Terschuur/@52.1723336,5.5128625,205m/data=!3m1!1e3!4m15!1m8!3m7!1s0x47c648e64553d06f:0xc34a1f38f645e47f!2sEendrachtstraat+41,+3784+KA+Terschuur!3b1!8m2!3d52.1722434!4d5.5128821!16s%2Fg%2F11l5d0ct1v!3m5!1s0x47c648e65efe442f:0xdd4e6c984df020c8!8m2!3d52.1726892!4d5.5136174!16s%2Fg%2F11cpg7_fnt?entry=ttu&amp;g_ep=EgoyMDI1MTEyMy4xIKXMDSoASAFQAw%3D%3D" TargetMode="External"/><Relationship Id="rId1213" Type="http://schemas.openxmlformats.org/officeDocument/2006/relationships/hyperlink" Target="https://www.klicviewer.nl/klic-viewer/uitlevering/3693a80c-ad08-48fe-9d8f-e06a069cd57f" TargetMode="External"/><Relationship Id="rId1697" Type="http://schemas.openxmlformats.org/officeDocument/2006/relationships/hyperlink" Target="https://rijnland.maps.arcgis.com/apps/instant/interactivelegend/index.html?appid=ac183c60750a435db95b1705d25b3121" TargetMode="External"/><Relationship Id="rId1214" Type="http://schemas.openxmlformats.org/officeDocument/2006/relationships/hyperlink" Target="https://maps.app.goo.gl/VMAPbGHXvKtYb8Bz6" TargetMode="External"/><Relationship Id="rId1698" Type="http://schemas.openxmlformats.org/officeDocument/2006/relationships/hyperlink" Target="https://rijnland.maps.arcgis.com/apps/instant/sidebar/index.html?appid=5469a9663c5e4643b10efe6da9a15ae2" TargetMode="External"/><Relationship Id="rId1215" Type="http://schemas.openxmlformats.org/officeDocument/2006/relationships/hyperlink" Target="https://app.pdok.nl/viewer/" TargetMode="External"/><Relationship Id="rId1699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216" Type="http://schemas.openxmlformats.org/officeDocument/2006/relationships/hyperlink" Target="https://wrij.maps.arcgis.com/apps/instant/sidebar/index.html?appid=51e2324fc55148c795406bb1aa8c6579" TargetMode="External"/><Relationship Id="rId1217" Type="http://schemas.openxmlformats.org/officeDocument/2006/relationships/hyperlink" Target="https://www.klicviewer.nl/klic-viewer/uitlevering/88392b25-c137-4bfa-89c4-513d452fc268" TargetMode="External"/><Relationship Id="rId1218" Type="http://schemas.openxmlformats.org/officeDocument/2006/relationships/hyperlink" Target="https://maps.app.goo.gl/VMAPbGHXvKtYb8Bz6" TargetMode="External"/><Relationship Id="rId1219" Type="http://schemas.openxmlformats.org/officeDocument/2006/relationships/hyperlink" Target="https://app.pdok.nl/viewer/" TargetMode="External"/><Relationship Id="rId866" Type="http://schemas.openxmlformats.org/officeDocument/2006/relationships/hyperlink" Target="https://app.pdok.nl/viewer/" TargetMode="External"/><Relationship Id="rId865" Type="http://schemas.openxmlformats.org/officeDocument/2006/relationships/hyperlink" Target="https://www.google.com/maps/place/Agrifirm-GMN+B.V./@52.8959451,4.764149,240m/data=!3m1!1e3!4m15!1m8!3m7!1s0x47cf4891dc8a785b:0xc33b76447eed7ad7!2sSchoolweg+74-A,+1787+AW+Julianadorp!3b1!8m2!3d52.8962989!4d4.7644629!16s%2Fg%2F11q2ndydwj!3m5!1s0x47cf4891dc8a785b:0xa9d02de6bb5169ff!8m2!3d52.896039!4d4.7652503!16s%2Fg%2F11btlq0_xy?entry=ttu&amp;g_ep=EgoyMDI1MTEyMy4xIKXMDSoASAFQAw%3D%3D" TargetMode="External"/><Relationship Id="rId864" Type="http://schemas.openxmlformats.org/officeDocument/2006/relationships/hyperlink" Target="https://www.klicviewer.nl/klic-viewer/uitlevering/6f3d7e5b-975b-40bc-9515-16d67eb9897c" TargetMode="External"/><Relationship Id="rId863" Type="http://schemas.openxmlformats.org/officeDocument/2006/relationships/hyperlink" Target="https://experience.arcgis.com/experience/9269f566d1f04b38ad9712b9b9bf34fd" TargetMode="External"/><Relationship Id="rId869" Type="http://schemas.openxmlformats.org/officeDocument/2006/relationships/hyperlink" Target="https://maps.app.goo.gl/W67gx3uB3H35TYz36" TargetMode="External"/><Relationship Id="rId868" Type="http://schemas.openxmlformats.org/officeDocument/2006/relationships/hyperlink" Target="https://www.klicviewer.nl/klic-viewer/uitlevering/5695d3fa-fc96-4e87-8581-75c3a4237211" TargetMode="External"/><Relationship Id="rId867" Type="http://schemas.openxmlformats.org/officeDocument/2006/relationships/hyperlink" Target="https://kaarten.hhnk.nl/portal/apps/webappviewer/index.html?id=d2de3caed0ba442290991e1f5b404e1a" TargetMode="External"/><Relationship Id="rId1690" Type="http://schemas.openxmlformats.org/officeDocument/2006/relationships/hyperlink" Target="https://rijnland.maps.arcgis.com/apps/instant/interactivelegend/index.html?appid=ac183c60750a435db95b1705d25b3121" TargetMode="External"/><Relationship Id="rId1691" Type="http://schemas.openxmlformats.org/officeDocument/2006/relationships/hyperlink" Target="https://rijnland.maps.arcgis.com/apps/instant/sidebar/index.html?appid=5469a9663c5e4643b10efe6da9a15ae2" TargetMode="External"/><Relationship Id="rId1692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862" Type="http://schemas.openxmlformats.org/officeDocument/2006/relationships/hyperlink" Target="https://app.pdok.nl/viewer/" TargetMode="External"/><Relationship Id="rId1693" Type="http://schemas.openxmlformats.org/officeDocument/2006/relationships/hyperlink" Target="https://www.klicviewer.nl/klic-viewer/uitlevering/8dbc64c0-aef6-4fbd-a7d7-f5a9c290e04d" TargetMode="External"/><Relationship Id="rId861" Type="http://schemas.openxmlformats.org/officeDocument/2006/relationships/hyperlink" Target="https://www.google.com/maps/place/Den+Hulst+178,+7711+GV+Nieuwleusen/@52.5928692,6.2651107,144m/data=!3m1!1e3!4m15!1m8!3m7!1s0x47c80ba651af52ef:0x15aba7c591976e38!2sDen+Hulst+168,+7711+GV+Nieuwleusen!3b1!8m2!3d52.5928572!4d6.2671292!16s%2Fg%2F11c1hsftyq!3m5!1s0x47c80ba7afa346bd:0xe6d8197e8c5d4839!8m2!3d52.5929095!4d6.2658095!16s%2Fg%2F11c2hv7ktv?entry=ttu&amp;g_ep=EgoyMDI1MTEyMy4xIKXMDSoASAFQAw%3D%3D" TargetMode="External"/><Relationship Id="rId1210" Type="http://schemas.openxmlformats.org/officeDocument/2006/relationships/hyperlink" Target="https://maps.app.goo.gl/VMAPbGHXvKtYb8Bz6" TargetMode="External"/><Relationship Id="rId1694" Type="http://schemas.openxmlformats.org/officeDocument/2006/relationships/hyperlink" Target="https://maps.app.goo.gl/FDKgHaJSXLNQkSXP7" TargetMode="External"/><Relationship Id="rId860" Type="http://schemas.openxmlformats.org/officeDocument/2006/relationships/hyperlink" Target="https://www.klicviewer.nl/klic-viewer/uitlevering/e6b51439-9c0f-4b02-9cd6-b9778f5ad08c" TargetMode="External"/><Relationship Id="rId1211" Type="http://schemas.openxmlformats.org/officeDocument/2006/relationships/hyperlink" Target="https://app.pdok.nl/viewer/" TargetMode="External"/><Relationship Id="rId1695" Type="http://schemas.openxmlformats.org/officeDocument/2006/relationships/hyperlink" Target="https://app.pdok.nl/viewer/" TargetMode="External"/><Relationship Id="rId1212" Type="http://schemas.openxmlformats.org/officeDocument/2006/relationships/hyperlink" Target="https://open-geodata-portaal-valleienveluwe.hub.arcgis.com/apps/e75d12ac1ccb47daa53c1b53916be4e9/explore" TargetMode="External"/><Relationship Id="rId1696" Type="http://schemas.openxmlformats.org/officeDocument/2006/relationships/hyperlink" Target="https://rijnland.maps.arcgis.com/apps/instant/interactivelegend/index.html?appid=7bc3198037d24d54a9743987ad0731d2" TargetMode="External"/><Relationship Id="rId1202" Type="http://schemas.openxmlformats.org/officeDocument/2006/relationships/hyperlink" Target="https://www.google.com/maps/place/Dokter+Catzlaan+23,+1261+CE+Blaricum/@52.2711652,5.2306305,18.5z/data=!4m6!3m5!1s0x47c615194b071d17:0xcbba13b6b4316c9f!8m2!3d52.2712024!4d5.2297745!16s%2Fg%2F11vkgthmkz?entry=ttu&amp;g_ep=EgoyMDI1MTAyMC4wIKXMDSoASAFQAw%3D%3D" TargetMode="External"/><Relationship Id="rId1686" Type="http://schemas.openxmlformats.org/officeDocument/2006/relationships/hyperlink" Target="https://www.klicviewer.nl/klic-viewer/uitlevering/5e4916c9-680b-4efe-a186-1b58e32f5d22" TargetMode="External"/><Relationship Id="rId1203" Type="http://schemas.openxmlformats.org/officeDocument/2006/relationships/hyperlink" Target="https://app.pdok.nl/viewer/" TargetMode="External"/><Relationship Id="rId1687" Type="http://schemas.openxmlformats.org/officeDocument/2006/relationships/hyperlink" Target="https://maps.app.goo.gl/FDKgHaJSXLNQkSXP7" TargetMode="External"/><Relationship Id="rId1204" Type="http://schemas.openxmlformats.org/officeDocument/2006/relationships/hyperlink" Target="https://maps.waternet.nl/portal/apps/experiencebuilder/experience/?id=36500ca8332b489182bf9ab83427cbc1" TargetMode="External"/><Relationship Id="rId1688" Type="http://schemas.openxmlformats.org/officeDocument/2006/relationships/hyperlink" Target="https://app.pdok.nl/viewer/" TargetMode="External"/><Relationship Id="rId1205" Type="http://schemas.openxmlformats.org/officeDocument/2006/relationships/hyperlink" Target="https://www.klicviewer.nl/klic-viewer/uitlevering/ca11c5a2-0cad-406e-ba8d-2f3cbef89c04" TargetMode="External"/><Relationship Id="rId1689" Type="http://schemas.openxmlformats.org/officeDocument/2006/relationships/hyperlink" Target="https://rijnland.maps.arcgis.com/apps/instant/interactivelegend/index.html?appid=7bc3198037d24d54a9743987ad0731d2" TargetMode="External"/><Relationship Id="rId1206" Type="http://schemas.openxmlformats.org/officeDocument/2006/relationships/hyperlink" Target="https://maps.app.goo.gl/VMAPbGHXvKtYb8Bz6" TargetMode="External"/><Relationship Id="rId1207" Type="http://schemas.openxmlformats.org/officeDocument/2006/relationships/hyperlink" Target="https://app.pdok.nl/viewer/" TargetMode="External"/><Relationship Id="rId1208" Type="http://schemas.openxmlformats.org/officeDocument/2006/relationships/hyperlink" Target="https://open-geodata-portaal-valleienveluwe.hub.arcgis.com/apps/e75d12ac1ccb47daa53c1b53916be4e9/explore" TargetMode="External"/><Relationship Id="rId1209" Type="http://schemas.openxmlformats.org/officeDocument/2006/relationships/hyperlink" Target="https://www.klicviewer.nl/klic-viewer/uitlevering/8ca11c95-3d2d-4118-9ef3-a16ec4742409" TargetMode="External"/><Relationship Id="rId855" Type="http://schemas.openxmlformats.org/officeDocument/2006/relationships/hyperlink" Target="https://vechtstromen.maps.arcgis.com/apps/webappviewer/index.html?id=157236e98867443696757e2091ebc25a" TargetMode="External"/><Relationship Id="rId854" Type="http://schemas.openxmlformats.org/officeDocument/2006/relationships/hyperlink" Target="https://app.pdok.nl/viewer/" TargetMode="External"/><Relationship Id="rId853" Type="http://schemas.openxmlformats.org/officeDocument/2006/relationships/hyperlink" Target="https://www.google.com/maps/place/Spabron+-+Sauna,+Beauty+%26+Hotel/@52.7355425,6.7199393,121m/data=!3m1!1e3!4m9!3m8!1s0x47b7e25b1b2cc089:0x2280b6506c7e0d0b!5m2!4m1!1i2!8m2!3d52.7357397!4d6.7204891!16s%2Fg%2F1tl9lnmj?entry=ttu&amp;g_ep=EgoyMDI1MTExNy4wIKXMDSoASAFQAw%3D%3D" TargetMode="External"/><Relationship Id="rId852" Type="http://schemas.openxmlformats.org/officeDocument/2006/relationships/hyperlink" Target="https://www.klicviewer.nl/klic-viewer/uitlevering/5b650244-aedc-421c-a785-5eb56321f6a0" TargetMode="External"/><Relationship Id="rId859" Type="http://schemas.openxmlformats.org/officeDocument/2006/relationships/hyperlink" Target="https://kaarten.hhnk.nl/portal/apps/webappviewer/index.html?id=d2de3caed0ba442290991e1f5b404e1a" TargetMode="External"/><Relationship Id="rId858" Type="http://schemas.openxmlformats.org/officeDocument/2006/relationships/hyperlink" Target="https://app.pdok.nl/viewer/" TargetMode="External"/><Relationship Id="rId857" Type="http://schemas.openxmlformats.org/officeDocument/2006/relationships/hyperlink" Target="https://maps.app.goo.gl/wyENXK4oztdaFr1H8" TargetMode="External"/><Relationship Id="rId856" Type="http://schemas.openxmlformats.org/officeDocument/2006/relationships/hyperlink" Target="https://www.klicviewer.nl/klic-viewer/uitlevering/9fcbc50e-acaf-4528-9f1c-e7265669fd7b" TargetMode="External"/><Relationship Id="rId1680" Type="http://schemas.openxmlformats.org/officeDocument/2006/relationships/hyperlink" Target="https://maps.app.goo.gl/FDKgHaJSXLNQkSXP7" TargetMode="External"/><Relationship Id="rId1681" Type="http://schemas.openxmlformats.org/officeDocument/2006/relationships/hyperlink" Target="https://app.pdok.nl/viewer/" TargetMode="External"/><Relationship Id="rId851" Type="http://schemas.openxmlformats.org/officeDocument/2006/relationships/hyperlink" Target="https://vechtstromen.maps.arcgis.com/apps/webappviewer/index.html?id=157236e98867443696757e2091ebc25a" TargetMode="External"/><Relationship Id="rId1682" Type="http://schemas.openxmlformats.org/officeDocument/2006/relationships/hyperlink" Target="https://rijnland.maps.arcgis.com/apps/instant/interactivelegend/index.html?appid=7bc3198037d24d54a9743987ad0731d2" TargetMode="External"/><Relationship Id="rId850" Type="http://schemas.openxmlformats.org/officeDocument/2006/relationships/hyperlink" Target="https://app.pdok.nl/viewer/" TargetMode="External"/><Relationship Id="rId1683" Type="http://schemas.openxmlformats.org/officeDocument/2006/relationships/hyperlink" Target="https://rijnland.maps.arcgis.com/apps/instant/interactivelegend/index.html?appid=ac183c60750a435db95b1705d25b3121" TargetMode="External"/><Relationship Id="rId1200" Type="http://schemas.openxmlformats.org/officeDocument/2006/relationships/hyperlink" Target="https://rijnland.maps.arcgis.com/apps/instant/sidebar/index.html?appid=5469a9663c5e4643b10efe6da9a15ae2" TargetMode="External"/><Relationship Id="rId1684" Type="http://schemas.openxmlformats.org/officeDocument/2006/relationships/hyperlink" Target="https://rijnland.maps.arcgis.com/apps/instant/sidebar/index.html?appid=5469a9663c5e4643b10efe6da9a15ae2" TargetMode="External"/><Relationship Id="rId1201" Type="http://schemas.openxmlformats.org/officeDocument/2006/relationships/hyperlink" Target="https://www.klicviewer.nl/klic-viewer/uitlevering/f3b78dba-8fa0-4076-85ff-65a6f9891b8b" TargetMode="External"/><Relationship Id="rId1685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235" Type="http://schemas.openxmlformats.org/officeDocument/2006/relationships/hyperlink" Target="https://experience.arcgis.com/experience/c58cad477757430f9ad8c6c1673058fc/page/Pagina-1" TargetMode="External"/><Relationship Id="rId1236" Type="http://schemas.openxmlformats.org/officeDocument/2006/relationships/hyperlink" Target="https://www.klicviewer.nl/klic-viewer/uitlevering/c1abc60d-727d-4509-abd9-43f427769e35" TargetMode="External"/><Relationship Id="rId1237" Type="http://schemas.openxmlformats.org/officeDocument/2006/relationships/hyperlink" Target="https://www.google.com/maps/place/Park+Westerkogge+-+TopParken/@52.632604,4.9868841,406m/data=!3m1!1e3!4m20!1m10!3m9!1s0x47c8aa4b5dc76805:0x74c089e7336f6ad9!2sPark+Westerkogge+-+TopParken!5m2!4m1!1i2!8m2!3d52.6317131!4d4.9884252!16s%2Fg%2F1td24pq4!3m8!1s0x47c8aa4b5dc76805:0x74c089e7336f6ad9!5m2!4m1!1i2!8m2!3d52.6317131!4d4.9884252!16s%2Fg%2F1td24pq4?entry=ttu&amp;g_ep=EgoyMDI1MTAyMC4wIKXMDSoASAFQAw%3D%3D" TargetMode="External"/><Relationship Id="rId1238" Type="http://schemas.openxmlformats.org/officeDocument/2006/relationships/hyperlink" Target="https://app.pdok.nl/viewer/" TargetMode="External"/><Relationship Id="rId1239" Type="http://schemas.openxmlformats.org/officeDocument/2006/relationships/hyperlink" Target="https://kaarten.hhnk.nl/portal/apps/webappviewer/index.html?id=d2de3caed0ba442290991e1f5b404e1a" TargetMode="External"/><Relationship Id="rId409" Type="http://schemas.openxmlformats.org/officeDocument/2006/relationships/hyperlink" Target="https://www.google.com/maps/place/De+Skatting+75,+8621+BV+Heeg/@52.9685322,5.606119,170m/data=!3m1!1e3!4m6!3m5!1s0x47c8ed979e366763:0xfb00119e489a2fb7!8m2!3d52.9687909!4d5.6067051!16s%2Fg%2F11bw445dtj?entry=ttu&amp;g_ep=EgoyMDI2MDExMy4wIKXMDSoASAFQAw%3D%3D" TargetMode="External"/><Relationship Id="rId404" Type="http://schemas.openxmlformats.org/officeDocument/2006/relationships/hyperlink" Target="https://www.klicviewer.nl/klic-viewer/uitlevering/7944059a-8dc0-4ef3-a4eb-2a7e45908c00" TargetMode="External"/><Relationship Id="rId888" Type="http://schemas.openxmlformats.org/officeDocument/2006/relationships/hyperlink" Target="https://www.klicviewer.nl/klic-viewer/uitlevering/d9171f36-01fc-4406-8600-111a5a48fff7" TargetMode="External"/><Relationship Id="rId403" Type="http://schemas.openxmlformats.org/officeDocument/2006/relationships/hyperlink" Target="https://maps.waternet.nl/portal/apps/experiencebuilder/experience/?id=36500ca8332b489182bf9ab83427cbc1" TargetMode="External"/><Relationship Id="rId887" Type="http://schemas.openxmlformats.org/officeDocument/2006/relationships/hyperlink" Target="https://opendata.hunzeenaas.nl/opendataportaal/srv/dut/catalog.search" TargetMode="External"/><Relationship Id="rId402" Type="http://schemas.openxmlformats.org/officeDocument/2006/relationships/hyperlink" Target="https://app.pdok.nl/viewer/" TargetMode="External"/><Relationship Id="rId886" Type="http://schemas.openxmlformats.org/officeDocument/2006/relationships/hyperlink" Target="https://app.pdok.nl/viewer/" TargetMode="External"/><Relationship Id="rId401" Type="http://schemas.openxmlformats.org/officeDocument/2006/relationships/hyperlink" Target="https://www.google.com/maps/place/Zuidereinde+15,+1243+KJ+'s-Graveland/@52.2340032,5.121772,172m/data=!3m1!1e3!4m6!3m5!1s0x47c66cdcaebd0991:0x222d4e97f84ae98b!8m2!3d52.2340139!4d5.1223792!16s%2Fg%2F11nnkwqbmy?entry=ttu&amp;g_ep=EgoyMDI2MDExOS4wIKXMDSoASAFQAw%3D%3D" TargetMode="External"/><Relationship Id="rId885" Type="http://schemas.openxmlformats.org/officeDocument/2006/relationships/hyperlink" Target="https://maps.app.goo.gl/W67gx3uB3H35TYz36" TargetMode="External"/><Relationship Id="rId408" Type="http://schemas.openxmlformats.org/officeDocument/2006/relationships/hyperlink" Target="https://www.klicviewer.nl/klic-viewer/uitlevering/f538be30-81ec-49a9-acd0-bb87080ed94f" TargetMode="External"/><Relationship Id="rId407" Type="http://schemas.openxmlformats.org/officeDocument/2006/relationships/hyperlink" Target="https://open-geodata-portaal-valleienveluwe.hub.arcgis.com/apps/e75d12ac1ccb47daa53c1b53916be4e9/explore" TargetMode="External"/><Relationship Id="rId406" Type="http://schemas.openxmlformats.org/officeDocument/2006/relationships/hyperlink" Target="https://app.pdok.nl/viewer/" TargetMode="External"/><Relationship Id="rId405" Type="http://schemas.openxmlformats.org/officeDocument/2006/relationships/hyperlink" Target="https://www.google.com/maps/place/52%C2%B019'32.9%22N+5%C2%B037'14.7%22E/@52.3258803,5.6208933,172m/data=!3m1!1e3!4m4!3m3!8m2!3d52.325795!4d5.620735?entry=ttu&amp;g_ep=EgoyMDI2MDExMy4wIKXMDSoASAFQAw%3D%3D" TargetMode="External"/><Relationship Id="rId889" Type="http://schemas.openxmlformats.org/officeDocument/2006/relationships/hyperlink" Target="https://maps.app.goo.gl/W67gx3uB3H35TYz36" TargetMode="External"/><Relationship Id="rId880" Type="http://schemas.openxmlformats.org/officeDocument/2006/relationships/hyperlink" Target="https://www.klicviewer.nl/klic-viewer/uitlevering/705d495d-aa1e-4a6e-acc1-e254136c26e6" TargetMode="External"/><Relationship Id="rId1230" Type="http://schemas.openxmlformats.org/officeDocument/2006/relationships/hyperlink" Target="https://experience.arcgis.com/experience/c58cad477757430f9ad8c6c1673058fc/page/Pagina-1" TargetMode="External"/><Relationship Id="rId400" Type="http://schemas.openxmlformats.org/officeDocument/2006/relationships/hyperlink" Target="https://www.klicviewer.nl/klic-viewer/uitlevering/ce3a1448-943d-4781-9ff0-249745742633" TargetMode="External"/><Relationship Id="rId884" Type="http://schemas.openxmlformats.org/officeDocument/2006/relationships/hyperlink" Target="https://www.klicviewer.nl/klic-viewer/uitlevering/6f0ca6c2-4f36-4311-9e32-8a70b6406db3" TargetMode="External"/><Relationship Id="rId1231" Type="http://schemas.openxmlformats.org/officeDocument/2006/relationships/hyperlink" Target="https://www.klicviewer.nl/klic-viewer/uitlevering/10decb70-089d-403d-a451-fa74802d52e5" TargetMode="External"/><Relationship Id="rId883" Type="http://schemas.openxmlformats.org/officeDocument/2006/relationships/hyperlink" Target="https://opendata.hunzeenaas.nl/opendataportaal/srv/dut/catalog.search" TargetMode="External"/><Relationship Id="rId1232" Type="http://schemas.openxmlformats.org/officeDocument/2006/relationships/hyperlink" Target="https://maps.app.goo.gl/VMAPbGHXvKtYb8Bz6" TargetMode="External"/><Relationship Id="rId882" Type="http://schemas.openxmlformats.org/officeDocument/2006/relationships/hyperlink" Target="https://app.pdok.nl/viewer/" TargetMode="External"/><Relationship Id="rId1233" Type="http://schemas.openxmlformats.org/officeDocument/2006/relationships/hyperlink" Target="https://app.pdok.nl/viewer/" TargetMode="External"/><Relationship Id="rId881" Type="http://schemas.openxmlformats.org/officeDocument/2006/relationships/hyperlink" Target="https://maps.app.goo.gl/W67gx3uB3H35TYz36" TargetMode="External"/><Relationship Id="rId1234" Type="http://schemas.openxmlformats.org/officeDocument/2006/relationships/hyperlink" Target="https://experience.arcgis.com/experience/ff9e6ee747524d3cbce7712338ad0e89/page/Pagina-1" TargetMode="External"/><Relationship Id="rId1224" Type="http://schemas.openxmlformats.org/officeDocument/2006/relationships/hyperlink" Target="https://experience.arcgis.com/experience/ff9e6ee747524d3cbce7712338ad0e89/page/Pagina-1" TargetMode="External"/><Relationship Id="rId1225" Type="http://schemas.openxmlformats.org/officeDocument/2006/relationships/hyperlink" Target="https://experience.arcgis.com/experience/c58cad477757430f9ad8c6c1673058fc/page/Pagina-1" TargetMode="External"/><Relationship Id="rId1226" Type="http://schemas.openxmlformats.org/officeDocument/2006/relationships/hyperlink" Target="https://www.klicviewer.nl/klic-viewer/uitlevering/f6be8eff-9517-4da8-a37a-d644da29b3cf" TargetMode="External"/><Relationship Id="rId1227" Type="http://schemas.openxmlformats.org/officeDocument/2006/relationships/hyperlink" Target="https://maps.app.goo.gl/VMAPbGHXvKtYb8Bz6" TargetMode="External"/><Relationship Id="rId1228" Type="http://schemas.openxmlformats.org/officeDocument/2006/relationships/hyperlink" Target="https://app.pdok.nl/viewer/" TargetMode="External"/><Relationship Id="rId1229" Type="http://schemas.openxmlformats.org/officeDocument/2006/relationships/hyperlink" Target="https://experience.arcgis.com/experience/ff9e6ee747524d3cbce7712338ad0e89/page/Pagina-1" TargetMode="External"/><Relationship Id="rId877" Type="http://schemas.openxmlformats.org/officeDocument/2006/relationships/hyperlink" Target="https://maps.app.goo.gl/arnRu8JahYRbBN1Q8" TargetMode="External"/><Relationship Id="rId876" Type="http://schemas.openxmlformats.org/officeDocument/2006/relationships/hyperlink" Target="https://www.klicviewer.nl/klic-viewer/uitlevering/5fb8bdab-46db-4b55-a4e5-275b888ba811" TargetMode="External"/><Relationship Id="rId875" Type="http://schemas.openxmlformats.org/officeDocument/2006/relationships/hyperlink" Target="https://opendata.hunzeenaas.nl/opendataportaal/srv/dut/catalog.search" TargetMode="External"/><Relationship Id="rId874" Type="http://schemas.openxmlformats.org/officeDocument/2006/relationships/hyperlink" Target="https://app.pdok.nl/viewer/" TargetMode="External"/><Relationship Id="rId879" Type="http://schemas.openxmlformats.org/officeDocument/2006/relationships/hyperlink" Target="https://wdedommel.maps.arcgis.com/apps/instant/sidebar/index.html?appid=23a834ba19684851a978b08708f6e83b" TargetMode="External"/><Relationship Id="rId878" Type="http://schemas.openxmlformats.org/officeDocument/2006/relationships/hyperlink" Target="https://app.pdok.nl/viewer/" TargetMode="External"/><Relationship Id="rId873" Type="http://schemas.openxmlformats.org/officeDocument/2006/relationships/hyperlink" Target="https://maps.app.goo.gl/W67gx3uB3H35TYz36" TargetMode="External"/><Relationship Id="rId1220" Type="http://schemas.openxmlformats.org/officeDocument/2006/relationships/hyperlink" Target="https://wrij.maps.arcgis.com/apps/instant/sidebar/index.html?appid=51e2324fc55148c795406bb1aa8c6579" TargetMode="External"/><Relationship Id="rId872" Type="http://schemas.openxmlformats.org/officeDocument/2006/relationships/hyperlink" Target="https://www.klicviewer.nl/klic-viewer/uitlevering/c65c6ef4-d7d2-4ddf-9e76-51c17b5b424c" TargetMode="External"/><Relationship Id="rId1221" Type="http://schemas.openxmlformats.org/officeDocument/2006/relationships/hyperlink" Target="https://www.klicviewer.nl/klic-viewer/uitlevering/66f0955c-a9dd-497a-b3cc-4dcaa7a99943" TargetMode="External"/><Relationship Id="rId871" Type="http://schemas.openxmlformats.org/officeDocument/2006/relationships/hyperlink" Target="https://opendata.hunzeenaas.nl/opendataportaal/srv/dut/catalog.search" TargetMode="External"/><Relationship Id="rId1222" Type="http://schemas.openxmlformats.org/officeDocument/2006/relationships/hyperlink" Target="https://maps.app.goo.gl/VMAPbGHXvKtYb8Bz6" TargetMode="External"/><Relationship Id="rId870" Type="http://schemas.openxmlformats.org/officeDocument/2006/relationships/hyperlink" Target="https://app.pdok.nl/viewer/" TargetMode="External"/><Relationship Id="rId1223" Type="http://schemas.openxmlformats.org/officeDocument/2006/relationships/hyperlink" Target="https://app.pdok.nl/viewer/" TargetMode="External"/><Relationship Id="rId1653" Type="http://schemas.openxmlformats.org/officeDocument/2006/relationships/hyperlink" Target="https://kaarten.hhnk.nl/portal/apps/experiencebuilder/experience/?id=51ae36990bf448248b105c8fbc9fbeb3" TargetMode="External"/><Relationship Id="rId1654" Type="http://schemas.openxmlformats.org/officeDocument/2006/relationships/hyperlink" Target="https://www.klicviewer.nl/klic-viewer/uitlevering/6b29f209-3be3-48d7-a3d1-e73b506f0acb" TargetMode="External"/><Relationship Id="rId1655" Type="http://schemas.openxmlformats.org/officeDocument/2006/relationships/hyperlink" Target="https://www.google.com/maps/place/Midden-Brabantweg,+5049+TE+Loon+op+Zand/@51.6046749,5.068613,699m/data=!3m1!1e3!4m6!3m5!1s0x47c695c779764565:0xd313d34d011d0039!8m2!3d51.6045616!4d5.0719093!16s%2Fg%2F11rzsq831q?entry=ttu&amp;g_ep=EgoyMDI1MDMxOS4yIKXMDSoASAFQAw%3D%3D" TargetMode="External"/><Relationship Id="rId1656" Type="http://schemas.openxmlformats.org/officeDocument/2006/relationships/hyperlink" Target="https://app.pdok.nl/viewer/" TargetMode="External"/><Relationship Id="rId1657" Type="http://schemas.openxmlformats.org/officeDocument/2006/relationships/hyperlink" Target="https://wdedommel.maps.arcgis.com/apps/instant/sidebar/index.html?appid=23a834ba19684851a978b08708f6e83b" TargetMode="External"/><Relationship Id="rId1658" Type="http://schemas.openxmlformats.org/officeDocument/2006/relationships/hyperlink" Target="https://www.klicviewer.nl/klic-viewer/uitlevering/185bfabe-850d-4381-bfdc-148bdce849ac" TargetMode="External"/><Relationship Id="rId1659" Type="http://schemas.openxmlformats.org/officeDocument/2006/relationships/hyperlink" Target="https://www.google.com/maps/place/Buurterstraat+45,+1156+AR+Marken/@52.4575433,5.1060391,19z/data=!4m6!3m5!1s0x47c61ad16ae318cb:0xc83cd902d19548d!8m2!3d52.4577334!4d5.1057841!16s%2Fg%2F11crvfz79y?entry=ttu&amp;g_ep=EgoyMDI1MDkxNy4wIKXMDSoASAFQAw%3D%3D" TargetMode="External"/><Relationship Id="rId829" Type="http://schemas.openxmlformats.org/officeDocument/2006/relationships/hyperlink" Target="https://maps.app.goo.gl/rRgFUq9jHqPTkDQX8" TargetMode="External"/><Relationship Id="rId828" Type="http://schemas.openxmlformats.org/officeDocument/2006/relationships/hyperlink" Target="https://www.klicviewer.nl/klic-viewer/uitlevering/c522630e-8bcc-4d9e-895d-213eddc285bf" TargetMode="External"/><Relationship Id="rId827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822" Type="http://schemas.openxmlformats.org/officeDocument/2006/relationships/hyperlink" Target="https://maps.app.goo.gl/QGGmSDYiGtUNqrt67" TargetMode="External"/><Relationship Id="rId821" Type="http://schemas.openxmlformats.org/officeDocument/2006/relationships/hyperlink" Target="https://www.klicviewer.nl/klic-viewer/uitlevering/106789a0-9e9f-4071-aba6-d880fac0f391" TargetMode="External"/><Relationship Id="rId820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826" Type="http://schemas.openxmlformats.org/officeDocument/2006/relationships/hyperlink" Target="https://rijnland.maps.arcgis.com/apps/instant/sidebar/index.html?appid=5469a9663c5e4643b10efe6da9a15ae2" TargetMode="External"/><Relationship Id="rId825" Type="http://schemas.openxmlformats.org/officeDocument/2006/relationships/hyperlink" Target="https://rijnland.maps.arcgis.com/apps/instant/sidebar/index.html?appid=f0fd839278474fe7841a12800fcc3e39" TargetMode="External"/><Relationship Id="rId824" Type="http://schemas.openxmlformats.org/officeDocument/2006/relationships/hyperlink" Target="https://rijnland.maps.arcgis.com/apps/instant/sidebar/index.html?appid=2b214417eea74ae9a56119c251ffa960" TargetMode="External"/><Relationship Id="rId823" Type="http://schemas.openxmlformats.org/officeDocument/2006/relationships/hyperlink" Target="https://app.pdok.nl/viewer/" TargetMode="External"/><Relationship Id="rId1650" Type="http://schemas.openxmlformats.org/officeDocument/2006/relationships/hyperlink" Target="https://www.google.com/maps/place/Over+de+Leij+2,+1636+VM+Schermerhorn/@52.6007191,4.8865618,144m/data=!3m1!1e3!4m6!3m5!1s0x47c5fff5bb4c8d85:0x163b2e1af5294473!8m2!3d52.6004445!4d4.8867916!16s%2Fg%2F11c4n62f3k?entry=ttu&amp;g_ep=EgoyMDI1MDIxMi4wIKXMDSoASAFQAw%3D%3D" TargetMode="External"/><Relationship Id="rId1651" Type="http://schemas.openxmlformats.org/officeDocument/2006/relationships/hyperlink" Target="https://app.pdok.nl/viewer/" TargetMode="External"/><Relationship Id="rId1652" Type="http://schemas.openxmlformats.org/officeDocument/2006/relationships/hyperlink" Target="https://kaarten.hhnk.nl/portal/apps/webappviewer/index.html?id=d2de3caed0ba442290991e1f5b404e1a" TargetMode="External"/><Relationship Id="rId1642" Type="http://schemas.openxmlformats.org/officeDocument/2006/relationships/hyperlink" Target="https://www.klicviewer.nl/klic-viewer/uitlevering/a783ed3b-0e3a-4bde-9afb-de3b8d7735bd" TargetMode="External"/><Relationship Id="rId1643" Type="http://schemas.openxmlformats.org/officeDocument/2006/relationships/hyperlink" Target="https://www.google.com/maps/place/Karspeldreef+16,+1101+CK+Amsterdam/@52.3056301,4.9512731,18.5z/data=!4m6!3m5!1s0x47c60b835f333cad:0xf6173ddea913bcce!8m2!3d52.3055402!4d4.9513286!16s%2Fg%2F11bw4238xj?entry=ttu&amp;g_ep=EgoyMDI1MDIyNS4wIKXMDSoASAFQAw%3D%3D" TargetMode="External"/><Relationship Id="rId1644" Type="http://schemas.openxmlformats.org/officeDocument/2006/relationships/hyperlink" Target="https://app.pdok.nl/viewer/" TargetMode="External"/><Relationship Id="rId1645" Type="http://schemas.openxmlformats.org/officeDocument/2006/relationships/hyperlink" Target="https://maps.waternet.nl/portal/apps/experiencebuilder/experience/?id=36500ca8332b489182bf9ab83427cbc1" TargetMode="External"/><Relationship Id="rId1646" Type="http://schemas.openxmlformats.org/officeDocument/2006/relationships/hyperlink" Target="https://www.klicviewer.nl/klic-viewer/uitlevering/b2950e04-4c24-4177-aa47-e4966d3267e8" TargetMode="External"/><Relationship Id="rId1647" Type="http://schemas.openxmlformats.org/officeDocument/2006/relationships/hyperlink" Target="https://www.google.com/maps/place/Ter+Steeghe+Ring+5,+3331+LX+Zwijndrecht/@51.82753,4.6281158,146m/data=!3m1!1e3!4m6!3m5!1s0x47c42e8dab034d89:0x11ca5990c6cce6e9!8m2!3d51.8276464!4d4.6280696!16s%2Fg%2F11rg5ydmy9?entry=ttu&amp;g_ep=EgoyMDI1MDkyMS4wIKXMDSoASAFQAw%3D%3D" TargetMode="External"/><Relationship Id="rId1648" Type="http://schemas.openxmlformats.org/officeDocument/2006/relationships/hyperlink" Target="https://app.pdok.nl/viewer/" TargetMode="External"/><Relationship Id="rId1649" Type="http://schemas.openxmlformats.org/officeDocument/2006/relationships/hyperlink" Target="https://wshd.maps.arcgis.com/apps/instant/sidebar/index.html?appid=e9fc292e4b9446068b8fcc1b938df522" TargetMode="External"/><Relationship Id="rId819" Type="http://schemas.openxmlformats.org/officeDocument/2006/relationships/hyperlink" Target="https://rijnland.maps.arcgis.com/apps/instant/sidebar/index.html?appid=5469a9663c5e4643b10efe6da9a15ae2" TargetMode="External"/><Relationship Id="rId818" Type="http://schemas.openxmlformats.org/officeDocument/2006/relationships/hyperlink" Target="https://rijnland.maps.arcgis.com/apps/instant/sidebar/index.html?appid=f0fd839278474fe7841a12800fcc3e39" TargetMode="External"/><Relationship Id="rId817" Type="http://schemas.openxmlformats.org/officeDocument/2006/relationships/hyperlink" Target="https://rijnland.maps.arcgis.com/apps/instant/sidebar/index.html?appid=2b214417eea74ae9a56119c251ffa960" TargetMode="External"/><Relationship Id="rId816" Type="http://schemas.openxmlformats.org/officeDocument/2006/relationships/hyperlink" Target="https://app.pdok.nl/viewer/" TargetMode="External"/><Relationship Id="rId811" Type="http://schemas.openxmlformats.org/officeDocument/2006/relationships/hyperlink" Target="https://rijnland.maps.arcgis.com/apps/instant/sidebar/index.html?appid=f0fd839278474fe7841a12800fcc3e39" TargetMode="External"/><Relationship Id="rId810" Type="http://schemas.openxmlformats.org/officeDocument/2006/relationships/hyperlink" Target="https://rijnland.maps.arcgis.com/apps/instant/sidebar/index.html?appid=2b214417eea74ae9a56119c251ffa960" TargetMode="External"/><Relationship Id="rId815" Type="http://schemas.openxmlformats.org/officeDocument/2006/relationships/hyperlink" Target="https://maps.app.goo.gl/Mz7fqVMBUBSpMtwA6" TargetMode="External"/><Relationship Id="rId814" Type="http://schemas.openxmlformats.org/officeDocument/2006/relationships/hyperlink" Target="https://www.klicviewer.nl/klic-viewer/uitlevering/5f2fb26a-17b3-4c16-a46d-87fe655662aa" TargetMode="External"/><Relationship Id="rId813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812" Type="http://schemas.openxmlformats.org/officeDocument/2006/relationships/hyperlink" Target="https://rijnland.maps.arcgis.com/apps/instant/sidebar/index.html?appid=5469a9663c5e4643b10efe6da9a15ae2" TargetMode="External"/><Relationship Id="rId1640" Type="http://schemas.openxmlformats.org/officeDocument/2006/relationships/hyperlink" Target="https://app.pdok.nl/viewer/" TargetMode="External"/><Relationship Id="rId1641" Type="http://schemas.openxmlformats.org/officeDocument/2006/relationships/hyperlink" Target="https://maps.waternet.nl/portal/apps/experiencebuilder/experience/?id=36500ca8332b489182bf9ab83427cbc1&amp;page=Vergunningen-en-Meldingen&amp;views=Kaartlagen-" TargetMode="External"/><Relationship Id="rId1675" Type="http://schemas.openxmlformats.org/officeDocument/2006/relationships/hyperlink" Target="https://rijnland.maps.arcgis.com/apps/instant/interactivelegend/index.html?appid=7bc3198037d24d54a9743987ad0731d2" TargetMode="External"/><Relationship Id="rId1676" Type="http://schemas.openxmlformats.org/officeDocument/2006/relationships/hyperlink" Target="https://rijnland.maps.arcgis.com/apps/instant/interactivelegend/index.html?appid=ac183c60750a435db95b1705d25b3121" TargetMode="External"/><Relationship Id="rId1677" Type="http://schemas.openxmlformats.org/officeDocument/2006/relationships/hyperlink" Target="https://rijnland.maps.arcgis.com/apps/instant/sidebar/index.html?appid=5469a9663c5e4643b10efe6da9a15ae2" TargetMode="External"/><Relationship Id="rId1678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679" Type="http://schemas.openxmlformats.org/officeDocument/2006/relationships/hyperlink" Target="https://www.klicviewer.nl/klic-viewer/uitlevering/efbc9c6c-1899-45e3-8aaa-6baf1ff21348" TargetMode="External"/><Relationship Id="rId849" Type="http://schemas.openxmlformats.org/officeDocument/2006/relationships/hyperlink" Target="https://www.google.com/maps/place/Nieuwe+Sluisweg+8,+7478+RE+Diepenheim/@52.1854217,6.5654377,205m/data=!3m1!1e3!4m6!3m5!1s0x47b80ab1979a2d9f:0x8ec1463d633e7593!8m2!3d52.1853172!4d6.5670741!16s%2Fg%2F11c264j4w3?entry=ttu&amp;g_ep=EgoyMDI2MDEyNi4wIKXMDSoASAFQAw%3D%3D" TargetMode="External"/><Relationship Id="rId844" Type="http://schemas.openxmlformats.org/officeDocument/2006/relationships/hyperlink" Target="https://www.klicviewer.nl/klic-viewer/uitlevering/8a8af2e9-a184-4fd2-a19b-c81ed045ba25" TargetMode="External"/><Relationship Id="rId843" Type="http://schemas.openxmlformats.org/officeDocument/2006/relationships/hyperlink" Target="https://docs.google.com/spreadsheets/d/1U-7oeZCY7lxNo6qL2JdpLfjmS1FDYTZF/edit?gid=1180820685" TargetMode="External"/><Relationship Id="rId842" Type="http://schemas.openxmlformats.org/officeDocument/2006/relationships/hyperlink" Target="https://kaarten.hhnk.nl/portal/apps/experiencebuilder/experience/?id=51ae36990bf448248b105c8fbc9fbeb3" TargetMode="External"/><Relationship Id="rId841" Type="http://schemas.openxmlformats.org/officeDocument/2006/relationships/hyperlink" Target="https://kaarten.hhnk.nl/portal/apps/webappviewer/index.html?id=d2de3caed0ba442290991e1f5b404e1a" TargetMode="External"/><Relationship Id="rId848" Type="http://schemas.openxmlformats.org/officeDocument/2006/relationships/hyperlink" Target="https://www.klicviewer.nl/klic-viewer/uitlevering/aa37ba6a-7d3b-4505-844e-1915ba1bec41" TargetMode="External"/><Relationship Id="rId847" Type="http://schemas.openxmlformats.org/officeDocument/2006/relationships/hyperlink" Target="https://kaarten.hhnk.nl/portal/apps/webappviewer/index.html?id=d2de3caed0ba442290991e1f5b404e1a" TargetMode="External"/><Relationship Id="rId846" Type="http://schemas.openxmlformats.org/officeDocument/2006/relationships/hyperlink" Target="https://app.pdok.nl/viewer/" TargetMode="External"/><Relationship Id="rId845" Type="http://schemas.openxmlformats.org/officeDocument/2006/relationships/hyperlink" Target="https://maps.app.goo.gl/ToHJ9TGcBjHPJGYB7" TargetMode="External"/><Relationship Id="rId1670" Type="http://schemas.openxmlformats.org/officeDocument/2006/relationships/hyperlink" Target="https://rijnland.maps.arcgis.com/apps/instant/sidebar/index.html?appid=5469a9663c5e4643b10efe6da9a15ae2" TargetMode="External"/><Relationship Id="rId840" Type="http://schemas.openxmlformats.org/officeDocument/2006/relationships/hyperlink" Target="https://app.pdok.nl/viewer/" TargetMode="External"/><Relationship Id="rId1671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672" Type="http://schemas.openxmlformats.org/officeDocument/2006/relationships/hyperlink" Target="https://www.klicviewer.nl/klic-viewer/uitlevering/efbc9c6c-1899-45e3-8aaa-6baf1ff21348" TargetMode="External"/><Relationship Id="rId1673" Type="http://schemas.openxmlformats.org/officeDocument/2006/relationships/hyperlink" Target="https://maps.app.goo.gl/FDKgHaJSXLNQkSXP7" TargetMode="External"/><Relationship Id="rId1674" Type="http://schemas.openxmlformats.org/officeDocument/2006/relationships/hyperlink" Target="https://app.pdok.nl/viewer/" TargetMode="External"/><Relationship Id="rId1664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665" Type="http://schemas.openxmlformats.org/officeDocument/2006/relationships/hyperlink" Target="https://www.klicviewer.nl/klic-viewer/uitlevering/6e5688c5-2ff6-4b51-92b7-0d37a4354332" TargetMode="External"/><Relationship Id="rId1666" Type="http://schemas.openxmlformats.org/officeDocument/2006/relationships/hyperlink" Target="https://maps.app.goo.gl/FDKgHaJSXLNQkSXP7" TargetMode="External"/><Relationship Id="rId1667" Type="http://schemas.openxmlformats.org/officeDocument/2006/relationships/hyperlink" Target="https://app.pdok.nl/viewer/" TargetMode="External"/><Relationship Id="rId1668" Type="http://schemas.openxmlformats.org/officeDocument/2006/relationships/hyperlink" Target="https://rijnland.maps.arcgis.com/apps/instant/interactivelegend/index.html?appid=7bc3198037d24d54a9743987ad0731d2" TargetMode="External"/><Relationship Id="rId1669" Type="http://schemas.openxmlformats.org/officeDocument/2006/relationships/hyperlink" Target="https://rijnland.maps.arcgis.com/apps/instant/interactivelegend/index.html?appid=ac183c60750a435db95b1705d25b3121" TargetMode="External"/><Relationship Id="rId839" Type="http://schemas.openxmlformats.org/officeDocument/2006/relationships/hyperlink" Target="https://www.google.com/maps/place/Belkmerweg+66a,+1753+GD+Sint+Maartensvlotbrug/@52.7854845,4.6968709,18z/data=!4m15!1m8!3m7!1s0x47cf454a865320cf:0x23b4fce3f3b1e05b!2sBelkmerweg+68,+1753+GD+Sint+Maartensvlotbrug!3b1!8m2!3d52.7837101!4d4.7006936!16s%2Fg%2F11c4st8l1f!3m5!1s0x47cf4535b79345a7:0x5d5da6d7a0cee461!8m2!3d52.7852671!4d4.6977357!16s%2Fg%2F11crqsmprq?entry=ttu&amp;g_ep=EgoyMDI1MDMwOC4wIKXMDSoASAFQAw%3D%3D" TargetMode="External"/><Relationship Id="rId838" Type="http://schemas.openxmlformats.org/officeDocument/2006/relationships/hyperlink" Target="https://www.klicviewer.nl/klic-viewer/uitlevering/8a900383-02a2-4f57-aab9-87eca6e693ba" TargetMode="External"/><Relationship Id="rId833" Type="http://schemas.openxmlformats.org/officeDocument/2006/relationships/hyperlink" Target="https://rijnland.maps.arcgis.com/apps/instant/sidebar/index.html?appid=5469a9663c5e4643b10efe6da9a15ae2" TargetMode="External"/><Relationship Id="rId832" Type="http://schemas.openxmlformats.org/officeDocument/2006/relationships/hyperlink" Target="https://rijnland.maps.arcgis.com/apps/instant/sidebar/index.html?appid=f0fd839278474fe7841a12800fcc3e39" TargetMode="External"/><Relationship Id="rId831" Type="http://schemas.openxmlformats.org/officeDocument/2006/relationships/hyperlink" Target="https://rijnland.maps.arcgis.com/apps/instant/sidebar/index.html?appid=2b214417eea74ae9a56119c251ffa960" TargetMode="External"/><Relationship Id="rId830" Type="http://schemas.openxmlformats.org/officeDocument/2006/relationships/hyperlink" Target="https://app.pdok.nl/viewer/" TargetMode="External"/><Relationship Id="rId837" Type="http://schemas.openxmlformats.org/officeDocument/2006/relationships/hyperlink" Target="https://maps.waternet.nl/portal/apps/experiencebuilder/experience/?id=36500ca8332b489182bf9ab83427cbc1" TargetMode="External"/><Relationship Id="rId836" Type="http://schemas.openxmlformats.org/officeDocument/2006/relationships/hyperlink" Target="https://app.pdok.nl/viewer/" TargetMode="External"/><Relationship Id="rId835" Type="http://schemas.openxmlformats.org/officeDocument/2006/relationships/hyperlink" Target="https://maps.app.goo.gl/krzsYmzKg8qvKnjX6" TargetMode="External"/><Relationship Id="rId834" Type="http://schemas.openxmlformats.org/officeDocument/2006/relationships/hyperlink" Target="https://www.klicviewer.nl/klic-viewer/uitlevering/e075f47a-6847-42ac-ac2e-dc41a4bd6b97" TargetMode="External"/><Relationship Id="rId1660" Type="http://schemas.openxmlformats.org/officeDocument/2006/relationships/hyperlink" Target="https://app.pdok.nl/viewer/" TargetMode="External"/><Relationship Id="rId1661" Type="http://schemas.openxmlformats.org/officeDocument/2006/relationships/hyperlink" Target="https://kaarten.hhnk.nl/portal/apps/webappviewer/index.html?id=d2de3caed0ba442290991e1f5b404e1a" TargetMode="External"/><Relationship Id="rId1662" Type="http://schemas.openxmlformats.org/officeDocument/2006/relationships/hyperlink" Target="https://www.hhnk.nl/legger-wateren" TargetMode="External"/><Relationship Id="rId1663" Type="http://schemas.openxmlformats.org/officeDocument/2006/relationships/hyperlink" Target="https://www.hhnk.nl/peilbesluiten" TargetMode="External"/><Relationship Id="rId469" Type="http://schemas.openxmlformats.org/officeDocument/2006/relationships/hyperlink" Target="https://app.pdok.nl/viewer/" TargetMode="External"/><Relationship Id="rId468" Type="http://schemas.openxmlformats.org/officeDocument/2006/relationships/hyperlink" Target="https://maps.app.goo.gl/UtntoQuKqogPrPpS7" TargetMode="External"/><Relationship Id="rId467" Type="http://schemas.openxmlformats.org/officeDocument/2006/relationships/hyperlink" Target="https://www.klicviewer.nl/klic-viewer/uitlevering/d7928bbb-6038-4d3f-8b7e-86b0b2c27102" TargetMode="External"/><Relationship Id="rId1290" Type="http://schemas.openxmlformats.org/officeDocument/2006/relationships/hyperlink" Target="https://klicviewer.nl/klic-viewer/uitlevering/19027587-25f2-4a01-9bdc-f19b332b8e46" TargetMode="External"/><Relationship Id="rId1291" Type="http://schemas.openxmlformats.org/officeDocument/2006/relationships/hyperlink" Target="https://maps.app.goo.gl/uSrXyeRGFQ3jrofn6" TargetMode="External"/><Relationship Id="rId1292" Type="http://schemas.openxmlformats.org/officeDocument/2006/relationships/hyperlink" Target="https://app.pdok.nl/viewer/" TargetMode="External"/><Relationship Id="rId462" Type="http://schemas.openxmlformats.org/officeDocument/2006/relationships/hyperlink" Target="https://maps.waternet.nl/portal/apps/experiencebuilder/experience/?id=36500ca8332b489182bf9ab83427cbc1" TargetMode="External"/><Relationship Id="rId1293" Type="http://schemas.openxmlformats.org/officeDocument/2006/relationships/hyperlink" Target="https://rijnland.maps.arcgis.com/apps/instant/interactivelegend/index.html?appid=7bc3198037d24d54a9743987ad0731d2" TargetMode="External"/><Relationship Id="rId461" Type="http://schemas.openxmlformats.org/officeDocument/2006/relationships/hyperlink" Target="https://app.pdok.nl/viewer/" TargetMode="External"/><Relationship Id="rId1294" Type="http://schemas.openxmlformats.org/officeDocument/2006/relationships/hyperlink" Target="https://rijnland.maps.arcgis.com/apps/instant/interactivelegend/index.html?appid=ac183c60750a435db95b1705d25b3121" TargetMode="External"/><Relationship Id="rId460" Type="http://schemas.openxmlformats.org/officeDocument/2006/relationships/hyperlink" Target="https://www.google.com/maps/place/Oostoever+1,+1064+GV+Amsterdam/@52.3698995,4.8297746,204m/data=!3m1!1e3!4m6!3m5!1s0x47c5e247edaf0b25:0x717b8822e91d9b6e!8m2!3d52.370146!4d4.83019!16s%2Fg%2F11c4tf6890?entry=ttu&amp;g_ep=EgoyMDI2MDExMS4wIKXMDSoASAFQAw%3D%3D" TargetMode="External"/><Relationship Id="rId1295" Type="http://schemas.openxmlformats.org/officeDocument/2006/relationships/hyperlink" Target="https://rijnland.maps.arcgis.com/apps/instant/sidebar/index.html?appid=5469a9663c5e4643b10efe6da9a15ae2" TargetMode="External"/><Relationship Id="rId1296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466" Type="http://schemas.openxmlformats.org/officeDocument/2006/relationships/hyperlink" Target="https://maps.waternet.nl/portal/apps/experiencebuilder/experience/?id=36500ca8332b489182bf9ab83427cbc1" TargetMode="External"/><Relationship Id="rId1297" Type="http://schemas.openxmlformats.org/officeDocument/2006/relationships/hyperlink" Target="https://www.klicviewer.nl/klic-viewer/uitlevering/f01eab19-60d4-4953-952b-f55042298378" TargetMode="External"/><Relationship Id="rId465" Type="http://schemas.openxmlformats.org/officeDocument/2006/relationships/hyperlink" Target="https://app.pdok.nl/viewer/" TargetMode="External"/><Relationship Id="rId1298" Type="http://schemas.openxmlformats.org/officeDocument/2006/relationships/hyperlink" Target="https://maps.app.goo.gl/1tiYLrpm3q3VAvGdA" TargetMode="External"/><Relationship Id="rId464" Type="http://schemas.openxmlformats.org/officeDocument/2006/relationships/hyperlink" Target="https://maps.app.goo.gl/BK4doiCiQ44LU8tC8" TargetMode="External"/><Relationship Id="rId1299" Type="http://schemas.openxmlformats.org/officeDocument/2006/relationships/hyperlink" Target="https://dmmb.ipm4pro.nl/port.html?guid=98aa06ef-c370-45ee-8e91-0bb776a96118" TargetMode="External"/><Relationship Id="rId463" Type="http://schemas.openxmlformats.org/officeDocument/2006/relationships/hyperlink" Target="https://www.klicviewer.nl/klic-viewer/uitlevering/d609d44b-8e0b-4d84-9217-dbd4804f01a1" TargetMode="External"/><Relationship Id="rId459" Type="http://schemas.openxmlformats.org/officeDocument/2006/relationships/hyperlink" Target="https://www.klicviewer.nl/klic-viewer/uitlevering/e0973b8b-510f-4203-ba7f-143ff914daf8" TargetMode="External"/><Relationship Id="rId458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457" Type="http://schemas.openxmlformats.org/officeDocument/2006/relationships/hyperlink" Target="https://maps.waternet.nl/portal/apps/experiencebuilder/experience/?id=36500ca8332b489182bf9ab83427cbc1" TargetMode="External"/><Relationship Id="rId456" Type="http://schemas.openxmlformats.org/officeDocument/2006/relationships/hyperlink" Target="https://app.pdok.nl/viewer/" TargetMode="External"/><Relationship Id="rId1280" Type="http://schemas.openxmlformats.org/officeDocument/2006/relationships/hyperlink" Target="https://rijnland.maps.arcgis.com/apps/instant/interactivelegend/index.html?appid=ac183c60750a435db95b1705d25b3121" TargetMode="External"/><Relationship Id="rId1281" Type="http://schemas.openxmlformats.org/officeDocument/2006/relationships/hyperlink" Target="https://rijnland.maps.arcgis.com/apps/instant/sidebar/index.html?appid=5469a9663c5e4643b10efe6da9a15ae2" TargetMode="External"/><Relationship Id="rId451" Type="http://schemas.openxmlformats.org/officeDocument/2006/relationships/hyperlink" Target="https://experience.arcgis.com/experience/e4162895d005481ba26c8530c09b7f62" TargetMode="External"/><Relationship Id="rId1282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450" Type="http://schemas.openxmlformats.org/officeDocument/2006/relationships/hyperlink" Target="https://experience.arcgis.com/experience/9373fa4978604e8f91eb234b64e1d79e/page/De-dijken/" TargetMode="External"/><Relationship Id="rId1283" Type="http://schemas.openxmlformats.org/officeDocument/2006/relationships/hyperlink" Target="https://www.klicviewer.nl/klic-viewer/uitlevering/db5e4c31-e43d-4f7e-9dae-e6cdd0acdb42" TargetMode="External"/><Relationship Id="rId1284" Type="http://schemas.openxmlformats.org/officeDocument/2006/relationships/hyperlink" Target="https://maps.app.goo.gl/1tiYLrpm3q3VAvGdA" TargetMode="External"/><Relationship Id="rId1285" Type="http://schemas.openxmlformats.org/officeDocument/2006/relationships/hyperlink" Target="https://dmmb.ipm4pro.nl/port.html?guid=98aa06ef-c370-45ee-8e91-0bb776a96118" TargetMode="External"/><Relationship Id="rId455" Type="http://schemas.openxmlformats.org/officeDocument/2006/relationships/hyperlink" Target="https://www.google.com/maps/place/mateco+Amsterdam/@52.4012395,4.8508956,297m/data=!3m1!1e3!4m15!1m8!3m7!1s0x47c5e247edaf0b25:0x717b8822e91d9b6e!2sOostoever+1,+1064+GV+Amsterdam!3b1!8m2!3d52.370146!4d4.83019!16s%2Fg%2F11c4tf6890!3m5!1s0x47c5e29212d38b77:0xcbfc00615db37750!8m2!3d52.4013061!4d4.8526525!16s%2Fg%2F1tdkq_8v?entry=ttu&amp;g_ep=EgoyMDI2MDExMS4wIKXMDSoASAFQAw%3D%3D" TargetMode="External"/><Relationship Id="rId1286" Type="http://schemas.openxmlformats.org/officeDocument/2006/relationships/hyperlink" Target="https://rijnland.maps.arcgis.com/apps/instant/interactivelegend/index.html?appid=7bc3198037d24d54a9743987ad0731d2" TargetMode="External"/><Relationship Id="rId454" Type="http://schemas.openxmlformats.org/officeDocument/2006/relationships/hyperlink" Target="https://www.klicviewer.nl/klic-viewer/uitlevering/4e645e2b-9852-42dc-a701-b53226f5d1dd" TargetMode="External"/><Relationship Id="rId1287" Type="http://schemas.openxmlformats.org/officeDocument/2006/relationships/hyperlink" Target="https://rijnland.maps.arcgis.com/apps/instant/interactivelegend/index.html?appid=ac183c60750a435db95b1705d25b3121" TargetMode="External"/><Relationship Id="rId453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1288" Type="http://schemas.openxmlformats.org/officeDocument/2006/relationships/hyperlink" Target="https://rijnland.maps.arcgis.com/apps/instant/sidebar/index.html?appid=5469a9663c5e4643b10efe6da9a15ae2" TargetMode="External"/><Relationship Id="rId452" Type="http://schemas.openxmlformats.org/officeDocument/2006/relationships/hyperlink" Target="https://opendata-hhsk.hub.arcgis.com/" TargetMode="External"/><Relationship Id="rId1289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491" Type="http://schemas.openxmlformats.org/officeDocument/2006/relationships/hyperlink" Target="https://maps.app.goo.gl/Kqyi3U7q2iHkXouY9" TargetMode="External"/><Relationship Id="rId490" Type="http://schemas.openxmlformats.org/officeDocument/2006/relationships/hyperlink" Target="https://www.klicviewer.nl/klic-viewer/uitlevering/47d49bd6-03fd-4614-bc90-d6f8577e130d" TargetMode="External"/><Relationship Id="rId489" Type="http://schemas.openxmlformats.org/officeDocument/2006/relationships/hyperlink" Target="https://wdodelta.maps.arcgis.com/apps/instant/minimalist/index.html?appid=eeb3ab5d0bc24d0b8f4544aef1e7e109" TargetMode="External"/><Relationship Id="rId484" Type="http://schemas.openxmlformats.org/officeDocument/2006/relationships/hyperlink" Target="https://hdsr.maps.arcgis.com/apps/instant/interactivelegend/index.html?appid=9e93c659d8a94b63a66f7d7c41f5a15b" TargetMode="External"/><Relationship Id="rId483" Type="http://schemas.openxmlformats.org/officeDocument/2006/relationships/hyperlink" Target="https://experience.arcgis.com/experience/d8c3882f27734761b57f4c766e21b41c" TargetMode="External"/><Relationship Id="rId482" Type="http://schemas.openxmlformats.org/officeDocument/2006/relationships/hyperlink" Target="https://experience.arcgis.com/experience/574ae177043749ce9fc5cc2df510f79a" TargetMode="External"/><Relationship Id="rId481" Type="http://schemas.openxmlformats.org/officeDocument/2006/relationships/hyperlink" Target="https://app.pdok.nl/viewer/" TargetMode="External"/><Relationship Id="rId488" Type="http://schemas.openxmlformats.org/officeDocument/2006/relationships/hyperlink" Target="https://wdodelta.maps.arcgis.com/apps/instant/sidebar/index.html?appid=a7f76d971d44419d96823c831d710331" TargetMode="External"/><Relationship Id="rId487" Type="http://schemas.openxmlformats.org/officeDocument/2006/relationships/hyperlink" Target="https://wdodelta.maps.arcgis.com/apps/instant/basic/index.html?appid=b84164114b70469ca1ba12d662946309" TargetMode="External"/><Relationship Id="rId486" Type="http://schemas.openxmlformats.org/officeDocument/2006/relationships/hyperlink" Target="https://app.pdok.nl/viewer/" TargetMode="External"/><Relationship Id="rId485" Type="http://schemas.openxmlformats.org/officeDocument/2006/relationships/hyperlink" Target="https://www.google.com/maps/place/Slapen+bij+de+Sluis+Blokzijl/@52.7267762,5.9610355,406m/data=!3m1!1e3!4m9!3m8!1s0x47c865ac9c0624d1:0x3325d6326c8a699a!5m2!4m1!1i2!8m2!3d52.7265234!4d5.9610435!16s%2Fg%2F11pylzgl7q?entry=ttu&amp;g_ep=EgoyMDI2MDMwOC4wIKXMDSoASAFQAw%3D%3D" TargetMode="External"/><Relationship Id="rId480" Type="http://schemas.openxmlformats.org/officeDocument/2006/relationships/hyperlink" Target="https://maps.app.goo.gl/QAoepGYaNETqZCYa6" TargetMode="External"/><Relationship Id="rId479" Type="http://schemas.openxmlformats.org/officeDocument/2006/relationships/hyperlink" Target="https://www.klicviewer.nl/klic-viewer/uitlevering/98864d35-ba8f-4283-8754-f88f455b5a8c" TargetMode="External"/><Relationship Id="rId478" Type="http://schemas.openxmlformats.org/officeDocument/2006/relationships/hyperlink" Target="https://maps.waternet.nl/portal/apps/experiencebuilder/experience/?id=36500ca8332b489182bf9ab83427cbc1" TargetMode="External"/><Relationship Id="rId473" Type="http://schemas.openxmlformats.org/officeDocument/2006/relationships/hyperlink" Target="https://app.pdok.nl/viewer/" TargetMode="External"/><Relationship Id="rId472" Type="http://schemas.openxmlformats.org/officeDocument/2006/relationships/hyperlink" Target="https://www.google.com/maps/place/Zwolseweg+76,+8055+PB+Laag+Zuthem/@52.4680495,6.2026923,172m/data=!3m1!1e3!4m6!3m5!1s0x47c7e0b9ab12bc4b:0x39de9ec0e475aa19!8m2!3d52.4679714!4d6.2037942!16s%2Fg%2F11b8v7sjm_?entry=ttu&amp;g_ep=EgoyMDI2MDExMS4wIKXMDSoASAFQAw%3D%3D" TargetMode="External"/><Relationship Id="rId471" Type="http://schemas.openxmlformats.org/officeDocument/2006/relationships/hyperlink" Target="https://www.klicviewer.nl/klic-viewer/uitlevering/e51cf28f-01b2-4db8-80b2-8b6377f58d95" TargetMode="External"/><Relationship Id="rId470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477" Type="http://schemas.openxmlformats.org/officeDocument/2006/relationships/hyperlink" Target="https://app.pdok.nl/viewer/" TargetMode="External"/><Relationship Id="rId476" Type="http://schemas.openxmlformats.org/officeDocument/2006/relationships/hyperlink" Target="https://www.google.com/maps/place/Nassaukade+63A,+1052+CP+Amsterdam/@52.3799811,4.8778134,145m/data=!3m1!1e3!4m6!3m5!1s0x47c609d0dcfdb787:0xe1e9d9afdb63bacc!8m2!3d52.3801768!4d4.8784529!16s%2Fg%2F11cslhr59d?entry=ttu&amp;g_ep=EgoyMDI2MDExMS4wIKXMDSoASAFQAw%3D%3D" TargetMode="External"/><Relationship Id="rId475" Type="http://schemas.openxmlformats.org/officeDocument/2006/relationships/hyperlink" Target="https://www.klicviewer.nl/klic-viewer/uitlevering/2167aa75-612b-4e32-8020-1348b8201564" TargetMode="External"/><Relationship Id="rId474" Type="http://schemas.openxmlformats.org/officeDocument/2006/relationships/hyperlink" Target="https://www.wdodelta.nl/kaarten" TargetMode="External"/><Relationship Id="rId1257" Type="http://schemas.openxmlformats.org/officeDocument/2006/relationships/hyperlink" Target="https://www.klicviewer.nl/klic-viewer/uitlevering/05d0297e-b67a-4e3f-bc5b-9670255c3ae6" TargetMode="External"/><Relationship Id="rId1258" Type="http://schemas.openxmlformats.org/officeDocument/2006/relationships/hyperlink" Target="https://maps.app.goo.gl/s7KMiVb6ndZJfp329" TargetMode="External"/><Relationship Id="rId1259" Type="http://schemas.openxmlformats.org/officeDocument/2006/relationships/hyperlink" Target="https://app.pdok.nl/viewer/" TargetMode="External"/><Relationship Id="rId426" Type="http://schemas.openxmlformats.org/officeDocument/2006/relationships/hyperlink" Target="https://maps.app.goo.gl/aKdXSJ3utSTL8CueA" TargetMode="External"/><Relationship Id="rId425" Type="http://schemas.openxmlformats.org/officeDocument/2006/relationships/hyperlink" Target="https://www.klicviewer.nl/klic-viewer/uitlevering/147073bd-8884-4088-b173-b066bf96000c" TargetMode="External"/><Relationship Id="rId424" Type="http://schemas.openxmlformats.org/officeDocument/2006/relationships/hyperlink" Target="https://docs.google.com/spreadsheets/d/1U-7oeZCY7lxNo6qL2JdpLfjmS1FDYTZF/edit?usp=sharing&amp;ouid=109069809842787901215&amp;rtpof=true&amp;sd=true" TargetMode="External"/><Relationship Id="rId423" Type="http://schemas.openxmlformats.org/officeDocument/2006/relationships/hyperlink" Target="https://rijnland.maps.arcgis.com/apps/instant/sidebar/index.html?appid=5469a9663c5e4643b10efe6da9a15ae2" TargetMode="External"/><Relationship Id="rId429" Type="http://schemas.openxmlformats.org/officeDocument/2006/relationships/hyperlink" Target="https://www.klicviewer.nl/klic-viewer/uitlevering/3024063d-f166-46ba-b2f0-4cfb0981d21a" TargetMode="External"/><Relationship Id="rId428" Type="http://schemas.openxmlformats.org/officeDocument/2006/relationships/hyperlink" Target="https://maps.waternet.nl/portal/apps/experiencebuilder/experience/?id=36500ca8332b489182bf9ab83427cbc1" TargetMode="External"/><Relationship Id="rId427" Type="http://schemas.openxmlformats.org/officeDocument/2006/relationships/hyperlink" Target="https://app.pdok.nl/viewer/" TargetMode="External"/><Relationship Id="rId1250" Type="http://schemas.openxmlformats.org/officeDocument/2006/relationships/hyperlink" Target="https://www.klicviewer.nl/klic-viewer/uitlevering/ab923b75-4e34-4d2a-9fbf-661806112430" TargetMode="External"/><Relationship Id="rId1251" Type="http://schemas.openxmlformats.org/officeDocument/2006/relationships/hyperlink" Target="https://maps.app.goo.gl/zJG4Bs5WcX9NKHDQ8" TargetMode="External"/><Relationship Id="rId1252" Type="http://schemas.openxmlformats.org/officeDocument/2006/relationships/hyperlink" Target="https://app.pdok.nl/viewer/" TargetMode="External"/><Relationship Id="rId422" Type="http://schemas.openxmlformats.org/officeDocument/2006/relationships/hyperlink" Target="https://rijnland.maps.arcgis.com/apps/instant/sidebar/index.html?appid=f0fd839278474fe7841a12800fcc3e39" TargetMode="External"/><Relationship Id="rId1253" Type="http://schemas.openxmlformats.org/officeDocument/2006/relationships/hyperlink" Target="https://rijnland.maps.arcgis.com/apps/instant/interactivelegend/index.html?appid=7bc3198037d24d54a9743987ad0731d2" TargetMode="External"/><Relationship Id="rId421" Type="http://schemas.openxmlformats.org/officeDocument/2006/relationships/hyperlink" Target="https://rijnland.maps.arcgis.com/apps/instant/sidebar/index.html?appid=2b214417eea74ae9a56119c251ffa960" TargetMode="External"/><Relationship Id="rId1254" Type="http://schemas.openxmlformats.org/officeDocument/2006/relationships/hyperlink" Target="https://rijnland.maps.arcgis.com/apps/instant/interactivelegend/index.html?appid=ac183c60750a435db95b1705d25b3121" TargetMode="External"/><Relationship Id="rId420" Type="http://schemas.openxmlformats.org/officeDocument/2006/relationships/hyperlink" Target="https://app.pdok.nl/viewer/" TargetMode="External"/><Relationship Id="rId1255" Type="http://schemas.openxmlformats.org/officeDocument/2006/relationships/hyperlink" Target="https://rijnland.maps.arcgis.com/apps/instant/sidebar/index.html?appid=5469a9663c5e4643b10efe6da9a15ae2" TargetMode="External"/><Relationship Id="rId1256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1246" Type="http://schemas.openxmlformats.org/officeDocument/2006/relationships/hyperlink" Target="https://www.google.com/maps/place/Middenweg+82,+1394+AM+Nederhorst+Den+Berg/@52.2499736,5.0795638,172m/data=!3m1!1e3!4m6!3m5!1s0x47c66d4b7df3b8af:0x1e277258876c4f07!8m2!3d52.2499953!4d5.0793564!16s%2Fg%2F11c3s8xk45?entry=ttu&amp;g_ep=EgoyMDI1MTAyMC4wIKXMDSoASAFQAw%3D%3D" TargetMode="External"/><Relationship Id="rId1247" Type="http://schemas.openxmlformats.org/officeDocument/2006/relationships/hyperlink" Target="https://app.pdok.nl/viewer/" TargetMode="External"/><Relationship Id="rId1248" Type="http://schemas.openxmlformats.org/officeDocument/2006/relationships/hyperlink" Target="https://maps.waternet.nl/portal/apps/experiencebuilder/experience/?id=36500ca8332b489182bf9ab83427cbc1" TargetMode="External"/><Relationship Id="rId1249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415" Type="http://schemas.openxmlformats.org/officeDocument/2006/relationships/hyperlink" Target="https://www.google.com/maps/place/Nieuwe+Hemweg+203,+1041+AL+Amsterdam/@52.4168073,4.8277002,971m/data=!3m1!1e3!4m6!3m5!1s0x47c5e2df2ccd17f3:0xba0926c304a709fe!8m2!3d52.4175224!4d4.826524!16s%2Fg%2F11vpfc7dym?entry=ttu&amp;g_ep=EgoyMDI2MDExMy4wIKXMDSoASAFQAw%3D%3D" TargetMode="External"/><Relationship Id="rId899" Type="http://schemas.openxmlformats.org/officeDocument/2006/relationships/hyperlink" Target="https://www.google.com/maps/place/Pioenroos+52,+2215+ZM+Voorhout/@52.232324,4.4856162,103m/data=!3m1!1e3!4m6!3m5!1s0x47c5c15678dfb8eb:0x34d70a7ce39049aa!8m2!3d52.2323753!4d4.4858795!16s%2Fg%2F11hfhmpgvc?entry=ttu&amp;g_ep=EgoyMDI1MTEyMy4xIKXMDSoASAFQAw%3D%3D" TargetMode="External"/><Relationship Id="rId414" Type="http://schemas.openxmlformats.org/officeDocument/2006/relationships/hyperlink" Target="https://www.klicviewer.nl/klic-viewer/uitlevering/3ffb2360-eaf0-40a6-af31-bfab4de1c9d1" TargetMode="External"/><Relationship Id="rId898" Type="http://schemas.openxmlformats.org/officeDocument/2006/relationships/hyperlink" Target="https://www.klicviewer.nl/klic-viewer/uitlevering/3d63f6de-c31d-41fb-99df-181b45df2e54" TargetMode="External"/><Relationship Id="rId413" Type="http://schemas.openxmlformats.org/officeDocument/2006/relationships/hyperlink" Target="https://gis.wetterskipfryslan.nl/portal/apps/experiencebuilder/experience/?id=a0e444b2c8874407bc63d3f81d61367c" TargetMode="External"/><Relationship Id="rId897" Type="http://schemas.openxmlformats.org/officeDocument/2006/relationships/hyperlink" Target="https://rijnland.maps.arcgis.com/apps/instant/sidebar/index.html?appid=5469a9663c5e4643b10efe6da9a15ae2" TargetMode="External"/><Relationship Id="rId412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896" Type="http://schemas.openxmlformats.org/officeDocument/2006/relationships/hyperlink" Target="https://rijnland.maps.arcgis.com/apps/instant/sidebar/index.html?appid=f0fd839278474fe7841a12800fcc3e39" TargetMode="External"/><Relationship Id="rId419" Type="http://schemas.openxmlformats.org/officeDocument/2006/relationships/hyperlink" Target="https://www.google.com/maps/place/VenneperBulls/@52.2770293,4.6107455,122m/data=!3m1!1e3!4m15!1m8!3m7!1s0x47c5e823d32218e9:0x3d92ee25fab9f153!2sVenneperweg+887,+2152+MC+Nieuw-Vennep!3b1!8m2!3d52.2772764!4d4.6111877!16s%2Fg%2F11vkgs7t8s!3m5!1s0x47c5e8222ca6aaab:0xdcf776e5593caf12!8m2!3d52.2771472!4d4.6113403!16s%2Fg%2F11hzn4n0pm?entry=ttu&amp;g_ep=EgoyMDI2MDExMy4wIKXMDSoASAFQAw%3D%3D" TargetMode="External"/><Relationship Id="rId418" Type="http://schemas.openxmlformats.org/officeDocument/2006/relationships/hyperlink" Target="https://www.klicviewer.nl/klic-viewer/uitlevering/b7d49c88-a452-4032-a6c3-2eb789edcb65" TargetMode="External"/><Relationship Id="rId417" Type="http://schemas.openxmlformats.org/officeDocument/2006/relationships/hyperlink" Target="https://maps.waternet.nl/portal/apps/experiencebuilder/experience/?id=36500ca8332b489182bf9ab83427cbc1" TargetMode="External"/><Relationship Id="rId416" Type="http://schemas.openxmlformats.org/officeDocument/2006/relationships/hyperlink" Target="https://app.pdok.nl/viewer/" TargetMode="External"/><Relationship Id="rId891" Type="http://schemas.openxmlformats.org/officeDocument/2006/relationships/hyperlink" Target="https://opendata.hunzeenaas.nl/opendataportaal/srv/dut/catalog.search" TargetMode="External"/><Relationship Id="rId890" Type="http://schemas.openxmlformats.org/officeDocument/2006/relationships/hyperlink" Target="https://app.pdok.nl/viewer/" TargetMode="External"/><Relationship Id="rId1240" Type="http://schemas.openxmlformats.org/officeDocument/2006/relationships/hyperlink" Target="https://kaarten.hhnk.nl/portal/apps/experiencebuilder/experience/?id=51ae36990bf448248b105c8fbc9fbeb3" TargetMode="External"/><Relationship Id="rId1241" Type="http://schemas.openxmlformats.org/officeDocument/2006/relationships/hyperlink" Target="https://www.klicviewer.nl/klic-viewer/uitlevering/849cdb4a-5096-4c55-a64f-7287f1f7a5ca" TargetMode="External"/><Relationship Id="rId411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895" Type="http://schemas.openxmlformats.org/officeDocument/2006/relationships/hyperlink" Target="https://rijnland.maps.arcgis.com/apps/instant/sidebar/index.html?appid=2b214417eea74ae9a56119c251ffa960" TargetMode="External"/><Relationship Id="rId1242" Type="http://schemas.openxmlformats.org/officeDocument/2006/relationships/hyperlink" Target="https://www.google.com/maps/place/Eemnesserweg+12C,+1251+NC+Laren/@52.2554842,5.2283035,19.75z/data=!4m6!3m5!1s0x47c6152f6be18573:0x41477bffca49e4be!8m2!3d52.2553972!4d5.2285907!16s%2Fg%2F11c4s_hfy9?entry=ttu&amp;g_ep=EgoyMDI1MTExMi4wIKXMDSoASAFQAw%3D%3D" TargetMode="External"/><Relationship Id="rId410" Type="http://schemas.openxmlformats.org/officeDocument/2006/relationships/hyperlink" Target="https://app.pdok.nl/viewer/" TargetMode="External"/><Relationship Id="rId894" Type="http://schemas.openxmlformats.org/officeDocument/2006/relationships/hyperlink" Target="https://app.pdok.nl/viewer/" TargetMode="External"/><Relationship Id="rId1243" Type="http://schemas.openxmlformats.org/officeDocument/2006/relationships/hyperlink" Target="https://app.pdok.nl/viewer/" TargetMode="External"/><Relationship Id="rId893" Type="http://schemas.openxmlformats.org/officeDocument/2006/relationships/hyperlink" Target="https://www.google.com/maps/place/IJweg+1734B,+2151+MP+Nieuw-Vennep/@52.2673733,4.5987566,205m/data=!3m1!1e3!4m6!3m5!1s0x47c5c283518f817b:0x1d7d717249696a98!8m2!3d52.267157!4d4.5992786!16s%2Fg%2F11crxdm7p8?entry=ttu&amp;g_ep=EgoyMDI1MTEyMy4xIKXMDSoASAFQAw%3D%3D" TargetMode="External"/><Relationship Id="rId1244" Type="http://schemas.openxmlformats.org/officeDocument/2006/relationships/hyperlink" Target="https://maps.waternet.nl/portal/apps/experiencebuilder/experience/?id=36500ca8332b489182bf9ab83427cbc1" TargetMode="External"/><Relationship Id="rId892" Type="http://schemas.openxmlformats.org/officeDocument/2006/relationships/hyperlink" Target="https://www.klicviewer.nl/klic-viewer/uitlevering/71fc008b-015a-4888-a32a-8a07d6a1dc09" TargetMode="External"/><Relationship Id="rId1245" Type="http://schemas.openxmlformats.org/officeDocument/2006/relationships/hyperlink" Target="https://www.klicviewer.nl/klic-viewer/uitlevering/fb86e3bc-3e4e-4022-9bf4-8f2201f2209a" TargetMode="External"/><Relationship Id="rId1279" Type="http://schemas.openxmlformats.org/officeDocument/2006/relationships/hyperlink" Target="https://rijnland.maps.arcgis.com/apps/instant/interactivelegend/index.html?appid=7bc3198037d24d54a9743987ad0731d2" TargetMode="External"/><Relationship Id="rId448" Type="http://schemas.openxmlformats.org/officeDocument/2006/relationships/hyperlink" Target="https://maps.app.goo.gl/H2oawD78U5ULw77L6" TargetMode="External"/><Relationship Id="rId447" Type="http://schemas.openxmlformats.org/officeDocument/2006/relationships/hyperlink" Target="https://www.klicviewer.nl/klic-viewer/uitlevering/85efe8ec-d312-4091-8dcd-ec72af72904f" TargetMode="External"/><Relationship Id="rId446" Type="http://schemas.openxmlformats.org/officeDocument/2006/relationships/hyperlink" Target="https://opendata-hhsk.hub.arcgis.com/" TargetMode="External"/><Relationship Id="rId445" Type="http://schemas.openxmlformats.org/officeDocument/2006/relationships/hyperlink" Target="https://experience.arcgis.com/experience/e4162895d005481ba26c8530c09b7f62" TargetMode="External"/><Relationship Id="rId449" Type="http://schemas.openxmlformats.org/officeDocument/2006/relationships/hyperlink" Target="https://app.pdok.nl/viewer/" TargetMode="External"/><Relationship Id="rId1270" Type="http://schemas.openxmlformats.org/officeDocument/2006/relationships/hyperlink" Target="https://wrij.maps.arcgis.com/apps/instant/sidebar/index.html?appid=51e2324fc55148c795406bb1aa8c6579" TargetMode="External"/><Relationship Id="rId440" Type="http://schemas.openxmlformats.org/officeDocument/2006/relationships/hyperlink" Target="https://opendata-hhsk.hub.arcgis.com/" TargetMode="External"/><Relationship Id="rId1271" Type="http://schemas.openxmlformats.org/officeDocument/2006/relationships/hyperlink" Target="https://www.klicviewer.nl/klic-viewer/uitlevering/922f5b75-0cba-454b-9583-4bd0201eab74" TargetMode="External"/><Relationship Id="rId1272" Type="http://schemas.openxmlformats.org/officeDocument/2006/relationships/hyperlink" Target="https://www.google.com/maps/place/Oosteinde+65,+7711+BW+Nieuwleusen/@52.5769689,6.3142327,242m/data=!3m1!1e3!4m6!3m5!1s0x47c8098003f50d1d:0xf53ad41e7d4493f7!8m2!3d52.5771085!4d6.3149043!16s%2Fg%2F11cshdz9kt?entry=ttu&amp;g_ep=EgoyMDI1MTAyMC4wIKXMDSoASAFQAw%3D%3D" TargetMode="External"/><Relationship Id="rId1273" Type="http://schemas.openxmlformats.org/officeDocument/2006/relationships/hyperlink" Target="https://app.pdok.nl/viewer/" TargetMode="External"/><Relationship Id="rId1274" Type="http://schemas.openxmlformats.org/officeDocument/2006/relationships/hyperlink" Target="https://experience.arcgis.com/experience/9269f566d1f04b38ad9712b9b9bf34fd" TargetMode="External"/><Relationship Id="rId444" Type="http://schemas.openxmlformats.org/officeDocument/2006/relationships/hyperlink" Target="https://experience.arcgis.com/experience/9373fa4978604e8f91eb234b64e1d79e/page/De-dijken/" TargetMode="External"/><Relationship Id="rId1275" Type="http://schemas.openxmlformats.org/officeDocument/2006/relationships/hyperlink" Target="https://docs.google.com/spreadsheets/d/1DhObsvN_hu1pP7FHm-_EtZr6dyHXT285/edit?usp=sharing&amp;ouid=109069809842787901215&amp;rtpof=true&amp;sd=true" TargetMode="External"/><Relationship Id="rId443" Type="http://schemas.openxmlformats.org/officeDocument/2006/relationships/hyperlink" Target="https://app.pdok.nl/viewer/" TargetMode="External"/><Relationship Id="rId1276" Type="http://schemas.openxmlformats.org/officeDocument/2006/relationships/hyperlink" Target="https://www.klicviewer.nl/klic-viewer/uitlevering/afe58ed0-625c-44b1-a19a-1c21a81cdb7f" TargetMode="External"/><Relationship Id="rId442" Type="http://schemas.openxmlformats.org/officeDocument/2006/relationships/hyperlink" Target="https://maps.app.goo.gl/H2oawD78U5ULw77L6" TargetMode="External"/><Relationship Id="rId1277" Type="http://schemas.openxmlformats.org/officeDocument/2006/relationships/hyperlink" Target="https://maps.app.goo.gl/1tiYLrpm3q3VAvGdA" TargetMode="External"/><Relationship Id="rId441" Type="http://schemas.openxmlformats.org/officeDocument/2006/relationships/hyperlink" Target="https://www.klicviewer.nl/klic-viewer/uitlevering/e34ee68c-9ed6-4029-bcb8-febb465fea9a" TargetMode="External"/><Relationship Id="rId1278" Type="http://schemas.openxmlformats.org/officeDocument/2006/relationships/hyperlink" Target="https://dmmb.ipm4pro.nl/port.html?guid=98aa06ef-c370-45ee-8e91-0bb776a96118" TargetMode="External"/><Relationship Id="rId1268" Type="http://schemas.openxmlformats.org/officeDocument/2006/relationships/hyperlink" Target="https://maps.app.goo.gl/bZKKpE3tLE9yX1FM9" TargetMode="External"/><Relationship Id="rId1269" Type="http://schemas.openxmlformats.org/officeDocument/2006/relationships/hyperlink" Target="https://app.pdok.nl/viewer/" TargetMode="External"/><Relationship Id="rId437" Type="http://schemas.openxmlformats.org/officeDocument/2006/relationships/hyperlink" Target="https://app.pdok.nl/viewer/" TargetMode="External"/><Relationship Id="rId436" Type="http://schemas.openxmlformats.org/officeDocument/2006/relationships/hyperlink" Target="https://maps.app.goo.gl/H2oawD78U5ULw77L6" TargetMode="External"/><Relationship Id="rId435" Type="http://schemas.openxmlformats.org/officeDocument/2006/relationships/hyperlink" Target="https://www.klicviewer.nl/klic-viewer/uitlevering/a32a593f-3f8d-41d1-890d-3e260dab3b99" TargetMode="External"/><Relationship Id="rId434" Type="http://schemas.openxmlformats.org/officeDocument/2006/relationships/hyperlink" Target="https://www.wetterskipfryslan.nl/over-ons/voldoende/uitleg-over-peilbeheer-en-peilbesluiten" TargetMode="External"/><Relationship Id="rId439" Type="http://schemas.openxmlformats.org/officeDocument/2006/relationships/hyperlink" Target="https://experience.arcgis.com/experience/e4162895d005481ba26c8530c09b7f62" TargetMode="External"/><Relationship Id="rId438" Type="http://schemas.openxmlformats.org/officeDocument/2006/relationships/hyperlink" Target="https://experience.arcgis.com/experience/9373fa4978604e8f91eb234b64e1d79e/page/De-dijken/" TargetMode="External"/><Relationship Id="rId1260" Type="http://schemas.openxmlformats.org/officeDocument/2006/relationships/hyperlink" Target="https://rijnland.maps.arcgis.com/apps/instant/interactivelegend/index.html?appid=7bc3198037d24d54a9743987ad0731d2" TargetMode="External"/><Relationship Id="rId1261" Type="http://schemas.openxmlformats.org/officeDocument/2006/relationships/hyperlink" Target="https://rijnland.maps.arcgis.com/apps/instant/interactivelegend/index.html?appid=ac183c60750a435db95b1705d25b3121" TargetMode="External"/><Relationship Id="rId1262" Type="http://schemas.openxmlformats.org/officeDocument/2006/relationships/hyperlink" Target="https://rijnland.maps.arcgis.com/apps/instant/sidebar/index.html?appid=5469a9663c5e4643b10efe6da9a15ae2" TargetMode="External"/><Relationship Id="rId1263" Type="http://schemas.openxmlformats.org/officeDocument/2006/relationships/hyperlink" Target="https://www.klicviewer.nl/klic-viewer/uitlevering/bfb08b07-3a0f-42f8-99d0-0fed2368dd81" TargetMode="External"/><Relationship Id="rId433" Type="http://schemas.openxmlformats.org/officeDocument/2006/relationships/hyperlink" Target="https://www.wetterskipfryslan.nl/kaarten/leggerkaart" TargetMode="External"/><Relationship Id="rId1264" Type="http://schemas.openxmlformats.org/officeDocument/2006/relationships/hyperlink" Target="https://maps.app.goo.gl/bZKKpE3tLE9yX1FM9" TargetMode="External"/><Relationship Id="rId432" Type="http://schemas.openxmlformats.org/officeDocument/2006/relationships/hyperlink" Target="https://gis.wetterskipfryslan.nl/portal/apps/webappviewer/index.html?id=e942646b322249bda805f71286708296&amp;extent=113105.9124%2C531949.8273%2C241020.5683%2C615566.7945%2C28992" TargetMode="External"/><Relationship Id="rId1265" Type="http://schemas.openxmlformats.org/officeDocument/2006/relationships/hyperlink" Target="https://app.pdok.nl/viewer/" TargetMode="External"/><Relationship Id="rId431" Type="http://schemas.openxmlformats.org/officeDocument/2006/relationships/hyperlink" Target="https://app.pdok.nl/viewer/" TargetMode="External"/><Relationship Id="rId1266" Type="http://schemas.openxmlformats.org/officeDocument/2006/relationships/hyperlink" Target="https://noorderzijlvest.maps.arcgis.com/apps/mapviewer/index.html?webmap=1576324c8de14bf180c17743e24584cc" TargetMode="External"/><Relationship Id="rId430" Type="http://schemas.openxmlformats.org/officeDocument/2006/relationships/hyperlink" Target="https://www.google.com/maps/place/Nummer+58,+8553+MT+Indijk/@52.95048,5.6202089,240m/data=!3m1!1e3!4m14!1m7!3m6!1s0x47c8ed45556dcee3:0xa52e52fd587cda7f!2sVakantiehuis+Nespola!8m2!3d52.9501132!4d5.6216628!16s%2Fg%2F11spxhqywn!3m5!1s0x47c8ed7c1f89374d:0xc9cf2c110ff56500!8m2!3d52.9506599!4d5.6218677!16s%2Fg%2F11c4n3vhlh?entry=ttu&amp;g_ep=EgoyMDI2MDExMy4wIKXMDSoASAFQAw%3D%3D" TargetMode="External"/><Relationship Id="rId1267" Type="http://schemas.openxmlformats.org/officeDocument/2006/relationships/hyperlink" Target="https://www.klicviewer.nl/klic-viewer/uitlevering/da0a4b0d-a3ab-4650-9ec3-9318602eb5e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tagemarkt.nl/bedrijven/profiel/fa-w-pronk/profiel-2ad1a8fc-47f3-4a6a-aafa-f684becb07af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jksoverheid.nl/onderwerpen/schoolvakanties/regios-schoolvakanti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F9sgDRIKSZrc4iTx3c0PPOO3pp_7dFG/view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88"/>
    <col customWidth="1" min="2" max="2" width="55.25"/>
    <col customWidth="1" min="3" max="3" width="10.63"/>
    <col customWidth="1" min="4" max="4" width="17.38"/>
    <col customWidth="1" min="5" max="5" width="12.0"/>
    <col customWidth="1" min="6" max="6" width="11.0"/>
    <col customWidth="1" min="7" max="7" width="7.88"/>
    <col customWidth="1" min="8" max="8" width="6.75"/>
    <col customWidth="1" min="9" max="9" width="7.75"/>
    <col customWidth="1" min="10" max="10" width="6.5"/>
    <col customWidth="1" min="11" max="11" width="10.25"/>
    <col customWidth="1" min="12" max="12" width="64.63"/>
    <col customWidth="1" min="13" max="13" width="12.13"/>
    <col customWidth="1" min="14" max="14" width="14.5"/>
    <col customWidth="1" min="15" max="15" width="10.25"/>
    <col customWidth="1" min="16" max="16" width="13.25"/>
    <col customWidth="1" min="17" max="17" width="17.0"/>
    <col customWidth="1" min="18" max="18" width="6.88"/>
    <col customWidth="1" min="19" max="23" width="6.63"/>
    <col customWidth="1" min="24" max="29" width="8.63"/>
    <col customWidth="1" min="30" max="30" width="7.38"/>
  </cols>
  <sheetData>
    <row r="1" ht="54.75" customHeight="1">
      <c r="A1" s="1" t="s">
        <v>0</v>
      </c>
      <c r="B1" s="2"/>
      <c r="C1" s="3" t="s">
        <v>0</v>
      </c>
      <c r="D1" s="1"/>
      <c r="E1" s="4"/>
      <c r="F1" s="4"/>
      <c r="G1" s="5"/>
      <c r="H1" s="5"/>
      <c r="I1" s="5"/>
      <c r="J1" s="5"/>
      <c r="K1" s="5"/>
      <c r="L1" s="2"/>
      <c r="M1" s="2"/>
      <c r="N1" s="2"/>
      <c r="O1" s="6">
        <f>SUBTOTAL(9,H6:H924)</f>
        <v>538</v>
      </c>
      <c r="P1" s="7"/>
      <c r="Q1" s="7"/>
      <c r="R1" s="7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10"/>
      <c r="AE1" s="10"/>
      <c r="AF1" s="11" t="s">
        <v>0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ht="24.75" customHeight="1">
      <c r="A2" s="12" t="s">
        <v>1</v>
      </c>
      <c r="B2" s="13" t="s">
        <v>2</v>
      </c>
      <c r="C2" s="13" t="s">
        <v>3</v>
      </c>
      <c r="D2" s="13" t="s">
        <v>4</v>
      </c>
      <c r="E2" s="14" t="s">
        <v>5</v>
      </c>
      <c r="F2" s="15" t="s">
        <v>6</v>
      </c>
      <c r="G2" s="16" t="s">
        <v>7</v>
      </c>
      <c r="H2" s="16" t="s">
        <v>8</v>
      </c>
      <c r="I2" s="16" t="s">
        <v>9</v>
      </c>
      <c r="J2" s="16" t="s">
        <v>8</v>
      </c>
      <c r="K2" s="17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9" t="s">
        <v>15</v>
      </c>
      <c r="Q2" s="19" t="s">
        <v>16</v>
      </c>
      <c r="R2" s="19" t="s">
        <v>17</v>
      </c>
      <c r="S2" s="20" t="s">
        <v>18</v>
      </c>
      <c r="T2" s="20" t="s">
        <v>19</v>
      </c>
      <c r="U2" s="20" t="s">
        <v>20</v>
      </c>
      <c r="V2" s="20" t="s">
        <v>21</v>
      </c>
      <c r="W2" s="20" t="s">
        <v>22</v>
      </c>
      <c r="X2" s="21" t="s">
        <v>23</v>
      </c>
      <c r="Y2" s="21" t="s">
        <v>24</v>
      </c>
      <c r="Z2" s="21" t="s">
        <v>25</v>
      </c>
      <c r="AA2" s="21" t="s">
        <v>26</v>
      </c>
      <c r="AB2" s="21" t="s">
        <v>27</v>
      </c>
      <c r="AC2" s="21" t="s">
        <v>28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</row>
    <row r="3" ht="15.75" customHeight="1">
      <c r="A3" s="23">
        <v>46094.0</v>
      </c>
      <c r="B3" s="24" t="s">
        <v>29</v>
      </c>
      <c r="C3" s="25" t="s">
        <v>30</v>
      </c>
      <c r="D3" s="26" t="s">
        <v>31</v>
      </c>
      <c r="E3" s="27">
        <f t="shared" ref="E3:E48" si="1">A3+21</f>
        <v>46115</v>
      </c>
      <c r="F3" s="28"/>
      <c r="G3" s="26" t="s">
        <v>32</v>
      </c>
      <c r="H3" s="26">
        <v>1.0</v>
      </c>
      <c r="I3" s="29"/>
      <c r="J3" s="30"/>
      <c r="K3" s="31" t="s">
        <v>33</v>
      </c>
      <c r="L3" s="32"/>
      <c r="M3" s="33"/>
      <c r="N3" s="34" t="s">
        <v>34</v>
      </c>
      <c r="O3" s="35" t="s">
        <v>35</v>
      </c>
      <c r="P3" s="36" t="s">
        <v>36</v>
      </c>
      <c r="Q3" s="37"/>
      <c r="R3" s="37"/>
      <c r="S3" s="32"/>
      <c r="T3" s="32"/>
      <c r="U3" s="32"/>
      <c r="V3" s="32"/>
      <c r="W3" s="32"/>
      <c r="X3" s="32"/>
      <c r="Y3" s="32"/>
      <c r="Z3" s="32"/>
      <c r="AA3" s="32"/>
      <c r="AB3" s="32"/>
      <c r="AC3" s="38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ht="15.75" customHeight="1">
      <c r="A4" s="23">
        <v>46093.0</v>
      </c>
      <c r="B4" s="24" t="s">
        <v>37</v>
      </c>
      <c r="C4" s="25" t="s">
        <v>38</v>
      </c>
      <c r="D4" s="26" t="s">
        <v>31</v>
      </c>
      <c r="E4" s="27">
        <f t="shared" si="1"/>
        <v>46114</v>
      </c>
      <c r="F4" s="28"/>
      <c r="G4" s="26" t="s">
        <v>39</v>
      </c>
      <c r="H4" s="26">
        <v>1.0</v>
      </c>
      <c r="I4" s="29"/>
      <c r="J4" s="30"/>
      <c r="K4" s="31" t="s">
        <v>33</v>
      </c>
      <c r="L4" s="32"/>
      <c r="M4" s="33"/>
      <c r="N4" s="34" t="s">
        <v>40</v>
      </c>
      <c r="O4" s="35" t="s">
        <v>41</v>
      </c>
      <c r="P4" s="36" t="s">
        <v>42</v>
      </c>
      <c r="Q4" s="37"/>
      <c r="R4" s="37"/>
      <c r="S4" s="32"/>
      <c r="T4" s="32"/>
      <c r="U4" s="32"/>
      <c r="V4" s="32"/>
      <c r="W4" s="32"/>
      <c r="X4" s="32"/>
      <c r="Y4" s="32"/>
      <c r="Z4" s="32"/>
      <c r="AA4" s="32"/>
      <c r="AB4" s="32"/>
      <c r="AC4" s="38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ht="15.75" customHeight="1">
      <c r="A5" s="23">
        <v>46092.0</v>
      </c>
      <c r="B5" s="24" t="s">
        <v>43</v>
      </c>
      <c r="C5" s="25" t="s">
        <v>44</v>
      </c>
      <c r="D5" s="26" t="s">
        <v>31</v>
      </c>
      <c r="E5" s="27">
        <f t="shared" si="1"/>
        <v>46113</v>
      </c>
      <c r="F5" s="28"/>
      <c r="G5" s="26" t="s">
        <v>32</v>
      </c>
      <c r="H5" s="26">
        <v>1.0</v>
      </c>
      <c r="I5" s="29"/>
      <c r="J5" s="30"/>
      <c r="K5" s="31" t="s">
        <v>33</v>
      </c>
      <c r="L5" s="32"/>
      <c r="M5" s="33"/>
      <c r="N5" s="35" t="s">
        <v>45</v>
      </c>
      <c r="O5" s="35" t="s">
        <v>46</v>
      </c>
      <c r="P5" s="36" t="s">
        <v>47</v>
      </c>
      <c r="Q5" s="37"/>
      <c r="R5" s="37"/>
      <c r="S5" s="32"/>
      <c r="T5" s="32"/>
      <c r="U5" s="32"/>
      <c r="V5" s="32"/>
      <c r="W5" s="32"/>
      <c r="X5" s="32"/>
      <c r="Y5" s="32"/>
      <c r="Z5" s="32"/>
      <c r="AA5" s="32"/>
      <c r="AB5" s="32"/>
      <c r="AC5" s="38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ht="15.75" customHeight="1">
      <c r="A6" s="23">
        <v>46092.0</v>
      </c>
      <c r="B6" s="24" t="s">
        <v>48</v>
      </c>
      <c r="C6" s="25" t="s">
        <v>38</v>
      </c>
      <c r="D6" s="26" t="s">
        <v>31</v>
      </c>
      <c r="E6" s="27">
        <f t="shared" si="1"/>
        <v>46113</v>
      </c>
      <c r="F6" s="28"/>
      <c r="G6" s="26" t="s">
        <v>39</v>
      </c>
      <c r="H6" s="26">
        <v>1.0</v>
      </c>
      <c r="I6" s="29"/>
      <c r="J6" s="30"/>
      <c r="K6" s="31" t="s">
        <v>49</v>
      </c>
      <c r="L6" s="32"/>
      <c r="M6" s="33"/>
      <c r="N6" s="35" t="s">
        <v>50</v>
      </c>
      <c r="O6" s="35" t="s">
        <v>51</v>
      </c>
      <c r="P6" s="36" t="s">
        <v>52</v>
      </c>
      <c r="Q6" s="37"/>
      <c r="R6" s="37"/>
      <c r="S6" s="32"/>
      <c r="T6" s="32"/>
      <c r="U6" s="32"/>
      <c r="V6" s="32"/>
      <c r="W6" s="32"/>
      <c r="X6" s="32"/>
      <c r="Y6" s="32"/>
      <c r="Z6" s="32"/>
      <c r="AA6" s="32"/>
      <c r="AB6" s="32"/>
      <c r="AC6" s="38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ht="15.75" customHeight="1">
      <c r="A7" s="23">
        <v>46091.0</v>
      </c>
      <c r="B7" s="24" t="s">
        <v>53</v>
      </c>
      <c r="C7" s="25" t="s">
        <v>54</v>
      </c>
      <c r="D7" s="26" t="s">
        <v>31</v>
      </c>
      <c r="E7" s="27">
        <f t="shared" si="1"/>
        <v>46112</v>
      </c>
      <c r="F7" s="28"/>
      <c r="G7" s="26" t="s">
        <v>55</v>
      </c>
      <c r="H7" s="26">
        <v>1.0</v>
      </c>
      <c r="I7" s="29"/>
      <c r="J7" s="30"/>
      <c r="K7" s="31" t="s">
        <v>33</v>
      </c>
      <c r="L7" s="32"/>
      <c r="M7" s="33"/>
      <c r="N7" s="34" t="s">
        <v>56</v>
      </c>
      <c r="O7" s="35" t="s">
        <v>57</v>
      </c>
      <c r="P7" s="36" t="s">
        <v>36</v>
      </c>
      <c r="Q7" s="37"/>
      <c r="R7" s="37"/>
      <c r="S7" s="32"/>
      <c r="T7" s="32"/>
      <c r="U7" s="32"/>
      <c r="V7" s="32"/>
      <c r="W7" s="32"/>
      <c r="X7" s="32"/>
      <c r="Y7" s="32"/>
      <c r="Z7" s="32"/>
      <c r="AA7" s="32"/>
      <c r="AB7" s="32"/>
      <c r="AC7" s="38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ht="15.0" customHeight="1">
      <c r="A8" s="23">
        <v>46090.0</v>
      </c>
      <c r="B8" s="24" t="s">
        <v>58</v>
      </c>
      <c r="C8" s="25" t="s">
        <v>59</v>
      </c>
      <c r="D8" s="26" t="s">
        <v>31</v>
      </c>
      <c r="E8" s="27">
        <f t="shared" si="1"/>
        <v>46111</v>
      </c>
      <c r="F8" s="28"/>
      <c r="G8" s="26" t="s">
        <v>55</v>
      </c>
      <c r="H8" s="26">
        <v>1.0</v>
      </c>
      <c r="I8" s="29"/>
      <c r="J8" s="30"/>
      <c r="K8" s="31" t="s">
        <v>33</v>
      </c>
      <c r="L8" s="32"/>
      <c r="M8" s="33"/>
      <c r="N8" s="34" t="s">
        <v>60</v>
      </c>
      <c r="O8" s="35" t="s">
        <v>61</v>
      </c>
      <c r="P8" s="36" t="s">
        <v>62</v>
      </c>
      <c r="Q8" s="36" t="s">
        <v>63</v>
      </c>
      <c r="R8" s="36" t="s">
        <v>64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8"/>
      <c r="AD8" s="11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ht="15.75" customHeight="1">
      <c r="A9" s="23">
        <v>46087.0</v>
      </c>
      <c r="B9" s="24" t="s">
        <v>65</v>
      </c>
      <c r="C9" s="25" t="s">
        <v>54</v>
      </c>
      <c r="D9" s="26" t="s">
        <v>31</v>
      </c>
      <c r="E9" s="27">
        <f t="shared" si="1"/>
        <v>46108</v>
      </c>
      <c r="F9" s="28"/>
      <c r="G9" s="26" t="s">
        <v>55</v>
      </c>
      <c r="H9" s="26">
        <v>1.0</v>
      </c>
      <c r="I9" s="29"/>
      <c r="J9" s="30"/>
      <c r="K9" s="31" t="s">
        <v>33</v>
      </c>
      <c r="L9" s="32"/>
      <c r="M9" s="39"/>
      <c r="N9" s="34" t="s">
        <v>66</v>
      </c>
      <c r="O9" s="35" t="s">
        <v>67</v>
      </c>
      <c r="P9" s="36" t="s">
        <v>68</v>
      </c>
      <c r="Q9" s="36" t="s">
        <v>69</v>
      </c>
      <c r="R9" s="36" t="s">
        <v>70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8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ht="15.75" customHeight="1">
      <c r="A10" s="23">
        <v>46086.0</v>
      </c>
      <c r="B10" s="24" t="s">
        <v>71</v>
      </c>
      <c r="C10" s="25" t="s">
        <v>72</v>
      </c>
      <c r="D10" s="26" t="s">
        <v>31</v>
      </c>
      <c r="E10" s="27">
        <f t="shared" si="1"/>
        <v>46107</v>
      </c>
      <c r="F10" s="28"/>
      <c r="G10" s="26" t="s">
        <v>55</v>
      </c>
      <c r="H10" s="26">
        <v>1.0</v>
      </c>
      <c r="I10" s="29"/>
      <c r="J10" s="30"/>
      <c r="K10" s="31" t="s">
        <v>33</v>
      </c>
      <c r="L10" s="32"/>
      <c r="M10" s="33"/>
      <c r="N10" s="34" t="s">
        <v>73</v>
      </c>
      <c r="O10" s="35" t="s">
        <v>74</v>
      </c>
      <c r="P10" s="36" t="s">
        <v>47</v>
      </c>
      <c r="Q10" s="37"/>
      <c r="R10" s="37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8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ht="15.75" customHeight="1">
      <c r="A11" s="23">
        <v>46086.0</v>
      </c>
      <c r="B11" s="24" t="s">
        <v>75</v>
      </c>
      <c r="C11" s="25" t="s">
        <v>44</v>
      </c>
      <c r="D11" s="26" t="s">
        <v>31</v>
      </c>
      <c r="E11" s="27">
        <f t="shared" si="1"/>
        <v>46107</v>
      </c>
      <c r="F11" s="28"/>
      <c r="G11" s="26" t="s">
        <v>32</v>
      </c>
      <c r="H11" s="26">
        <v>1.0</v>
      </c>
      <c r="I11" s="29"/>
      <c r="J11" s="30"/>
      <c r="K11" s="31" t="s">
        <v>33</v>
      </c>
      <c r="L11" s="32"/>
      <c r="M11" s="33"/>
      <c r="N11" s="34" t="s">
        <v>76</v>
      </c>
      <c r="O11" s="35" t="s">
        <v>77</v>
      </c>
      <c r="P11" s="36" t="s">
        <v>78</v>
      </c>
      <c r="Q11" s="36" t="s">
        <v>79</v>
      </c>
      <c r="R11" s="37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8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ht="15.75" customHeight="1">
      <c r="A12" s="23">
        <v>46085.0</v>
      </c>
      <c r="B12" s="24" t="s">
        <v>80</v>
      </c>
      <c r="C12" s="25" t="s">
        <v>44</v>
      </c>
      <c r="D12" s="26" t="s">
        <v>31</v>
      </c>
      <c r="E12" s="27">
        <f t="shared" si="1"/>
        <v>46106</v>
      </c>
      <c r="F12" s="28"/>
      <c r="G12" s="26" t="s">
        <v>32</v>
      </c>
      <c r="H12" s="26">
        <v>1.0</v>
      </c>
      <c r="I12" s="29"/>
      <c r="J12" s="30"/>
      <c r="K12" s="31" t="s">
        <v>33</v>
      </c>
      <c r="L12" s="32"/>
      <c r="M12" s="33"/>
      <c r="N12" s="34" t="s">
        <v>81</v>
      </c>
      <c r="O12" s="35" t="s">
        <v>82</v>
      </c>
      <c r="P12" s="36" t="s">
        <v>47</v>
      </c>
      <c r="Q12" s="37"/>
      <c r="R12" s="37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8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ht="15.75" customHeight="1">
      <c r="A13" s="23">
        <v>46084.0</v>
      </c>
      <c r="B13" s="24" t="s">
        <v>83</v>
      </c>
      <c r="C13" s="25" t="s">
        <v>84</v>
      </c>
      <c r="D13" s="26" t="s">
        <v>85</v>
      </c>
      <c r="E13" s="27">
        <f t="shared" si="1"/>
        <v>46105</v>
      </c>
      <c r="F13" s="28"/>
      <c r="G13" s="26" t="s">
        <v>39</v>
      </c>
      <c r="H13" s="26">
        <v>1.0</v>
      </c>
      <c r="I13" s="29"/>
      <c r="J13" s="30"/>
      <c r="K13" s="31" t="s">
        <v>33</v>
      </c>
      <c r="L13" s="32"/>
      <c r="M13" s="40" t="s">
        <v>86</v>
      </c>
      <c r="N13" s="34" t="s">
        <v>87</v>
      </c>
      <c r="O13" s="35" t="s">
        <v>88</v>
      </c>
      <c r="P13" s="36" t="s">
        <v>42</v>
      </c>
      <c r="Q13" s="37"/>
      <c r="R13" s="37"/>
      <c r="S13" s="24" t="s">
        <v>89</v>
      </c>
      <c r="T13" s="32"/>
      <c r="U13" s="32"/>
      <c r="V13" s="32"/>
      <c r="W13" s="32"/>
      <c r="X13" s="24" t="s">
        <v>89</v>
      </c>
      <c r="Y13" s="32"/>
      <c r="Z13" s="32"/>
      <c r="AA13" s="32"/>
      <c r="AB13" s="32"/>
      <c r="AC13" s="38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ht="15.75" customHeight="1">
      <c r="A14" s="23">
        <v>46084.0</v>
      </c>
      <c r="B14" s="24" t="s">
        <v>90</v>
      </c>
      <c r="C14" s="25" t="s">
        <v>44</v>
      </c>
      <c r="D14" s="26" t="s">
        <v>91</v>
      </c>
      <c r="E14" s="27">
        <f t="shared" si="1"/>
        <v>46105</v>
      </c>
      <c r="F14" s="28"/>
      <c r="G14" s="26" t="s">
        <v>32</v>
      </c>
      <c r="H14" s="26">
        <v>1.0</v>
      </c>
      <c r="I14" s="29"/>
      <c r="J14" s="30"/>
      <c r="K14" s="31" t="s">
        <v>33</v>
      </c>
      <c r="L14" s="41" t="s">
        <v>92</v>
      </c>
      <c r="M14" s="40" t="s">
        <v>93</v>
      </c>
      <c r="N14" s="34" t="s">
        <v>94</v>
      </c>
      <c r="O14" s="35" t="s">
        <v>95</v>
      </c>
      <c r="P14" s="36" t="s">
        <v>96</v>
      </c>
      <c r="Q14" s="37"/>
      <c r="R14" s="37"/>
      <c r="S14" s="32"/>
      <c r="T14" s="32"/>
      <c r="U14" s="32"/>
      <c r="V14" s="32"/>
      <c r="W14" s="32"/>
      <c r="X14" s="24" t="s">
        <v>97</v>
      </c>
      <c r="Y14" s="32"/>
      <c r="Z14" s="32"/>
      <c r="AA14" s="32"/>
      <c r="AB14" s="32"/>
      <c r="AC14" s="38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ht="15.75" customHeight="1">
      <c r="A15" s="23">
        <v>46080.0</v>
      </c>
      <c r="B15" s="24" t="s">
        <v>98</v>
      </c>
      <c r="C15" s="25" t="s">
        <v>38</v>
      </c>
      <c r="D15" s="26" t="s">
        <v>85</v>
      </c>
      <c r="E15" s="27">
        <f t="shared" si="1"/>
        <v>46101</v>
      </c>
      <c r="F15" s="28"/>
      <c r="G15" s="26" t="s">
        <v>32</v>
      </c>
      <c r="H15" s="26">
        <v>1.0</v>
      </c>
      <c r="I15" s="29"/>
      <c r="J15" s="30"/>
      <c r="K15" s="31" t="s">
        <v>33</v>
      </c>
      <c r="L15" s="32"/>
      <c r="M15" s="40" t="s">
        <v>99</v>
      </c>
      <c r="N15" s="34" t="s">
        <v>100</v>
      </c>
      <c r="O15" s="35" t="s">
        <v>101</v>
      </c>
      <c r="P15" s="36" t="s">
        <v>68</v>
      </c>
      <c r="Q15" s="37"/>
      <c r="R15" s="37"/>
      <c r="S15" s="32"/>
      <c r="T15" s="32"/>
      <c r="U15" s="32"/>
      <c r="V15" s="32"/>
      <c r="W15" s="32"/>
      <c r="X15" s="24" t="s">
        <v>102</v>
      </c>
      <c r="Y15" s="32"/>
      <c r="Z15" s="32"/>
      <c r="AA15" s="32"/>
      <c r="AB15" s="32"/>
      <c r="AC15" s="38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</row>
    <row r="16" ht="16.5" customHeight="1">
      <c r="A16" s="23">
        <v>46080.0</v>
      </c>
      <c r="B16" s="24" t="s">
        <v>103</v>
      </c>
      <c r="C16" s="25" t="s">
        <v>54</v>
      </c>
      <c r="D16" s="26" t="s">
        <v>85</v>
      </c>
      <c r="E16" s="27">
        <f t="shared" si="1"/>
        <v>46101</v>
      </c>
      <c r="F16" s="28"/>
      <c r="G16" s="26" t="s">
        <v>39</v>
      </c>
      <c r="H16" s="26">
        <v>1.0</v>
      </c>
      <c r="I16" s="29"/>
      <c r="J16" s="30"/>
      <c r="K16" s="31" t="s">
        <v>49</v>
      </c>
      <c r="L16" s="32"/>
      <c r="M16" s="40" t="s">
        <v>104</v>
      </c>
      <c r="N16" s="34" t="s">
        <v>105</v>
      </c>
      <c r="O16" s="35" t="s">
        <v>106</v>
      </c>
      <c r="P16" s="36" t="s">
        <v>107</v>
      </c>
      <c r="Q16" s="37"/>
      <c r="R16" s="37"/>
      <c r="S16" s="32"/>
      <c r="T16" s="32"/>
      <c r="U16" s="32"/>
      <c r="V16" s="32"/>
      <c r="W16" s="32"/>
      <c r="X16" s="43" t="s">
        <v>108</v>
      </c>
      <c r="Y16" s="32"/>
      <c r="Z16" s="32"/>
      <c r="AA16" s="32"/>
      <c r="AB16" s="32"/>
      <c r="AC16" s="38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ht="15.75" customHeight="1">
      <c r="A17" s="23">
        <v>46080.0</v>
      </c>
      <c r="B17" s="44" t="s">
        <v>109</v>
      </c>
      <c r="C17" s="25" t="s">
        <v>44</v>
      </c>
      <c r="D17" s="26" t="s">
        <v>110</v>
      </c>
      <c r="E17" s="27">
        <f t="shared" si="1"/>
        <v>46101</v>
      </c>
      <c r="F17" s="28"/>
      <c r="G17" s="26" t="s">
        <v>32</v>
      </c>
      <c r="H17" s="26">
        <v>2.0</v>
      </c>
      <c r="I17" s="29"/>
      <c r="J17" s="30"/>
      <c r="K17" s="31" t="s">
        <v>33</v>
      </c>
      <c r="L17" s="45" t="s">
        <v>111</v>
      </c>
      <c r="M17" s="40" t="s">
        <v>112</v>
      </c>
      <c r="N17" s="35" t="s">
        <v>113</v>
      </c>
      <c r="O17" s="35" t="s">
        <v>114</v>
      </c>
      <c r="P17" s="36" t="s">
        <v>36</v>
      </c>
      <c r="Q17" s="36" t="s">
        <v>115</v>
      </c>
      <c r="R17" s="36" t="s">
        <v>116</v>
      </c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8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ht="15.75" customHeight="1">
      <c r="A18" s="23">
        <v>46079.0</v>
      </c>
      <c r="B18" s="24" t="s">
        <v>117</v>
      </c>
      <c r="C18" s="25" t="s">
        <v>54</v>
      </c>
      <c r="D18" s="26" t="s">
        <v>85</v>
      </c>
      <c r="E18" s="27">
        <f t="shared" si="1"/>
        <v>46100</v>
      </c>
      <c r="F18" s="28"/>
      <c r="G18" s="26" t="s">
        <v>55</v>
      </c>
      <c r="H18" s="26">
        <v>1.0</v>
      </c>
      <c r="I18" s="29"/>
      <c r="J18" s="30"/>
      <c r="K18" s="31" t="s">
        <v>33</v>
      </c>
      <c r="L18" s="32"/>
      <c r="M18" s="40" t="s">
        <v>118</v>
      </c>
      <c r="N18" s="34" t="s">
        <v>119</v>
      </c>
      <c r="O18" s="35" t="s">
        <v>120</v>
      </c>
      <c r="P18" s="36" t="s">
        <v>78</v>
      </c>
      <c r="Q18" s="37"/>
      <c r="R18" s="37"/>
      <c r="S18" s="32"/>
      <c r="T18" s="32"/>
      <c r="U18" s="32"/>
      <c r="V18" s="32"/>
      <c r="W18" s="32"/>
      <c r="X18" s="24" t="s">
        <v>121</v>
      </c>
      <c r="Y18" s="32"/>
      <c r="Z18" s="32"/>
      <c r="AA18" s="32"/>
      <c r="AB18" s="32"/>
      <c r="AC18" s="38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ht="15.75" customHeight="1">
      <c r="A19" s="23">
        <v>46079.0</v>
      </c>
      <c r="B19" s="24" t="s">
        <v>122</v>
      </c>
      <c r="C19" s="25" t="s">
        <v>30</v>
      </c>
      <c r="D19" s="26" t="s">
        <v>85</v>
      </c>
      <c r="E19" s="27">
        <f t="shared" si="1"/>
        <v>46100</v>
      </c>
      <c r="F19" s="28"/>
      <c r="G19" s="26" t="s">
        <v>55</v>
      </c>
      <c r="H19" s="26">
        <v>1.0</v>
      </c>
      <c r="I19" s="29"/>
      <c r="J19" s="30"/>
      <c r="K19" s="31" t="s">
        <v>33</v>
      </c>
      <c r="L19" s="32"/>
      <c r="M19" s="40" t="s">
        <v>123</v>
      </c>
      <c r="N19" s="34" t="s">
        <v>124</v>
      </c>
      <c r="O19" s="35" t="s">
        <v>125</v>
      </c>
      <c r="P19" s="36" t="s">
        <v>126</v>
      </c>
      <c r="Q19" s="36" t="s">
        <v>127</v>
      </c>
      <c r="R19" s="37"/>
      <c r="S19" s="32"/>
      <c r="T19" s="32"/>
      <c r="U19" s="32"/>
      <c r="V19" s="32"/>
      <c r="W19" s="32"/>
      <c r="X19" s="24" t="s">
        <v>128</v>
      </c>
      <c r="Y19" s="32"/>
      <c r="Z19" s="32"/>
      <c r="AA19" s="32"/>
      <c r="AB19" s="32"/>
      <c r="AC19" s="38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ht="15.75" customHeight="1">
      <c r="A20" s="23">
        <v>46078.0</v>
      </c>
      <c r="B20" s="24" t="s">
        <v>129</v>
      </c>
      <c r="C20" s="25" t="s">
        <v>38</v>
      </c>
      <c r="D20" s="26" t="s">
        <v>85</v>
      </c>
      <c r="E20" s="27">
        <f t="shared" si="1"/>
        <v>46099</v>
      </c>
      <c r="F20" s="28"/>
      <c r="G20" s="26" t="s">
        <v>39</v>
      </c>
      <c r="H20" s="26">
        <v>1.0</v>
      </c>
      <c r="I20" s="29"/>
      <c r="J20" s="30"/>
      <c r="K20" s="31" t="s">
        <v>33</v>
      </c>
      <c r="L20" s="32"/>
      <c r="M20" s="26" t="s">
        <v>130</v>
      </c>
      <c r="N20" s="34" t="s">
        <v>131</v>
      </c>
      <c r="O20" s="35" t="s">
        <v>132</v>
      </c>
      <c r="P20" s="36" t="s">
        <v>133</v>
      </c>
      <c r="Q20" s="37"/>
      <c r="R20" s="37"/>
      <c r="S20" s="32"/>
      <c r="T20" s="32"/>
      <c r="U20" s="32"/>
      <c r="V20" s="32"/>
      <c r="W20" s="32"/>
      <c r="X20" s="24" t="s">
        <v>134</v>
      </c>
      <c r="Y20" s="32"/>
      <c r="Z20" s="32"/>
      <c r="AA20" s="32"/>
      <c r="AB20" s="32"/>
      <c r="AC20" s="38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ht="15.75" customHeight="1">
      <c r="A21" s="23">
        <v>46078.0</v>
      </c>
      <c r="B21" s="24" t="s">
        <v>135</v>
      </c>
      <c r="C21" s="25" t="s">
        <v>38</v>
      </c>
      <c r="D21" s="26" t="s">
        <v>85</v>
      </c>
      <c r="E21" s="27">
        <f t="shared" si="1"/>
        <v>46099</v>
      </c>
      <c r="F21" s="28"/>
      <c r="G21" s="26" t="s">
        <v>39</v>
      </c>
      <c r="H21" s="26">
        <v>1.0</v>
      </c>
      <c r="I21" s="29"/>
      <c r="J21" s="30"/>
      <c r="K21" s="31" t="s">
        <v>33</v>
      </c>
      <c r="L21" s="32"/>
      <c r="M21" s="40" t="s">
        <v>136</v>
      </c>
      <c r="N21" s="35" t="s">
        <v>137</v>
      </c>
      <c r="O21" s="35" t="s">
        <v>138</v>
      </c>
      <c r="P21" s="36" t="s">
        <v>133</v>
      </c>
      <c r="Q21" s="37"/>
      <c r="R21" s="37"/>
      <c r="S21" s="32"/>
      <c r="T21" s="32"/>
      <c r="U21" s="32"/>
      <c r="V21" s="32"/>
      <c r="W21" s="32"/>
      <c r="X21" s="24" t="s">
        <v>139</v>
      </c>
      <c r="Y21" s="32"/>
      <c r="Z21" s="32"/>
      <c r="AA21" s="32"/>
      <c r="AB21" s="32"/>
      <c r="AC21" s="38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ht="15.75" customHeight="1">
      <c r="A22" s="23">
        <v>46078.0</v>
      </c>
      <c r="B22" s="24" t="s">
        <v>140</v>
      </c>
      <c r="C22" s="25" t="s">
        <v>30</v>
      </c>
      <c r="D22" s="26" t="s">
        <v>85</v>
      </c>
      <c r="E22" s="27">
        <f t="shared" si="1"/>
        <v>46099</v>
      </c>
      <c r="F22" s="28"/>
      <c r="G22" s="26" t="s">
        <v>55</v>
      </c>
      <c r="H22" s="26">
        <v>1.0</v>
      </c>
      <c r="I22" s="29"/>
      <c r="J22" s="30"/>
      <c r="K22" s="31" t="s">
        <v>33</v>
      </c>
      <c r="L22" s="32"/>
      <c r="M22" s="40" t="s">
        <v>141</v>
      </c>
      <c r="N22" s="35" t="s">
        <v>142</v>
      </c>
      <c r="O22" s="35" t="s">
        <v>143</v>
      </c>
      <c r="P22" s="36" t="s">
        <v>126</v>
      </c>
      <c r="Q22" s="36" t="s">
        <v>127</v>
      </c>
      <c r="R22" s="37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8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ht="15.75" customHeight="1">
      <c r="A23" s="23">
        <v>46077.0</v>
      </c>
      <c r="B23" s="46" t="s">
        <v>144</v>
      </c>
      <c r="C23" s="25" t="s">
        <v>44</v>
      </c>
      <c r="D23" s="26" t="s">
        <v>85</v>
      </c>
      <c r="E23" s="27">
        <f t="shared" si="1"/>
        <v>46098</v>
      </c>
      <c r="F23" s="28"/>
      <c r="G23" s="26" t="s">
        <v>32</v>
      </c>
      <c r="H23" s="26">
        <v>1.0</v>
      </c>
      <c r="I23" s="25"/>
      <c r="J23" s="26"/>
      <c r="K23" s="31"/>
      <c r="L23" s="47" t="s">
        <v>145</v>
      </c>
      <c r="M23" s="40" t="s">
        <v>146</v>
      </c>
      <c r="N23" s="35" t="s">
        <v>147</v>
      </c>
      <c r="O23" s="35" t="s">
        <v>148</v>
      </c>
      <c r="P23" s="36" t="s">
        <v>78</v>
      </c>
      <c r="Q23" s="36" t="s">
        <v>79</v>
      </c>
      <c r="R23" s="37"/>
      <c r="S23" s="24" t="s">
        <v>149</v>
      </c>
      <c r="T23" s="24" t="s">
        <v>150</v>
      </c>
      <c r="U23" s="32"/>
      <c r="V23" s="32"/>
      <c r="W23" s="32"/>
      <c r="X23" s="43" t="s">
        <v>149</v>
      </c>
      <c r="Y23" s="43" t="s">
        <v>151</v>
      </c>
      <c r="Z23" s="32"/>
      <c r="AA23" s="32"/>
      <c r="AB23" s="32"/>
      <c r="AC23" s="38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ht="15.75" customHeight="1">
      <c r="A24" s="48">
        <v>46077.0</v>
      </c>
      <c r="B24" s="46" t="s">
        <v>152</v>
      </c>
      <c r="C24" s="29" t="s">
        <v>44</v>
      </c>
      <c r="D24" s="26" t="s">
        <v>85</v>
      </c>
      <c r="E24" s="27">
        <f t="shared" si="1"/>
        <v>46098</v>
      </c>
      <c r="F24" s="49"/>
      <c r="G24" s="30"/>
      <c r="H24" s="30"/>
      <c r="I24" s="29" t="s">
        <v>55</v>
      </c>
      <c r="J24" s="30">
        <v>1.0</v>
      </c>
      <c r="K24" s="50"/>
      <c r="L24" s="47" t="s">
        <v>145</v>
      </c>
      <c r="M24" s="51" t="s">
        <v>153</v>
      </c>
      <c r="N24" s="52" t="s">
        <v>147</v>
      </c>
      <c r="O24" s="52" t="s">
        <v>148</v>
      </c>
      <c r="P24" s="52" t="s">
        <v>78</v>
      </c>
      <c r="Q24" s="52" t="s">
        <v>79</v>
      </c>
      <c r="R24" s="53"/>
      <c r="S24" s="54" t="s">
        <v>154</v>
      </c>
      <c r="T24" s="54" t="s">
        <v>149</v>
      </c>
      <c r="U24" s="54" t="s">
        <v>155</v>
      </c>
      <c r="V24" s="53"/>
      <c r="W24" s="53"/>
      <c r="X24" s="53"/>
      <c r="Y24" s="53"/>
      <c r="Z24" s="53"/>
      <c r="AA24" s="53"/>
      <c r="AB24" s="53"/>
      <c r="AC24" s="55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ht="15.75" customHeight="1">
      <c r="A25" s="23">
        <v>46077.0</v>
      </c>
      <c r="B25" s="24" t="s">
        <v>156</v>
      </c>
      <c r="C25" s="25" t="s">
        <v>44</v>
      </c>
      <c r="D25" s="26" t="s">
        <v>85</v>
      </c>
      <c r="E25" s="27">
        <f t="shared" si="1"/>
        <v>46098</v>
      </c>
      <c r="F25" s="28"/>
      <c r="G25" s="26" t="s">
        <v>32</v>
      </c>
      <c r="H25" s="26">
        <v>1.0</v>
      </c>
      <c r="I25" s="29"/>
      <c r="J25" s="30"/>
      <c r="K25" s="31" t="s">
        <v>157</v>
      </c>
      <c r="L25" s="47" t="s">
        <v>145</v>
      </c>
      <c r="M25" s="26" t="s">
        <v>158</v>
      </c>
      <c r="N25" s="34" t="s">
        <v>159</v>
      </c>
      <c r="O25" s="35" t="s">
        <v>160</v>
      </c>
      <c r="P25" s="36" t="s">
        <v>62</v>
      </c>
      <c r="Q25" s="36" t="s">
        <v>63</v>
      </c>
      <c r="R25" s="36" t="s">
        <v>64</v>
      </c>
      <c r="S25" s="32"/>
      <c r="T25" s="32"/>
      <c r="U25" s="32"/>
      <c r="V25" s="32"/>
      <c r="W25" s="32"/>
      <c r="X25" s="24" t="s">
        <v>161</v>
      </c>
      <c r="Y25" s="32"/>
      <c r="Z25" s="32"/>
      <c r="AA25" s="32"/>
      <c r="AB25" s="32"/>
      <c r="AC25" s="38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ht="15.0" customHeight="1">
      <c r="A26" s="23">
        <v>46077.0</v>
      </c>
      <c r="B26" s="24" t="s">
        <v>162</v>
      </c>
      <c r="C26" s="25" t="s">
        <v>54</v>
      </c>
      <c r="D26" s="26" t="s">
        <v>85</v>
      </c>
      <c r="E26" s="27">
        <f t="shared" si="1"/>
        <v>46098</v>
      </c>
      <c r="F26" s="28"/>
      <c r="G26" s="26" t="s">
        <v>39</v>
      </c>
      <c r="H26" s="26">
        <v>1.0</v>
      </c>
      <c r="I26" s="29"/>
      <c r="J26" s="30"/>
      <c r="K26" s="31" t="s">
        <v>33</v>
      </c>
      <c r="L26" s="32"/>
      <c r="M26" s="40" t="s">
        <v>163</v>
      </c>
      <c r="N26" s="34" t="s">
        <v>164</v>
      </c>
      <c r="O26" s="35" t="s">
        <v>165</v>
      </c>
      <c r="P26" s="36" t="s">
        <v>166</v>
      </c>
      <c r="Q26" s="37"/>
      <c r="R26" s="37"/>
      <c r="S26" s="32"/>
      <c r="T26" s="32"/>
      <c r="U26" s="32"/>
      <c r="V26" s="32"/>
      <c r="W26" s="32"/>
      <c r="X26" s="43" t="s">
        <v>167</v>
      </c>
      <c r="Y26" s="32"/>
      <c r="Z26" s="32"/>
      <c r="AA26" s="32"/>
      <c r="AB26" s="32"/>
      <c r="AC26" s="38"/>
      <c r="AD26" s="56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</row>
    <row r="27" ht="15.75" customHeight="1">
      <c r="A27" s="23">
        <v>46077.0</v>
      </c>
      <c r="B27" s="24" t="s">
        <v>168</v>
      </c>
      <c r="C27" s="25" t="s">
        <v>30</v>
      </c>
      <c r="D27" s="26" t="s">
        <v>85</v>
      </c>
      <c r="E27" s="27">
        <f t="shared" si="1"/>
        <v>46098</v>
      </c>
      <c r="F27" s="28"/>
      <c r="G27" s="26" t="s">
        <v>55</v>
      </c>
      <c r="H27" s="26">
        <v>1.0</v>
      </c>
      <c r="I27" s="29"/>
      <c r="J27" s="30"/>
      <c r="K27" s="31" t="s">
        <v>157</v>
      </c>
      <c r="L27" s="32"/>
      <c r="M27" s="40" t="s">
        <v>169</v>
      </c>
      <c r="N27" s="34" t="s">
        <v>170</v>
      </c>
      <c r="O27" s="35" t="s">
        <v>171</v>
      </c>
      <c r="P27" s="36" t="s">
        <v>172</v>
      </c>
      <c r="Q27" s="36" t="s">
        <v>173</v>
      </c>
      <c r="R27" s="37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8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ht="15.75" customHeight="1">
      <c r="A28" s="23">
        <v>46073.0</v>
      </c>
      <c r="B28" s="57" t="s">
        <v>174</v>
      </c>
      <c r="C28" s="25" t="s">
        <v>175</v>
      </c>
      <c r="D28" s="26" t="s">
        <v>85</v>
      </c>
      <c r="E28" s="27">
        <f t="shared" si="1"/>
        <v>46094</v>
      </c>
      <c r="F28" s="28"/>
      <c r="G28" s="26" t="s">
        <v>157</v>
      </c>
      <c r="H28" s="26">
        <v>1.0</v>
      </c>
      <c r="I28" s="29"/>
      <c r="J28" s="30"/>
      <c r="K28" s="31" t="s">
        <v>33</v>
      </c>
      <c r="L28" s="24"/>
      <c r="M28" s="40" t="s">
        <v>176</v>
      </c>
      <c r="N28" s="35" t="s">
        <v>177</v>
      </c>
      <c r="O28" s="35" t="s">
        <v>178</v>
      </c>
      <c r="P28" s="36" t="s">
        <v>62</v>
      </c>
      <c r="Q28" s="36" t="s">
        <v>63</v>
      </c>
      <c r="R28" s="36" t="s">
        <v>64</v>
      </c>
      <c r="S28" s="24"/>
      <c r="T28" s="32"/>
      <c r="U28" s="32"/>
      <c r="V28" s="32"/>
      <c r="W28" s="32"/>
      <c r="X28" s="32"/>
      <c r="Y28" s="32"/>
      <c r="Z28" s="32"/>
      <c r="AA28" s="32"/>
      <c r="AB28" s="32"/>
      <c r="AC28" s="38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ht="15.75" customHeight="1">
      <c r="A29" s="23">
        <v>46073.0</v>
      </c>
      <c r="B29" s="24" t="s">
        <v>179</v>
      </c>
      <c r="C29" s="25" t="s">
        <v>180</v>
      </c>
      <c r="D29" s="26" t="s">
        <v>85</v>
      </c>
      <c r="E29" s="27">
        <f t="shared" si="1"/>
        <v>46094</v>
      </c>
      <c r="F29" s="28"/>
      <c r="G29" s="26" t="s">
        <v>55</v>
      </c>
      <c r="H29" s="26">
        <v>1.0</v>
      </c>
      <c r="I29" s="29"/>
      <c r="J29" s="30"/>
      <c r="K29" s="31" t="s">
        <v>33</v>
      </c>
      <c r="L29" s="32"/>
      <c r="M29" s="40" t="s">
        <v>181</v>
      </c>
      <c r="N29" s="34" t="s">
        <v>182</v>
      </c>
      <c r="O29" s="35" t="s">
        <v>183</v>
      </c>
      <c r="P29" s="36" t="s">
        <v>78</v>
      </c>
      <c r="Q29" s="36" t="s">
        <v>79</v>
      </c>
      <c r="R29" s="37"/>
      <c r="S29" s="24" t="s">
        <v>184</v>
      </c>
      <c r="T29" s="24" t="s">
        <v>155</v>
      </c>
      <c r="U29" s="32"/>
      <c r="V29" s="32"/>
      <c r="W29" s="32"/>
      <c r="X29" s="32"/>
      <c r="Y29" s="32"/>
      <c r="Z29" s="32"/>
      <c r="AA29" s="32"/>
      <c r="AB29" s="32"/>
      <c r="AC29" s="38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ht="15.75" customHeight="1">
      <c r="A30" s="23">
        <v>46073.0</v>
      </c>
      <c r="B30" s="24" t="s">
        <v>185</v>
      </c>
      <c r="C30" s="25" t="s">
        <v>180</v>
      </c>
      <c r="D30" s="26" t="s">
        <v>91</v>
      </c>
      <c r="E30" s="27">
        <f t="shared" si="1"/>
        <v>46094</v>
      </c>
      <c r="F30" s="28"/>
      <c r="G30" s="26" t="s">
        <v>55</v>
      </c>
      <c r="H30" s="26">
        <v>1.0</v>
      </c>
      <c r="I30" s="29"/>
      <c r="J30" s="30"/>
      <c r="K30" s="31" t="s">
        <v>157</v>
      </c>
      <c r="L30" s="32"/>
      <c r="M30" s="40" t="s">
        <v>186</v>
      </c>
      <c r="N30" s="34" t="s">
        <v>187</v>
      </c>
      <c r="O30" s="35" t="s">
        <v>188</v>
      </c>
      <c r="P30" s="36" t="s">
        <v>78</v>
      </c>
      <c r="Q30" s="36" t="s">
        <v>79</v>
      </c>
      <c r="R30" s="37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8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ht="15.75" customHeight="1">
      <c r="A31" s="48">
        <v>46072.0</v>
      </c>
      <c r="B31" s="24" t="s">
        <v>189</v>
      </c>
      <c r="C31" s="29" t="s">
        <v>175</v>
      </c>
      <c r="D31" s="26" t="s">
        <v>190</v>
      </c>
      <c r="E31" s="27">
        <f t="shared" si="1"/>
        <v>46093</v>
      </c>
      <c r="F31" s="58"/>
      <c r="G31" s="30" t="s">
        <v>32</v>
      </c>
      <c r="H31" s="26">
        <v>1.0</v>
      </c>
      <c r="I31" s="59"/>
      <c r="J31" s="50"/>
      <c r="K31" s="30" t="s">
        <v>49</v>
      </c>
      <c r="L31" s="60" t="s">
        <v>145</v>
      </c>
      <c r="M31" s="40" t="s">
        <v>191</v>
      </c>
      <c r="N31" s="61" t="s">
        <v>192</v>
      </c>
      <c r="O31" s="61" t="s">
        <v>193</v>
      </c>
      <c r="P31" s="52" t="s">
        <v>78</v>
      </c>
      <c r="Q31" s="52" t="s">
        <v>194</v>
      </c>
      <c r="R31" s="53"/>
      <c r="S31" s="32" t="s">
        <v>195</v>
      </c>
      <c r="T31" s="53"/>
      <c r="U31" s="53"/>
      <c r="V31" s="53"/>
      <c r="W31" s="53"/>
      <c r="X31" s="53"/>
      <c r="Y31" s="53"/>
      <c r="Z31" s="53"/>
      <c r="AA31" s="53"/>
      <c r="AB31" s="53"/>
      <c r="AC31" s="55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ht="15.75" customHeight="1">
      <c r="A32" s="23">
        <v>46072.0</v>
      </c>
      <c r="B32" s="24" t="s">
        <v>196</v>
      </c>
      <c r="C32" s="29" t="s">
        <v>175</v>
      </c>
      <c r="D32" s="26" t="s">
        <v>190</v>
      </c>
      <c r="E32" s="27">
        <f t="shared" si="1"/>
        <v>46093</v>
      </c>
      <c r="F32" s="28">
        <v>46079.0</v>
      </c>
      <c r="G32" s="30" t="s">
        <v>32</v>
      </c>
      <c r="H32" s="26">
        <v>2.0</v>
      </c>
      <c r="I32" s="29"/>
      <c r="J32" s="30"/>
      <c r="K32" s="30" t="s">
        <v>49</v>
      </c>
      <c r="L32" s="47" t="s">
        <v>145</v>
      </c>
      <c r="M32" s="40" t="s">
        <v>197</v>
      </c>
      <c r="N32" s="61" t="s">
        <v>198</v>
      </c>
      <c r="O32" s="61" t="s">
        <v>199</v>
      </c>
      <c r="P32" s="52" t="s">
        <v>78</v>
      </c>
      <c r="Q32" s="52" t="s">
        <v>194</v>
      </c>
      <c r="R32" s="53"/>
      <c r="S32" s="24" t="s">
        <v>200</v>
      </c>
      <c r="T32" s="24" t="s">
        <v>195</v>
      </c>
      <c r="U32" s="53"/>
      <c r="V32" s="53"/>
      <c r="W32" s="53"/>
      <c r="X32" s="32"/>
      <c r="Y32" s="53"/>
      <c r="Z32" s="53"/>
      <c r="AA32" s="53"/>
      <c r="AB32" s="53"/>
      <c r="AC32" s="55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ht="15.75" customHeight="1">
      <c r="A33" s="23">
        <v>46072.0</v>
      </c>
      <c r="B33" s="24" t="s">
        <v>201</v>
      </c>
      <c r="C33" s="25" t="s">
        <v>202</v>
      </c>
      <c r="D33" s="26" t="s">
        <v>91</v>
      </c>
      <c r="E33" s="27">
        <f t="shared" si="1"/>
        <v>46093</v>
      </c>
      <c r="F33" s="28"/>
      <c r="G33" s="26" t="s">
        <v>32</v>
      </c>
      <c r="H33" s="26">
        <v>2.0</v>
      </c>
      <c r="I33" s="29"/>
      <c r="J33" s="30"/>
      <c r="K33" s="31" t="s">
        <v>33</v>
      </c>
      <c r="L33" s="24" t="s">
        <v>203</v>
      </c>
      <c r="M33" s="40" t="s">
        <v>204</v>
      </c>
      <c r="N33" s="35" t="s">
        <v>205</v>
      </c>
      <c r="O33" s="35" t="s">
        <v>206</v>
      </c>
      <c r="P33" s="36" t="s">
        <v>207</v>
      </c>
      <c r="Q33" s="37"/>
      <c r="R33" s="37"/>
      <c r="S33" s="24" t="s">
        <v>208</v>
      </c>
      <c r="T33" s="32"/>
      <c r="U33" s="32"/>
      <c r="V33" s="32"/>
      <c r="W33" s="32"/>
      <c r="X33" s="32"/>
      <c r="Y33" s="32"/>
      <c r="Z33" s="32"/>
      <c r="AA33" s="32"/>
      <c r="AB33" s="32"/>
      <c r="AC33" s="38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</row>
    <row r="34" ht="15.75" customHeight="1">
      <c r="A34" s="23">
        <v>46071.0</v>
      </c>
      <c r="B34" s="24" t="s">
        <v>209</v>
      </c>
      <c r="C34" s="25" t="s">
        <v>210</v>
      </c>
      <c r="D34" s="26" t="s">
        <v>211</v>
      </c>
      <c r="E34" s="27">
        <f t="shared" si="1"/>
        <v>46092</v>
      </c>
      <c r="F34" s="28">
        <v>46087.0</v>
      </c>
      <c r="G34" s="26" t="s">
        <v>55</v>
      </c>
      <c r="H34" s="26">
        <v>1.0</v>
      </c>
      <c r="I34" s="29"/>
      <c r="J34" s="30"/>
      <c r="K34" s="31" t="s">
        <v>33</v>
      </c>
      <c r="L34" s="32"/>
      <c r="M34" s="40" t="s">
        <v>212</v>
      </c>
      <c r="N34" s="34" t="s">
        <v>213</v>
      </c>
      <c r="O34" s="35" t="s">
        <v>214</v>
      </c>
      <c r="P34" s="36" t="s">
        <v>62</v>
      </c>
      <c r="Q34" s="37"/>
      <c r="R34" s="37"/>
      <c r="S34" s="24" t="s">
        <v>215</v>
      </c>
      <c r="T34" s="32"/>
      <c r="U34" s="32"/>
      <c r="V34" s="32"/>
      <c r="W34" s="32"/>
      <c r="X34" s="32"/>
      <c r="Y34" s="32"/>
      <c r="Z34" s="32"/>
      <c r="AA34" s="32"/>
      <c r="AB34" s="32"/>
      <c r="AC34" s="38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ht="15.75" customHeight="1">
      <c r="A35" s="23">
        <v>46071.0</v>
      </c>
      <c r="B35" s="24" t="s">
        <v>216</v>
      </c>
      <c r="C35" s="25" t="s">
        <v>44</v>
      </c>
      <c r="D35" s="26" t="s">
        <v>85</v>
      </c>
      <c r="E35" s="27">
        <f t="shared" si="1"/>
        <v>46092</v>
      </c>
      <c r="F35" s="28"/>
      <c r="G35" s="26" t="s">
        <v>32</v>
      </c>
      <c r="H35" s="26">
        <v>1.0</v>
      </c>
      <c r="I35" s="29"/>
      <c r="J35" s="30"/>
      <c r="K35" s="31" t="s">
        <v>157</v>
      </c>
      <c r="L35" s="24"/>
      <c r="M35" s="40" t="s">
        <v>217</v>
      </c>
      <c r="N35" s="35" t="s">
        <v>218</v>
      </c>
      <c r="O35" s="35" t="s">
        <v>219</v>
      </c>
      <c r="P35" s="36" t="s">
        <v>220</v>
      </c>
      <c r="Q35" s="37"/>
      <c r="R35" s="37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8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ht="15.75" customHeight="1">
      <c r="A36" s="23">
        <v>46071.0</v>
      </c>
      <c r="B36" s="24" t="s">
        <v>221</v>
      </c>
      <c r="C36" s="25" t="s">
        <v>38</v>
      </c>
      <c r="D36" s="26" t="s">
        <v>85</v>
      </c>
      <c r="E36" s="27">
        <f t="shared" si="1"/>
        <v>46092</v>
      </c>
      <c r="F36" s="28"/>
      <c r="G36" s="26" t="s">
        <v>39</v>
      </c>
      <c r="H36" s="26">
        <v>1.0</v>
      </c>
      <c r="I36" s="29"/>
      <c r="J36" s="30"/>
      <c r="K36" s="31" t="s">
        <v>33</v>
      </c>
      <c r="L36" s="32"/>
      <c r="M36" s="40" t="s">
        <v>222</v>
      </c>
      <c r="N36" s="34" t="s">
        <v>223</v>
      </c>
      <c r="O36" s="35" t="s">
        <v>224</v>
      </c>
      <c r="P36" s="36" t="s">
        <v>47</v>
      </c>
      <c r="Q36" s="37"/>
      <c r="R36" s="37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8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ht="15.75" customHeight="1">
      <c r="A37" s="23">
        <v>46071.0</v>
      </c>
      <c r="B37" s="24" t="s">
        <v>225</v>
      </c>
      <c r="C37" s="25" t="s">
        <v>38</v>
      </c>
      <c r="D37" s="26" t="s">
        <v>85</v>
      </c>
      <c r="E37" s="27">
        <f t="shared" si="1"/>
        <v>46092</v>
      </c>
      <c r="F37" s="28"/>
      <c r="G37" s="26" t="s">
        <v>39</v>
      </c>
      <c r="H37" s="26">
        <v>1.0</v>
      </c>
      <c r="I37" s="29"/>
      <c r="J37" s="30"/>
      <c r="K37" s="31" t="s">
        <v>33</v>
      </c>
      <c r="L37" s="32"/>
      <c r="M37" s="40" t="s">
        <v>226</v>
      </c>
      <c r="N37" s="34" t="s">
        <v>227</v>
      </c>
      <c r="O37" s="35" t="s">
        <v>228</v>
      </c>
      <c r="P37" s="36" t="s">
        <v>229</v>
      </c>
      <c r="Q37" s="37"/>
      <c r="R37" s="37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8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ht="15.75" customHeight="1">
      <c r="A38" s="23">
        <v>46071.0</v>
      </c>
      <c r="B38" s="24" t="s">
        <v>230</v>
      </c>
      <c r="C38" s="25" t="s">
        <v>84</v>
      </c>
      <c r="D38" s="26" t="s">
        <v>85</v>
      </c>
      <c r="E38" s="27">
        <f t="shared" si="1"/>
        <v>46092</v>
      </c>
      <c r="F38" s="28"/>
      <c r="G38" s="26" t="s">
        <v>39</v>
      </c>
      <c r="H38" s="26">
        <v>1.0</v>
      </c>
      <c r="I38" s="29"/>
      <c r="J38" s="30"/>
      <c r="K38" s="31" t="s">
        <v>33</v>
      </c>
      <c r="L38" s="32"/>
      <c r="M38" s="40" t="s">
        <v>231</v>
      </c>
      <c r="N38" s="34" t="s">
        <v>232</v>
      </c>
      <c r="O38" s="35" t="s">
        <v>233</v>
      </c>
      <c r="P38" s="36" t="s">
        <v>234</v>
      </c>
      <c r="Q38" s="37"/>
      <c r="R38" s="37"/>
      <c r="S38" s="24" t="s">
        <v>235</v>
      </c>
      <c r="T38" s="32"/>
      <c r="U38" s="32"/>
      <c r="V38" s="32"/>
      <c r="W38" s="32"/>
      <c r="X38" s="32"/>
      <c r="Y38" s="32"/>
      <c r="Z38" s="32"/>
      <c r="AA38" s="32"/>
      <c r="AB38" s="32"/>
      <c r="AC38" s="38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ht="15.75" customHeight="1">
      <c r="A39" s="23">
        <v>46070.0</v>
      </c>
      <c r="B39" s="24" t="s">
        <v>236</v>
      </c>
      <c r="C39" s="25" t="s">
        <v>38</v>
      </c>
      <c r="D39" s="26" t="s">
        <v>211</v>
      </c>
      <c r="E39" s="27">
        <f t="shared" si="1"/>
        <v>46091</v>
      </c>
      <c r="F39" s="26" t="s">
        <v>237</v>
      </c>
      <c r="G39" s="26" t="s">
        <v>39</v>
      </c>
      <c r="H39" s="26">
        <v>1.0</v>
      </c>
      <c r="I39" s="29"/>
      <c r="J39" s="30"/>
      <c r="K39" s="31" t="s">
        <v>33</v>
      </c>
      <c r="L39" s="24" t="s">
        <v>238</v>
      </c>
      <c r="M39" s="62" t="s">
        <v>239</v>
      </c>
      <c r="N39" s="34" t="s">
        <v>240</v>
      </c>
      <c r="O39" s="35" t="s">
        <v>241</v>
      </c>
      <c r="P39" s="36" t="s">
        <v>68</v>
      </c>
      <c r="Q39" s="37"/>
      <c r="R39" s="37"/>
      <c r="S39" s="32"/>
      <c r="T39" s="32"/>
      <c r="U39" s="32"/>
      <c r="V39" s="32"/>
      <c r="W39" s="32"/>
      <c r="X39" s="24" t="s">
        <v>242</v>
      </c>
      <c r="Y39" s="43" t="s">
        <v>243</v>
      </c>
      <c r="Z39" s="24" t="s">
        <v>244</v>
      </c>
      <c r="AA39" s="32"/>
      <c r="AB39" s="32"/>
      <c r="AC39" s="38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</row>
    <row r="40" ht="15.75" customHeight="1">
      <c r="A40" s="23">
        <v>46070.0</v>
      </c>
      <c r="B40" s="24" t="s">
        <v>245</v>
      </c>
      <c r="C40" s="25" t="s">
        <v>54</v>
      </c>
      <c r="D40" s="26" t="s">
        <v>190</v>
      </c>
      <c r="E40" s="27">
        <f t="shared" si="1"/>
        <v>46091</v>
      </c>
      <c r="F40" s="28">
        <v>46070.0</v>
      </c>
      <c r="G40" s="26" t="s">
        <v>246</v>
      </c>
      <c r="H40" s="26">
        <v>1.0</v>
      </c>
      <c r="I40" s="29"/>
      <c r="J40" s="30"/>
      <c r="K40" s="31" t="s">
        <v>49</v>
      </c>
      <c r="L40" s="32"/>
      <c r="M40" s="40" t="s">
        <v>247</v>
      </c>
      <c r="N40" s="34" t="s">
        <v>248</v>
      </c>
      <c r="O40" s="35" t="s">
        <v>249</v>
      </c>
      <c r="P40" s="36" t="s">
        <v>250</v>
      </c>
      <c r="Q40" s="37"/>
      <c r="R40" s="37"/>
      <c r="S40" s="24"/>
      <c r="T40" s="32"/>
      <c r="U40" s="32"/>
      <c r="V40" s="32"/>
      <c r="W40" s="32"/>
      <c r="X40" s="24"/>
      <c r="Y40" s="24"/>
      <c r="Z40" s="24"/>
      <c r="AA40" s="24"/>
      <c r="AB40" s="32"/>
      <c r="AC40" s="38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ht="15.75" customHeight="1">
      <c r="A41" s="23">
        <v>46070.0</v>
      </c>
      <c r="B41" s="63" t="s">
        <v>251</v>
      </c>
      <c r="C41" s="25" t="s">
        <v>252</v>
      </c>
      <c r="D41" s="26" t="s">
        <v>85</v>
      </c>
      <c r="E41" s="27">
        <f t="shared" si="1"/>
        <v>46091</v>
      </c>
      <c r="F41" s="28">
        <v>46087.0</v>
      </c>
      <c r="G41" s="26" t="s">
        <v>55</v>
      </c>
      <c r="H41" s="26">
        <v>2.0</v>
      </c>
      <c r="I41" s="25" t="s">
        <v>39</v>
      </c>
      <c r="J41" s="26">
        <v>1.0</v>
      </c>
      <c r="K41" s="31" t="s">
        <v>33</v>
      </c>
      <c r="L41" s="64" t="s">
        <v>253</v>
      </c>
      <c r="M41" s="40" t="s">
        <v>254</v>
      </c>
      <c r="N41" s="35" t="s">
        <v>255</v>
      </c>
      <c r="O41" s="35" t="s">
        <v>256</v>
      </c>
      <c r="P41" s="36" t="s">
        <v>68</v>
      </c>
      <c r="Q41" s="36" t="s">
        <v>69</v>
      </c>
      <c r="R41" s="36" t="s">
        <v>70</v>
      </c>
      <c r="S41" s="24" t="s">
        <v>257</v>
      </c>
      <c r="T41" s="32"/>
      <c r="U41" s="32"/>
      <c r="V41" s="32"/>
      <c r="W41" s="32"/>
      <c r="X41" s="32"/>
      <c r="Y41" s="32"/>
      <c r="Z41" s="32"/>
      <c r="AA41" s="32"/>
      <c r="AB41" s="32"/>
      <c r="AC41" s="38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ht="15.75" customHeight="1">
      <c r="A42" s="23">
        <v>46070.0</v>
      </c>
      <c r="B42" s="24" t="s">
        <v>258</v>
      </c>
      <c r="C42" s="25" t="s">
        <v>210</v>
      </c>
      <c r="D42" s="26" t="s">
        <v>85</v>
      </c>
      <c r="E42" s="27">
        <f t="shared" si="1"/>
        <v>46091</v>
      </c>
      <c r="F42" s="28"/>
      <c r="G42" s="26" t="s">
        <v>55</v>
      </c>
      <c r="H42" s="26">
        <v>1.0</v>
      </c>
      <c r="I42" s="29"/>
      <c r="J42" s="30"/>
      <c r="K42" s="31" t="s">
        <v>33</v>
      </c>
      <c r="L42" s="32"/>
      <c r="M42" s="40" t="s">
        <v>259</v>
      </c>
      <c r="N42" s="34" t="s">
        <v>260</v>
      </c>
      <c r="O42" s="35" t="s">
        <v>261</v>
      </c>
      <c r="P42" s="36" t="s">
        <v>62</v>
      </c>
      <c r="Q42" s="37"/>
      <c r="R42" s="37"/>
      <c r="S42" s="24" t="s">
        <v>200</v>
      </c>
      <c r="T42" s="32"/>
      <c r="U42" s="32"/>
      <c r="V42" s="32"/>
      <c r="W42" s="32"/>
      <c r="X42" s="32"/>
      <c r="Y42" s="32"/>
      <c r="Z42" s="32"/>
      <c r="AA42" s="32"/>
      <c r="AB42" s="32"/>
      <c r="AC42" s="38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ht="15.75" customHeight="1">
      <c r="A43" s="23">
        <v>46070.0</v>
      </c>
      <c r="B43" s="24" t="s">
        <v>262</v>
      </c>
      <c r="C43" s="25" t="s">
        <v>263</v>
      </c>
      <c r="D43" s="26" t="s">
        <v>91</v>
      </c>
      <c r="E43" s="27">
        <f t="shared" si="1"/>
        <v>46091</v>
      </c>
      <c r="F43" s="28"/>
      <c r="G43" s="26" t="s">
        <v>32</v>
      </c>
      <c r="H43" s="26">
        <v>7.0</v>
      </c>
      <c r="I43" s="25" t="s">
        <v>55</v>
      </c>
      <c r="J43" s="26">
        <v>3.0</v>
      </c>
      <c r="K43" s="31" t="s">
        <v>157</v>
      </c>
      <c r="L43" s="24" t="s">
        <v>264</v>
      </c>
      <c r="M43" s="40" t="s">
        <v>265</v>
      </c>
      <c r="N43" s="35" t="s">
        <v>266</v>
      </c>
      <c r="O43" s="35" t="s">
        <v>267</v>
      </c>
      <c r="P43" s="36" t="s">
        <v>62</v>
      </c>
      <c r="Q43" s="36" t="s">
        <v>63</v>
      </c>
      <c r="R43" s="36" t="s">
        <v>64</v>
      </c>
      <c r="S43" s="24" t="s">
        <v>268</v>
      </c>
      <c r="T43" s="32"/>
      <c r="U43" s="32"/>
      <c r="V43" s="32"/>
      <c r="W43" s="32"/>
      <c r="X43" s="32"/>
      <c r="Y43" s="32"/>
      <c r="Z43" s="32"/>
      <c r="AA43" s="32"/>
      <c r="AB43" s="32"/>
      <c r="AC43" s="38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ht="15.75" customHeight="1">
      <c r="A44" s="23">
        <v>46069.0</v>
      </c>
      <c r="B44" s="24" t="s">
        <v>269</v>
      </c>
      <c r="C44" s="25" t="s">
        <v>270</v>
      </c>
      <c r="D44" s="26" t="s">
        <v>211</v>
      </c>
      <c r="E44" s="27">
        <f t="shared" si="1"/>
        <v>46090</v>
      </c>
      <c r="F44" s="28">
        <v>46080.0</v>
      </c>
      <c r="G44" s="26" t="s">
        <v>55</v>
      </c>
      <c r="H44" s="26">
        <v>1.0</v>
      </c>
      <c r="I44" s="29"/>
      <c r="J44" s="30"/>
      <c r="K44" s="31" t="s">
        <v>33</v>
      </c>
      <c r="L44" s="47" t="s">
        <v>271</v>
      </c>
      <c r="M44" s="40" t="s">
        <v>272</v>
      </c>
      <c r="N44" s="35" t="s">
        <v>273</v>
      </c>
      <c r="O44" s="35" t="s">
        <v>274</v>
      </c>
      <c r="P44" s="36" t="s">
        <v>275</v>
      </c>
      <c r="Q44" s="36" t="s">
        <v>276</v>
      </c>
      <c r="R44" s="37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8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ht="15.75" customHeight="1">
      <c r="A45" s="23">
        <v>46069.0</v>
      </c>
      <c r="B45" s="24" t="s">
        <v>277</v>
      </c>
      <c r="C45" s="25" t="s">
        <v>54</v>
      </c>
      <c r="D45" s="26" t="s">
        <v>190</v>
      </c>
      <c r="E45" s="27">
        <f t="shared" si="1"/>
        <v>46090</v>
      </c>
      <c r="F45" s="28">
        <v>46083.0</v>
      </c>
      <c r="G45" s="26" t="s">
        <v>55</v>
      </c>
      <c r="H45" s="26">
        <v>1.0</v>
      </c>
      <c r="I45" s="29"/>
      <c r="J45" s="30"/>
      <c r="K45" s="31" t="s">
        <v>33</v>
      </c>
      <c r="L45" s="47" t="s">
        <v>145</v>
      </c>
      <c r="M45" s="40" t="s">
        <v>278</v>
      </c>
      <c r="N45" s="34" t="s">
        <v>279</v>
      </c>
      <c r="O45" s="35" t="s">
        <v>280</v>
      </c>
      <c r="P45" s="36" t="s">
        <v>281</v>
      </c>
      <c r="Q45" s="37"/>
      <c r="R45" s="37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8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ht="15.75" customHeight="1">
      <c r="A46" s="23">
        <v>46069.0</v>
      </c>
      <c r="B46" s="24" t="s">
        <v>282</v>
      </c>
      <c r="C46" s="25" t="s">
        <v>38</v>
      </c>
      <c r="D46" s="26" t="s">
        <v>85</v>
      </c>
      <c r="E46" s="27">
        <f t="shared" si="1"/>
        <v>46090</v>
      </c>
      <c r="F46" s="28"/>
      <c r="G46" s="26" t="s">
        <v>39</v>
      </c>
      <c r="H46" s="26">
        <v>2.0</v>
      </c>
      <c r="I46" s="29"/>
      <c r="J46" s="30"/>
      <c r="K46" s="31" t="s">
        <v>33</v>
      </c>
      <c r="L46" s="32"/>
      <c r="M46" s="26" t="s">
        <v>283</v>
      </c>
      <c r="N46" s="34" t="s">
        <v>284</v>
      </c>
      <c r="O46" s="35" t="s">
        <v>285</v>
      </c>
      <c r="P46" s="36" t="s">
        <v>68</v>
      </c>
      <c r="Q46" s="37"/>
      <c r="R46" s="37"/>
      <c r="S46" s="32"/>
      <c r="T46" s="32"/>
      <c r="U46" s="32"/>
      <c r="V46" s="32"/>
      <c r="W46" s="32"/>
      <c r="X46" s="24" t="s">
        <v>286</v>
      </c>
      <c r="Y46" s="32"/>
      <c r="Z46" s="32"/>
      <c r="AA46" s="32"/>
      <c r="AB46" s="32"/>
      <c r="AC46" s="38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</row>
    <row r="47" ht="15.75" customHeight="1">
      <c r="A47" s="23">
        <v>46066.0</v>
      </c>
      <c r="B47" s="24" t="s">
        <v>287</v>
      </c>
      <c r="C47" s="25" t="s">
        <v>44</v>
      </c>
      <c r="D47" s="26" t="s">
        <v>211</v>
      </c>
      <c r="E47" s="27">
        <f t="shared" si="1"/>
        <v>46087</v>
      </c>
      <c r="F47" s="28">
        <v>46069.0</v>
      </c>
      <c r="G47" s="26" t="s">
        <v>32</v>
      </c>
      <c r="H47" s="26">
        <v>1.0</v>
      </c>
      <c r="I47" s="29"/>
      <c r="J47" s="30"/>
      <c r="K47" s="31" t="s">
        <v>33</v>
      </c>
      <c r="L47" s="47" t="s">
        <v>288</v>
      </c>
      <c r="M47" s="40" t="s">
        <v>289</v>
      </c>
      <c r="N47" s="34" t="s">
        <v>290</v>
      </c>
      <c r="O47" s="35" t="s">
        <v>291</v>
      </c>
      <c r="P47" s="36" t="s">
        <v>115</v>
      </c>
      <c r="Q47" s="36" t="s">
        <v>36</v>
      </c>
      <c r="R47" s="37"/>
      <c r="S47" s="24" t="s">
        <v>200</v>
      </c>
      <c r="T47" s="32"/>
      <c r="U47" s="32"/>
      <c r="V47" s="32"/>
      <c r="W47" s="32"/>
      <c r="X47" s="65" t="s">
        <v>97</v>
      </c>
      <c r="Y47" s="32"/>
      <c r="Z47" s="32"/>
      <c r="AA47" s="32"/>
      <c r="AB47" s="32"/>
      <c r="AC47" s="38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ht="15.75" customHeight="1">
      <c r="A48" s="23">
        <v>46066.0</v>
      </c>
      <c r="B48" s="24" t="s">
        <v>292</v>
      </c>
      <c r="C48" s="25" t="s">
        <v>38</v>
      </c>
      <c r="D48" s="26" t="s">
        <v>85</v>
      </c>
      <c r="E48" s="27">
        <f t="shared" si="1"/>
        <v>46087</v>
      </c>
      <c r="F48" s="28"/>
      <c r="G48" s="26" t="s">
        <v>39</v>
      </c>
      <c r="H48" s="26">
        <v>1.0</v>
      </c>
      <c r="I48" s="29"/>
      <c r="J48" s="30"/>
      <c r="K48" s="31" t="s">
        <v>33</v>
      </c>
      <c r="L48" s="32"/>
      <c r="M48" s="40" t="s">
        <v>293</v>
      </c>
      <c r="N48" s="34" t="s">
        <v>294</v>
      </c>
      <c r="O48" s="35" t="s">
        <v>295</v>
      </c>
      <c r="P48" s="36" t="s">
        <v>115</v>
      </c>
      <c r="Q48" s="36" t="s">
        <v>36</v>
      </c>
      <c r="R48" s="37"/>
      <c r="S48" s="24" t="s">
        <v>89</v>
      </c>
      <c r="T48" s="24" t="s">
        <v>296</v>
      </c>
      <c r="U48" s="32"/>
      <c r="V48" s="32"/>
      <c r="W48" s="32"/>
      <c r="X48" s="32"/>
      <c r="Y48" s="32"/>
      <c r="Z48" s="32"/>
      <c r="AA48" s="32"/>
      <c r="AB48" s="32"/>
      <c r="AC48" s="38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</row>
    <row r="49" ht="15.75" customHeight="1">
      <c r="A49" s="23">
        <v>46063.0</v>
      </c>
      <c r="B49" s="66" t="s">
        <v>297</v>
      </c>
      <c r="C49" s="25" t="s">
        <v>84</v>
      </c>
      <c r="D49" s="26" t="s">
        <v>211</v>
      </c>
      <c r="E49" s="27">
        <f>A49+7</f>
        <v>46070</v>
      </c>
      <c r="F49" s="28">
        <v>46065.0</v>
      </c>
      <c r="G49" s="26" t="s">
        <v>39</v>
      </c>
      <c r="H49" s="26">
        <v>1.0</v>
      </c>
      <c r="I49" s="29"/>
      <c r="J49" s="30"/>
      <c r="K49" s="31" t="s">
        <v>33</v>
      </c>
      <c r="L49" s="47" t="s">
        <v>298</v>
      </c>
      <c r="M49" s="40" t="s">
        <v>299</v>
      </c>
      <c r="N49" s="34" t="s">
        <v>300</v>
      </c>
      <c r="O49" s="35" t="s">
        <v>301</v>
      </c>
      <c r="P49" s="36" t="s">
        <v>229</v>
      </c>
      <c r="Q49" s="37"/>
      <c r="R49" s="37"/>
      <c r="S49" s="32"/>
      <c r="T49" s="32"/>
      <c r="U49" s="32"/>
      <c r="V49" s="32"/>
      <c r="W49" s="32"/>
      <c r="X49" s="24" t="s">
        <v>302</v>
      </c>
      <c r="Y49" s="32"/>
      <c r="Z49" s="32"/>
      <c r="AA49" s="32"/>
      <c r="AB49" s="32"/>
      <c r="AC49" s="38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</row>
    <row r="50" ht="15.75" customHeight="1">
      <c r="A50" s="23">
        <v>46063.0</v>
      </c>
      <c r="B50" s="24" t="s">
        <v>303</v>
      </c>
      <c r="C50" s="25" t="s">
        <v>38</v>
      </c>
      <c r="D50" s="26" t="s">
        <v>211</v>
      </c>
      <c r="E50" s="27">
        <f t="shared" ref="E50:E84" si="2">A50+21</f>
        <v>46084</v>
      </c>
      <c r="F50" s="28">
        <v>46090.0</v>
      </c>
      <c r="G50" s="26" t="s">
        <v>39</v>
      </c>
      <c r="H50" s="26">
        <v>1.0</v>
      </c>
      <c r="I50" s="29"/>
      <c r="J50" s="30"/>
      <c r="K50" s="31" t="s">
        <v>33</v>
      </c>
      <c r="L50" s="32"/>
      <c r="M50" s="40" t="s">
        <v>304</v>
      </c>
      <c r="N50" s="34" t="s">
        <v>305</v>
      </c>
      <c r="O50" s="35" t="s">
        <v>306</v>
      </c>
      <c r="P50" s="36" t="s">
        <v>307</v>
      </c>
      <c r="Q50" s="37"/>
      <c r="R50" s="37"/>
      <c r="S50" s="24" t="s">
        <v>308</v>
      </c>
      <c r="T50" s="32"/>
      <c r="U50" s="32"/>
      <c r="V50" s="32"/>
      <c r="W50" s="32"/>
      <c r="X50" s="24" t="s">
        <v>309</v>
      </c>
      <c r="Y50" s="24" t="s">
        <v>310</v>
      </c>
      <c r="Z50" s="32"/>
      <c r="AA50" s="32"/>
      <c r="AB50" s="32"/>
      <c r="AC50" s="38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ht="15.75" customHeight="1">
      <c r="A51" s="23">
        <v>46063.0</v>
      </c>
      <c r="B51" s="24" t="s">
        <v>311</v>
      </c>
      <c r="C51" s="25" t="s">
        <v>44</v>
      </c>
      <c r="D51" s="26" t="s">
        <v>85</v>
      </c>
      <c r="E51" s="27">
        <f t="shared" si="2"/>
        <v>46084</v>
      </c>
      <c r="F51" s="28"/>
      <c r="G51" s="26" t="s">
        <v>32</v>
      </c>
      <c r="H51" s="26">
        <v>2.0</v>
      </c>
      <c r="I51" s="29"/>
      <c r="J51" s="30"/>
      <c r="K51" s="31" t="s">
        <v>33</v>
      </c>
      <c r="L51" s="24" t="s">
        <v>312</v>
      </c>
      <c r="M51" s="40" t="s">
        <v>313</v>
      </c>
      <c r="N51" s="35" t="s">
        <v>314</v>
      </c>
      <c r="O51" s="35" t="s">
        <v>315</v>
      </c>
      <c r="P51" s="36" t="s">
        <v>78</v>
      </c>
      <c r="Q51" s="36" t="s">
        <v>79</v>
      </c>
      <c r="R51" s="37"/>
      <c r="S51" s="32"/>
      <c r="T51" s="32"/>
      <c r="U51" s="32"/>
      <c r="V51" s="32"/>
      <c r="W51" s="32"/>
      <c r="X51" s="43" t="s">
        <v>316</v>
      </c>
      <c r="Y51" s="32"/>
      <c r="Z51" s="32"/>
      <c r="AA51" s="32"/>
      <c r="AB51" s="32"/>
      <c r="AC51" s="38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 ht="15.75" customHeight="1">
      <c r="A52" s="23">
        <v>46062.0</v>
      </c>
      <c r="B52" s="66" t="s">
        <v>317</v>
      </c>
      <c r="C52" s="25" t="s">
        <v>252</v>
      </c>
      <c r="D52" s="26" t="s">
        <v>211</v>
      </c>
      <c r="E52" s="27">
        <f t="shared" si="2"/>
        <v>46083</v>
      </c>
      <c r="F52" s="28">
        <v>46076.0</v>
      </c>
      <c r="G52" s="26" t="s">
        <v>55</v>
      </c>
      <c r="H52" s="26">
        <v>1.0</v>
      </c>
      <c r="I52" s="29"/>
      <c r="J52" s="30"/>
      <c r="K52" s="31" t="s">
        <v>33</v>
      </c>
      <c r="L52" s="32"/>
      <c r="M52" s="40" t="s">
        <v>318</v>
      </c>
      <c r="N52" s="34" t="s">
        <v>319</v>
      </c>
      <c r="O52" s="35" t="s">
        <v>320</v>
      </c>
      <c r="P52" s="36" t="s">
        <v>275</v>
      </c>
      <c r="Q52" s="37"/>
      <c r="R52" s="37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8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</row>
    <row r="53" ht="15.75" customHeight="1">
      <c r="A53" s="23">
        <v>46062.0</v>
      </c>
      <c r="B53" s="24" t="s">
        <v>321</v>
      </c>
      <c r="C53" s="25" t="s">
        <v>38</v>
      </c>
      <c r="D53" s="26" t="s">
        <v>211</v>
      </c>
      <c r="E53" s="67">
        <f t="shared" si="2"/>
        <v>46083</v>
      </c>
      <c r="F53" s="28">
        <v>46078.0</v>
      </c>
      <c r="G53" s="26" t="s">
        <v>39</v>
      </c>
      <c r="H53" s="26">
        <v>1.0</v>
      </c>
      <c r="I53" s="29"/>
      <c r="J53" s="30"/>
      <c r="K53" s="31" t="s">
        <v>49</v>
      </c>
      <c r="L53" s="24" t="s">
        <v>322</v>
      </c>
      <c r="M53" s="40" t="s">
        <v>323</v>
      </c>
      <c r="N53" s="34" t="s">
        <v>324</v>
      </c>
      <c r="O53" s="35" t="s">
        <v>325</v>
      </c>
      <c r="P53" s="36" t="s">
        <v>78</v>
      </c>
      <c r="Q53" s="37"/>
      <c r="R53" s="37"/>
      <c r="S53" s="24" t="s">
        <v>326</v>
      </c>
      <c r="T53" s="24" t="s">
        <v>200</v>
      </c>
      <c r="U53" s="24" t="s">
        <v>155</v>
      </c>
      <c r="V53" s="24" t="s">
        <v>150</v>
      </c>
      <c r="W53" s="32"/>
      <c r="X53" s="24" t="s">
        <v>327</v>
      </c>
      <c r="Y53" s="24" t="s">
        <v>328</v>
      </c>
      <c r="Z53" s="32"/>
      <c r="AA53" s="32"/>
      <c r="AB53" s="32"/>
      <c r="AC53" s="38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ht="15.75" customHeight="1">
      <c r="A54" s="23">
        <v>46059.0</v>
      </c>
      <c r="B54" s="68" t="s">
        <v>329</v>
      </c>
      <c r="C54" s="25" t="s">
        <v>44</v>
      </c>
      <c r="D54" s="26" t="s">
        <v>85</v>
      </c>
      <c r="E54" s="27">
        <f t="shared" si="2"/>
        <v>46080</v>
      </c>
      <c r="F54" s="28"/>
      <c r="G54" s="26" t="s">
        <v>32</v>
      </c>
      <c r="H54" s="26">
        <v>1.0</v>
      </c>
      <c r="I54" s="29"/>
      <c r="J54" s="30"/>
      <c r="K54" s="31" t="s">
        <v>157</v>
      </c>
      <c r="L54" s="32"/>
      <c r="M54" s="40" t="s">
        <v>330</v>
      </c>
      <c r="N54" s="35" t="s">
        <v>331</v>
      </c>
      <c r="O54" s="35" t="s">
        <v>332</v>
      </c>
      <c r="P54" s="36" t="s">
        <v>62</v>
      </c>
      <c r="Q54" s="36" t="s">
        <v>63</v>
      </c>
      <c r="R54" s="36" t="s">
        <v>64</v>
      </c>
      <c r="S54" s="32"/>
      <c r="T54" s="32"/>
      <c r="U54" s="32"/>
      <c r="V54" s="32"/>
      <c r="W54" s="32"/>
      <c r="X54" s="24" t="s">
        <v>333</v>
      </c>
      <c r="Y54" s="32"/>
      <c r="Z54" s="32"/>
      <c r="AA54" s="32"/>
      <c r="AB54" s="32"/>
      <c r="AC54" s="38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ht="15.75" customHeight="1">
      <c r="A55" s="23">
        <v>46058.0</v>
      </c>
      <c r="B55" s="24" t="s">
        <v>334</v>
      </c>
      <c r="C55" s="25" t="s">
        <v>44</v>
      </c>
      <c r="D55" s="26" t="s">
        <v>211</v>
      </c>
      <c r="E55" s="27">
        <f t="shared" si="2"/>
        <v>46079</v>
      </c>
      <c r="F55" s="28">
        <v>46071.0</v>
      </c>
      <c r="G55" s="26" t="s">
        <v>32</v>
      </c>
      <c r="H55" s="26">
        <v>2.0</v>
      </c>
      <c r="I55" s="29"/>
      <c r="J55" s="30"/>
      <c r="K55" s="31" t="s">
        <v>157</v>
      </c>
      <c r="L55" s="32"/>
      <c r="M55" s="40" t="s">
        <v>335</v>
      </c>
      <c r="N55" s="34" t="s">
        <v>336</v>
      </c>
      <c r="O55" s="35" t="s">
        <v>337</v>
      </c>
      <c r="P55" s="36" t="s">
        <v>78</v>
      </c>
      <c r="Q55" s="37"/>
      <c r="R55" s="37"/>
      <c r="S55" s="24" t="s">
        <v>338</v>
      </c>
      <c r="T55" s="32"/>
      <c r="U55" s="32"/>
      <c r="V55" s="32"/>
      <c r="W55" s="32"/>
      <c r="X55" s="32"/>
      <c r="Y55" s="32"/>
      <c r="Z55" s="32"/>
      <c r="AA55" s="32"/>
      <c r="AB55" s="32"/>
      <c r="AC55" s="38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</row>
    <row r="56" ht="15.75" customHeight="1">
      <c r="A56" s="23">
        <v>46058.0</v>
      </c>
      <c r="B56" s="24" t="s">
        <v>339</v>
      </c>
      <c r="C56" s="25" t="s">
        <v>38</v>
      </c>
      <c r="D56" s="26" t="s">
        <v>190</v>
      </c>
      <c r="E56" s="27">
        <f t="shared" si="2"/>
        <v>46079</v>
      </c>
      <c r="F56" s="28">
        <v>46087.0</v>
      </c>
      <c r="G56" s="26" t="s">
        <v>39</v>
      </c>
      <c r="H56" s="26">
        <v>2.0</v>
      </c>
      <c r="I56" s="29"/>
      <c r="J56" s="30"/>
      <c r="K56" s="31" t="s">
        <v>157</v>
      </c>
      <c r="L56" s="24" t="s">
        <v>340</v>
      </c>
      <c r="M56" s="40" t="s">
        <v>341</v>
      </c>
      <c r="N56" s="34" t="s">
        <v>342</v>
      </c>
      <c r="O56" s="35" t="s">
        <v>343</v>
      </c>
      <c r="P56" s="36" t="s">
        <v>47</v>
      </c>
      <c r="Q56" s="37"/>
      <c r="R56" s="37"/>
      <c r="S56" s="24" t="s">
        <v>154</v>
      </c>
      <c r="T56" s="24" t="s">
        <v>344</v>
      </c>
      <c r="U56" s="32"/>
      <c r="V56" s="32"/>
      <c r="W56" s="32"/>
      <c r="X56" s="32"/>
      <c r="Y56" s="32"/>
      <c r="Z56" s="32"/>
      <c r="AA56" s="32"/>
      <c r="AB56" s="32"/>
      <c r="AC56" s="38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ht="15.75" customHeight="1">
      <c r="A57" s="23">
        <v>46057.0</v>
      </c>
      <c r="B57" s="46" t="s">
        <v>345</v>
      </c>
      <c r="C57" s="25" t="s">
        <v>175</v>
      </c>
      <c r="D57" s="26" t="s">
        <v>190</v>
      </c>
      <c r="E57" s="27">
        <f t="shared" si="2"/>
        <v>46078</v>
      </c>
      <c r="F57" s="28">
        <v>46059.0</v>
      </c>
      <c r="G57" s="26" t="s">
        <v>32</v>
      </c>
      <c r="H57" s="26">
        <v>1.0</v>
      </c>
      <c r="I57" s="29"/>
      <c r="J57" s="30"/>
      <c r="K57" s="31" t="s">
        <v>346</v>
      </c>
      <c r="L57" s="47" t="s">
        <v>347</v>
      </c>
      <c r="M57" s="40" t="s">
        <v>348</v>
      </c>
      <c r="N57" s="34" t="s">
        <v>349</v>
      </c>
      <c r="O57" s="35" t="s">
        <v>350</v>
      </c>
      <c r="P57" s="36" t="s">
        <v>47</v>
      </c>
      <c r="Q57" s="37"/>
      <c r="R57" s="37"/>
      <c r="S57" s="24" t="s">
        <v>351</v>
      </c>
      <c r="T57" s="24" t="s">
        <v>352</v>
      </c>
      <c r="U57" s="24" t="s">
        <v>353</v>
      </c>
      <c r="V57" s="24" t="s">
        <v>149</v>
      </c>
      <c r="W57" s="32"/>
      <c r="X57" s="32"/>
      <c r="Y57" s="32"/>
      <c r="Z57" s="32"/>
      <c r="AA57" s="32"/>
      <c r="AB57" s="32"/>
      <c r="AC57" s="38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ht="15.0" customHeight="1">
      <c r="A58" s="23">
        <v>46057.0</v>
      </c>
      <c r="B58" s="24" t="s">
        <v>354</v>
      </c>
      <c r="C58" s="25" t="s">
        <v>38</v>
      </c>
      <c r="D58" s="26" t="s">
        <v>211</v>
      </c>
      <c r="E58" s="27">
        <f t="shared" si="2"/>
        <v>46078</v>
      </c>
      <c r="F58" s="28">
        <v>46080.0</v>
      </c>
      <c r="G58" s="26" t="s">
        <v>39</v>
      </c>
      <c r="H58" s="26">
        <v>1.0</v>
      </c>
      <c r="I58" s="29"/>
      <c r="J58" s="30"/>
      <c r="K58" s="31" t="s">
        <v>33</v>
      </c>
      <c r="L58" s="32"/>
      <c r="M58" s="40" t="s">
        <v>355</v>
      </c>
      <c r="N58" s="34" t="s">
        <v>356</v>
      </c>
      <c r="O58" s="35" t="s">
        <v>357</v>
      </c>
      <c r="P58" s="36" t="s">
        <v>68</v>
      </c>
      <c r="Q58" s="37"/>
      <c r="R58" s="37"/>
      <c r="S58" s="24" t="s">
        <v>358</v>
      </c>
      <c r="T58" s="32"/>
      <c r="U58" s="32"/>
      <c r="V58" s="32"/>
      <c r="W58" s="32"/>
      <c r="X58" s="24" t="s">
        <v>359</v>
      </c>
      <c r="Y58" s="24" t="s">
        <v>360</v>
      </c>
      <c r="Z58" s="24" t="s">
        <v>243</v>
      </c>
      <c r="AA58" s="32"/>
      <c r="AB58" s="32"/>
      <c r="AC58" s="38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ht="15.75" customHeight="1">
      <c r="A59" s="23">
        <v>46056.0</v>
      </c>
      <c r="B59" s="66" t="s">
        <v>361</v>
      </c>
      <c r="C59" s="25" t="s">
        <v>210</v>
      </c>
      <c r="D59" s="26" t="s">
        <v>211</v>
      </c>
      <c r="E59" s="27">
        <f t="shared" si="2"/>
        <v>46077</v>
      </c>
      <c r="F59" s="28">
        <v>46079.0</v>
      </c>
      <c r="G59" s="26" t="s">
        <v>55</v>
      </c>
      <c r="H59" s="26">
        <v>1.0</v>
      </c>
      <c r="I59" s="29"/>
      <c r="J59" s="30"/>
      <c r="K59" s="31" t="s">
        <v>33</v>
      </c>
      <c r="L59" s="41" t="s">
        <v>362</v>
      </c>
      <c r="M59" s="40" t="s">
        <v>363</v>
      </c>
      <c r="N59" s="34" t="s">
        <v>364</v>
      </c>
      <c r="O59" s="35" t="s">
        <v>365</v>
      </c>
      <c r="P59" s="36" t="s">
        <v>47</v>
      </c>
      <c r="Q59" s="37"/>
      <c r="R59" s="37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8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ht="15.75" customHeight="1">
      <c r="A60" s="23">
        <v>46056.0</v>
      </c>
      <c r="B60" s="66" t="s">
        <v>366</v>
      </c>
      <c r="C60" s="25" t="s">
        <v>38</v>
      </c>
      <c r="D60" s="26" t="s">
        <v>211</v>
      </c>
      <c r="E60" s="27">
        <f t="shared" si="2"/>
        <v>46077</v>
      </c>
      <c r="F60" s="28">
        <v>46065.0</v>
      </c>
      <c r="G60" s="26" t="s">
        <v>39</v>
      </c>
      <c r="H60" s="26">
        <v>1.0</v>
      </c>
      <c r="I60" s="29"/>
      <c r="J60" s="30"/>
      <c r="K60" s="31" t="s">
        <v>33</v>
      </c>
      <c r="L60" s="47" t="s">
        <v>298</v>
      </c>
      <c r="M60" s="40" t="s">
        <v>367</v>
      </c>
      <c r="N60" s="34" t="s">
        <v>368</v>
      </c>
      <c r="O60" s="35" t="s">
        <v>369</v>
      </c>
      <c r="P60" s="36" t="s">
        <v>47</v>
      </c>
      <c r="Q60" s="37"/>
      <c r="R60" s="37"/>
      <c r="S60" s="24" t="s">
        <v>184</v>
      </c>
      <c r="T60" s="32"/>
      <c r="U60" s="32"/>
      <c r="V60" s="32"/>
      <c r="W60" s="32"/>
      <c r="X60" s="24" t="s">
        <v>370</v>
      </c>
      <c r="Y60" s="24" t="s">
        <v>371</v>
      </c>
      <c r="Z60" s="32"/>
      <c r="AA60" s="32"/>
      <c r="AB60" s="32"/>
      <c r="AC60" s="38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</row>
    <row r="61" ht="15.75" customHeight="1">
      <c r="A61" s="23">
        <v>46056.0</v>
      </c>
      <c r="B61" s="24" t="s">
        <v>245</v>
      </c>
      <c r="C61" s="25" t="s">
        <v>54</v>
      </c>
      <c r="D61" s="26" t="s">
        <v>190</v>
      </c>
      <c r="E61" s="27">
        <f t="shared" si="2"/>
        <v>46077</v>
      </c>
      <c r="F61" s="28">
        <v>46070.0</v>
      </c>
      <c r="G61" s="26" t="s">
        <v>32</v>
      </c>
      <c r="H61" s="26">
        <v>1.0</v>
      </c>
      <c r="I61" s="29"/>
      <c r="J61" s="30"/>
      <c r="K61" s="31" t="s">
        <v>49</v>
      </c>
      <c r="L61" s="41" t="s">
        <v>372</v>
      </c>
      <c r="M61" s="40" t="s">
        <v>247</v>
      </c>
      <c r="N61" s="34" t="s">
        <v>248</v>
      </c>
      <c r="O61" s="35" t="s">
        <v>249</v>
      </c>
      <c r="P61" s="36" t="s">
        <v>250</v>
      </c>
      <c r="Q61" s="37"/>
      <c r="R61" s="37"/>
      <c r="S61" s="24" t="s">
        <v>373</v>
      </c>
      <c r="T61" s="32"/>
      <c r="U61" s="32"/>
      <c r="V61" s="32"/>
      <c r="W61" s="32"/>
      <c r="X61" s="24" t="s">
        <v>374</v>
      </c>
      <c r="Y61" s="24" t="s">
        <v>375</v>
      </c>
      <c r="Z61" s="24" t="s">
        <v>376</v>
      </c>
      <c r="AA61" s="43" t="s">
        <v>377</v>
      </c>
      <c r="AB61" s="32"/>
      <c r="AC61" s="38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</row>
    <row r="62" ht="15.75" customHeight="1">
      <c r="A62" s="23">
        <v>46055.0</v>
      </c>
      <c r="B62" s="24" t="s">
        <v>378</v>
      </c>
      <c r="C62" s="25" t="s">
        <v>38</v>
      </c>
      <c r="D62" s="26" t="s">
        <v>211</v>
      </c>
      <c r="E62" s="27">
        <f t="shared" si="2"/>
        <v>46076</v>
      </c>
      <c r="F62" s="28">
        <v>46087.0</v>
      </c>
      <c r="G62" s="26" t="s">
        <v>39</v>
      </c>
      <c r="H62" s="26">
        <v>2.0</v>
      </c>
      <c r="I62" s="29"/>
      <c r="J62" s="30"/>
      <c r="K62" s="31" t="s">
        <v>33</v>
      </c>
      <c r="L62" s="32"/>
      <c r="M62" s="40" t="s">
        <v>379</v>
      </c>
      <c r="N62" s="34" t="s">
        <v>380</v>
      </c>
      <c r="O62" s="35" t="s">
        <v>381</v>
      </c>
      <c r="P62" s="36" t="s">
        <v>281</v>
      </c>
      <c r="Q62" s="37"/>
      <c r="R62" s="37"/>
      <c r="S62" s="32"/>
      <c r="T62" s="32"/>
      <c r="U62" s="32"/>
      <c r="V62" s="32"/>
      <c r="W62" s="32"/>
      <c r="X62" s="24" t="s">
        <v>382</v>
      </c>
      <c r="Y62" s="24" t="s">
        <v>383</v>
      </c>
      <c r="Z62" s="32"/>
      <c r="AA62" s="32"/>
      <c r="AB62" s="32"/>
      <c r="AC62" s="38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ht="15.75" customHeight="1">
      <c r="A63" s="23">
        <v>46055.0</v>
      </c>
      <c r="B63" s="24" t="s">
        <v>384</v>
      </c>
      <c r="C63" s="25" t="s">
        <v>38</v>
      </c>
      <c r="D63" s="26" t="s">
        <v>190</v>
      </c>
      <c r="E63" s="27">
        <f t="shared" si="2"/>
        <v>46076</v>
      </c>
      <c r="F63" s="28">
        <v>46070.0</v>
      </c>
      <c r="G63" s="26" t="s">
        <v>39</v>
      </c>
      <c r="H63" s="26">
        <v>1.0</v>
      </c>
      <c r="I63" s="29"/>
      <c r="J63" s="30"/>
      <c r="K63" s="31" t="s">
        <v>33</v>
      </c>
      <c r="L63" s="32"/>
      <c r="M63" s="40" t="s">
        <v>385</v>
      </c>
      <c r="N63" s="34" t="s">
        <v>386</v>
      </c>
      <c r="O63" s="35" t="s">
        <v>387</v>
      </c>
      <c r="P63" s="36" t="s">
        <v>78</v>
      </c>
      <c r="Q63" s="36" t="s">
        <v>79</v>
      </c>
      <c r="R63" s="37"/>
      <c r="S63" s="24" t="s">
        <v>215</v>
      </c>
      <c r="T63" s="32"/>
      <c r="U63" s="32"/>
      <c r="V63" s="32"/>
      <c r="W63" s="32"/>
      <c r="X63" s="32"/>
      <c r="Y63" s="32"/>
      <c r="Z63" s="32"/>
      <c r="AA63" s="32"/>
      <c r="AB63" s="32"/>
      <c r="AC63" s="38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ht="15.75" customHeight="1">
      <c r="A64" s="23">
        <v>46055.0</v>
      </c>
      <c r="B64" s="66" t="s">
        <v>388</v>
      </c>
      <c r="C64" s="25" t="s">
        <v>38</v>
      </c>
      <c r="D64" s="26" t="s">
        <v>190</v>
      </c>
      <c r="E64" s="27">
        <f t="shared" si="2"/>
        <v>46076</v>
      </c>
      <c r="F64" s="28">
        <v>46070.0</v>
      </c>
      <c r="G64" s="26" t="s">
        <v>39</v>
      </c>
      <c r="H64" s="26">
        <v>1.0</v>
      </c>
      <c r="I64" s="29"/>
      <c r="J64" s="30"/>
      <c r="K64" s="31" t="s">
        <v>33</v>
      </c>
      <c r="L64" s="32"/>
      <c r="M64" s="40" t="s">
        <v>389</v>
      </c>
      <c r="N64" s="34" t="s">
        <v>390</v>
      </c>
      <c r="O64" s="35" t="s">
        <v>391</v>
      </c>
      <c r="P64" s="36" t="s">
        <v>229</v>
      </c>
      <c r="Q64" s="37"/>
      <c r="R64" s="37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8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ht="15.75" customHeight="1">
      <c r="A65" s="23">
        <v>46055.0</v>
      </c>
      <c r="B65" s="24" t="s">
        <v>392</v>
      </c>
      <c r="C65" s="25" t="s">
        <v>54</v>
      </c>
      <c r="D65" s="26" t="s">
        <v>190</v>
      </c>
      <c r="E65" s="27">
        <f t="shared" si="2"/>
        <v>46076</v>
      </c>
      <c r="F65" s="28">
        <v>46069.0</v>
      </c>
      <c r="G65" s="26" t="s">
        <v>39</v>
      </c>
      <c r="H65" s="26">
        <v>1.0</v>
      </c>
      <c r="I65" s="29"/>
      <c r="J65" s="30"/>
      <c r="K65" s="31" t="s">
        <v>33</v>
      </c>
      <c r="L65" s="41" t="s">
        <v>393</v>
      </c>
      <c r="M65" s="40" t="s">
        <v>394</v>
      </c>
      <c r="N65" s="34" t="s">
        <v>395</v>
      </c>
      <c r="O65" s="35" t="s">
        <v>396</v>
      </c>
      <c r="P65" s="36" t="s">
        <v>62</v>
      </c>
      <c r="Q65" s="36" t="s">
        <v>63</v>
      </c>
      <c r="R65" s="36" t="s">
        <v>64</v>
      </c>
      <c r="S65" s="24" t="s">
        <v>397</v>
      </c>
      <c r="T65" s="24" t="s">
        <v>155</v>
      </c>
      <c r="U65" s="24" t="s">
        <v>398</v>
      </c>
      <c r="V65" s="32"/>
      <c r="W65" s="32"/>
      <c r="X65" s="24" t="s">
        <v>333</v>
      </c>
      <c r="Y65" s="32"/>
      <c r="Z65" s="32"/>
      <c r="AA65" s="32"/>
      <c r="AB65" s="32"/>
      <c r="AC65" s="38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ht="15.0" customHeight="1">
      <c r="A66" s="23">
        <v>46055.0</v>
      </c>
      <c r="B66" s="24" t="s">
        <v>399</v>
      </c>
      <c r="C66" s="25" t="s">
        <v>30</v>
      </c>
      <c r="D66" s="26" t="s">
        <v>91</v>
      </c>
      <c r="E66" s="27">
        <f t="shared" si="2"/>
        <v>46076</v>
      </c>
      <c r="F66" s="28">
        <v>46065.0</v>
      </c>
      <c r="G66" s="26" t="s">
        <v>55</v>
      </c>
      <c r="H66" s="26">
        <v>1.0</v>
      </c>
      <c r="I66" s="29"/>
      <c r="J66" s="30"/>
      <c r="K66" s="31" t="s">
        <v>33</v>
      </c>
      <c r="L66" s="24" t="s">
        <v>400</v>
      </c>
      <c r="M66" s="40" t="s">
        <v>401</v>
      </c>
      <c r="N66" s="34" t="s">
        <v>402</v>
      </c>
      <c r="O66" s="35" t="s">
        <v>403</v>
      </c>
      <c r="P66" s="69" t="s">
        <v>250</v>
      </c>
      <c r="Q66" s="37"/>
      <c r="R66" s="37"/>
      <c r="S66" s="24" t="s">
        <v>404</v>
      </c>
      <c r="T66" s="32"/>
      <c r="U66" s="32"/>
      <c r="V66" s="32"/>
      <c r="W66" s="32"/>
      <c r="X66" s="24" t="s">
        <v>405</v>
      </c>
      <c r="Y66" s="43" t="s">
        <v>406</v>
      </c>
      <c r="Z66" s="32"/>
      <c r="AA66" s="32"/>
      <c r="AB66" s="32"/>
      <c r="AC66" s="38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ht="15.75" customHeight="1">
      <c r="A67" s="23">
        <v>46055.0</v>
      </c>
      <c r="B67" s="24" t="s">
        <v>407</v>
      </c>
      <c r="C67" s="25" t="s">
        <v>38</v>
      </c>
      <c r="D67" s="26" t="s">
        <v>91</v>
      </c>
      <c r="E67" s="27">
        <f t="shared" si="2"/>
        <v>46076</v>
      </c>
      <c r="F67" s="28">
        <v>46073.0</v>
      </c>
      <c r="G67" s="26" t="s">
        <v>39</v>
      </c>
      <c r="H67" s="26">
        <v>2.0</v>
      </c>
      <c r="I67" s="29"/>
      <c r="J67" s="30"/>
      <c r="K67" s="31" t="s">
        <v>33</v>
      </c>
      <c r="L67" s="70" t="s">
        <v>408</v>
      </c>
      <c r="M67" s="26" t="s">
        <v>409</v>
      </c>
      <c r="N67" s="34" t="s">
        <v>410</v>
      </c>
      <c r="O67" s="35" t="s">
        <v>411</v>
      </c>
      <c r="P67" s="36" t="s">
        <v>36</v>
      </c>
      <c r="Q67" s="37"/>
      <c r="R67" s="37"/>
      <c r="S67" s="32"/>
      <c r="T67" s="32"/>
      <c r="U67" s="32"/>
      <c r="V67" s="32"/>
      <c r="W67" s="32"/>
      <c r="X67" s="24" t="s">
        <v>412</v>
      </c>
      <c r="Y67" s="32"/>
      <c r="Z67" s="32"/>
      <c r="AA67" s="32"/>
      <c r="AB67" s="32"/>
      <c r="AC67" s="38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ht="15.75" customHeight="1">
      <c r="A68" s="23">
        <v>46051.0</v>
      </c>
      <c r="B68" s="24" t="s">
        <v>413</v>
      </c>
      <c r="C68" s="25" t="s">
        <v>38</v>
      </c>
      <c r="D68" s="26" t="s">
        <v>190</v>
      </c>
      <c r="E68" s="27">
        <f t="shared" si="2"/>
        <v>46072</v>
      </c>
      <c r="F68" s="28">
        <v>46070.0</v>
      </c>
      <c r="G68" s="26" t="s">
        <v>39</v>
      </c>
      <c r="H68" s="26">
        <v>1.0</v>
      </c>
      <c r="I68" s="29"/>
      <c r="J68" s="30"/>
      <c r="K68" s="31" t="s">
        <v>33</v>
      </c>
      <c r="L68" s="32"/>
      <c r="M68" s="40" t="s">
        <v>414</v>
      </c>
      <c r="N68" s="34" t="s">
        <v>415</v>
      </c>
      <c r="O68" s="35" t="s">
        <v>416</v>
      </c>
      <c r="P68" s="36" t="s">
        <v>281</v>
      </c>
      <c r="Q68" s="37"/>
      <c r="R68" s="37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8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ht="15.0" customHeight="1">
      <c r="A69" s="23">
        <v>46051.0</v>
      </c>
      <c r="B69" s="24" t="s">
        <v>417</v>
      </c>
      <c r="C69" s="25" t="s">
        <v>38</v>
      </c>
      <c r="D69" s="26" t="s">
        <v>190</v>
      </c>
      <c r="E69" s="27">
        <f t="shared" si="2"/>
        <v>46072</v>
      </c>
      <c r="F69" s="28">
        <v>46072.0</v>
      </c>
      <c r="G69" s="26" t="s">
        <v>39</v>
      </c>
      <c r="H69" s="26">
        <v>1.0</v>
      </c>
      <c r="I69" s="29"/>
      <c r="J69" s="30"/>
      <c r="K69" s="31" t="s">
        <v>157</v>
      </c>
      <c r="L69" s="47"/>
      <c r="M69" s="40" t="s">
        <v>418</v>
      </c>
      <c r="N69" s="34" t="s">
        <v>419</v>
      </c>
      <c r="O69" s="35" t="s">
        <v>420</v>
      </c>
      <c r="P69" s="36" t="s">
        <v>62</v>
      </c>
      <c r="Q69" s="36" t="s">
        <v>63</v>
      </c>
      <c r="R69" s="36" t="s">
        <v>64</v>
      </c>
      <c r="S69" s="32"/>
      <c r="T69" s="32"/>
      <c r="U69" s="32"/>
      <c r="V69" s="32"/>
      <c r="W69" s="32"/>
      <c r="X69" s="65" t="s">
        <v>421</v>
      </c>
      <c r="Y69" s="32"/>
      <c r="Z69" s="32"/>
      <c r="AA69" s="32"/>
      <c r="AB69" s="32"/>
      <c r="AC69" s="38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ht="15.75" customHeight="1">
      <c r="A70" s="23">
        <v>46051.0</v>
      </c>
      <c r="B70" s="24" t="s">
        <v>422</v>
      </c>
      <c r="C70" s="25" t="s">
        <v>54</v>
      </c>
      <c r="D70" s="26" t="s">
        <v>190</v>
      </c>
      <c r="E70" s="27">
        <f t="shared" si="2"/>
        <v>46072</v>
      </c>
      <c r="F70" s="28">
        <v>46070.0</v>
      </c>
      <c r="G70" s="26" t="s">
        <v>55</v>
      </c>
      <c r="H70" s="26">
        <v>1.0</v>
      </c>
      <c r="I70" s="29"/>
      <c r="J70" s="30"/>
      <c r="K70" s="31" t="s">
        <v>33</v>
      </c>
      <c r="L70" s="24" t="s">
        <v>423</v>
      </c>
      <c r="M70" s="40" t="s">
        <v>424</v>
      </c>
      <c r="N70" s="34" t="s">
        <v>425</v>
      </c>
      <c r="O70" s="35" t="s">
        <v>426</v>
      </c>
      <c r="P70" s="36" t="s">
        <v>47</v>
      </c>
      <c r="Q70" s="37"/>
      <c r="R70" s="37"/>
      <c r="S70" s="24" t="s">
        <v>427</v>
      </c>
      <c r="T70" s="24" t="s">
        <v>352</v>
      </c>
      <c r="U70" s="24" t="s">
        <v>428</v>
      </c>
      <c r="V70" s="32"/>
      <c r="W70" s="32"/>
      <c r="X70" s="24" t="s">
        <v>429</v>
      </c>
      <c r="Y70" s="24" t="s">
        <v>121</v>
      </c>
      <c r="Z70" s="32"/>
      <c r="AA70" s="32"/>
      <c r="AB70" s="32"/>
      <c r="AC70" s="38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ht="15.0" customHeight="1">
      <c r="A71" s="48">
        <v>46050.0</v>
      </c>
      <c r="B71" s="46" t="s">
        <v>430</v>
      </c>
      <c r="C71" s="29" t="s">
        <v>44</v>
      </c>
      <c r="D71" s="26" t="s">
        <v>211</v>
      </c>
      <c r="E71" s="27">
        <f t="shared" si="2"/>
        <v>46071</v>
      </c>
      <c r="F71" s="28">
        <v>46071.0</v>
      </c>
      <c r="G71" s="30" t="s">
        <v>32</v>
      </c>
      <c r="H71" s="30">
        <v>1.0</v>
      </c>
      <c r="I71" s="59"/>
      <c r="J71" s="50"/>
      <c r="K71" s="26" t="s">
        <v>157</v>
      </c>
      <c r="L71" s="54" t="s">
        <v>431</v>
      </c>
      <c r="M71" s="40" t="s">
        <v>432</v>
      </c>
      <c r="N71" s="71" t="s">
        <v>433</v>
      </c>
      <c r="O71" s="72" t="s">
        <v>434</v>
      </c>
      <c r="P71" s="61" t="s">
        <v>78</v>
      </c>
      <c r="Q71" s="35" t="s">
        <v>194</v>
      </c>
      <c r="R71" s="73"/>
      <c r="S71" s="74" t="s">
        <v>352</v>
      </c>
      <c r="T71" s="24" t="s">
        <v>149</v>
      </c>
      <c r="U71" s="54" t="s">
        <v>155</v>
      </c>
      <c r="V71" s="54" t="s">
        <v>150</v>
      </c>
      <c r="W71" s="54" t="s">
        <v>398</v>
      </c>
      <c r="X71" s="53"/>
      <c r="Y71" s="53"/>
      <c r="Z71" s="53"/>
      <c r="AA71" s="53"/>
      <c r="AB71" s="53"/>
      <c r="AC71" s="55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ht="15.75" customHeight="1">
      <c r="A72" s="23">
        <v>46050.0</v>
      </c>
      <c r="B72" s="46" t="s">
        <v>435</v>
      </c>
      <c r="C72" s="25" t="s">
        <v>44</v>
      </c>
      <c r="D72" s="26" t="s">
        <v>211</v>
      </c>
      <c r="E72" s="27">
        <f t="shared" si="2"/>
        <v>46071</v>
      </c>
      <c r="F72" s="28">
        <v>46071.0</v>
      </c>
      <c r="G72" s="26" t="s">
        <v>32</v>
      </c>
      <c r="H72" s="26">
        <v>2.0</v>
      </c>
      <c r="I72" s="29"/>
      <c r="J72" s="30"/>
      <c r="K72" s="31" t="s">
        <v>49</v>
      </c>
      <c r="L72" s="75" t="s">
        <v>436</v>
      </c>
      <c r="M72" s="40" t="s">
        <v>437</v>
      </c>
      <c r="N72" s="35" t="s">
        <v>438</v>
      </c>
      <c r="O72" s="35" t="s">
        <v>439</v>
      </c>
      <c r="P72" s="36" t="s">
        <v>78</v>
      </c>
      <c r="Q72" s="37"/>
      <c r="R72" s="37"/>
      <c r="S72" s="24" t="s">
        <v>149</v>
      </c>
      <c r="T72" s="24" t="s">
        <v>440</v>
      </c>
      <c r="U72" s="32"/>
      <c r="V72" s="32"/>
      <c r="W72" s="32"/>
      <c r="X72" s="24" t="s">
        <v>441</v>
      </c>
      <c r="Y72" s="24" t="s">
        <v>150</v>
      </c>
      <c r="Z72" s="32"/>
      <c r="AA72" s="32"/>
      <c r="AB72" s="32"/>
      <c r="AC72" s="38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ht="15.75" customHeight="1">
      <c r="A73" s="23">
        <v>46050.0</v>
      </c>
      <c r="B73" s="46" t="s">
        <v>442</v>
      </c>
      <c r="C73" s="25" t="s">
        <v>44</v>
      </c>
      <c r="D73" s="26" t="s">
        <v>110</v>
      </c>
      <c r="E73" s="27">
        <f t="shared" si="2"/>
        <v>46071</v>
      </c>
      <c r="F73" s="28"/>
      <c r="G73" s="26" t="s">
        <v>32</v>
      </c>
      <c r="H73" s="26">
        <v>1.0</v>
      </c>
      <c r="I73" s="29"/>
      <c r="J73" s="30"/>
      <c r="K73" s="31" t="s">
        <v>157</v>
      </c>
      <c r="L73" s="24"/>
      <c r="M73" s="40" t="s">
        <v>443</v>
      </c>
      <c r="N73" s="35" t="s">
        <v>444</v>
      </c>
      <c r="O73" s="35" t="s">
        <v>445</v>
      </c>
      <c r="P73" s="36" t="s">
        <v>78</v>
      </c>
      <c r="Q73" s="37"/>
      <c r="R73" s="37"/>
      <c r="S73" s="24" t="s">
        <v>446</v>
      </c>
      <c r="T73" s="32"/>
      <c r="U73" s="32"/>
      <c r="V73" s="32"/>
      <c r="W73" s="32"/>
      <c r="X73" s="32"/>
      <c r="Y73" s="32"/>
      <c r="Z73" s="32"/>
      <c r="AA73" s="32"/>
      <c r="AB73" s="32"/>
      <c r="AC73" s="38"/>
      <c r="AD73" s="11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ht="15.75" customHeight="1">
      <c r="A74" s="23">
        <v>46050.0</v>
      </c>
      <c r="B74" s="76" t="s">
        <v>447</v>
      </c>
      <c r="C74" s="25" t="s">
        <v>44</v>
      </c>
      <c r="D74" s="26" t="s">
        <v>85</v>
      </c>
      <c r="E74" s="27">
        <f t="shared" si="2"/>
        <v>46071</v>
      </c>
      <c r="F74" s="28">
        <v>46071.0</v>
      </c>
      <c r="G74" s="26" t="s">
        <v>32</v>
      </c>
      <c r="H74" s="26">
        <v>2.0</v>
      </c>
      <c r="I74" s="25"/>
      <c r="J74" s="26"/>
      <c r="K74" s="31" t="s">
        <v>49</v>
      </c>
      <c r="L74" s="24" t="s">
        <v>448</v>
      </c>
      <c r="M74" s="40" t="s">
        <v>437</v>
      </c>
      <c r="N74" s="35" t="s">
        <v>449</v>
      </c>
      <c r="O74" s="35" t="s">
        <v>445</v>
      </c>
      <c r="P74" s="36" t="s">
        <v>78</v>
      </c>
      <c r="Q74" s="37"/>
      <c r="R74" s="37"/>
      <c r="S74" s="24" t="s">
        <v>150</v>
      </c>
      <c r="T74" s="24" t="s">
        <v>446</v>
      </c>
      <c r="U74" s="32"/>
      <c r="V74" s="32"/>
      <c r="W74" s="32"/>
      <c r="X74" s="24" t="s">
        <v>450</v>
      </c>
      <c r="Y74" s="24" t="s">
        <v>451</v>
      </c>
      <c r="Z74" s="32"/>
      <c r="AA74" s="32"/>
      <c r="AB74" s="32"/>
      <c r="AC74" s="38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ht="15.75" customHeight="1">
      <c r="A75" s="23">
        <v>46050.0</v>
      </c>
      <c r="B75" s="46" t="s">
        <v>452</v>
      </c>
      <c r="C75" s="25" t="s">
        <v>44</v>
      </c>
      <c r="D75" s="26" t="s">
        <v>211</v>
      </c>
      <c r="E75" s="27">
        <f t="shared" si="2"/>
        <v>46071</v>
      </c>
      <c r="F75" s="28">
        <v>46071.0</v>
      </c>
      <c r="G75" s="26" t="s">
        <v>32</v>
      </c>
      <c r="H75" s="26">
        <v>3.0</v>
      </c>
      <c r="I75" s="29"/>
      <c r="J75" s="30"/>
      <c r="K75" s="31" t="s">
        <v>49</v>
      </c>
      <c r="L75" s="24" t="s">
        <v>453</v>
      </c>
      <c r="M75" s="40" t="s">
        <v>454</v>
      </c>
      <c r="N75" s="35" t="s">
        <v>438</v>
      </c>
      <c r="O75" s="35" t="s">
        <v>439</v>
      </c>
      <c r="P75" s="36" t="s">
        <v>78</v>
      </c>
      <c r="Q75" s="37"/>
      <c r="R75" s="37"/>
      <c r="S75" s="24" t="s">
        <v>149</v>
      </c>
      <c r="T75" s="24" t="s">
        <v>440</v>
      </c>
      <c r="U75" s="32"/>
      <c r="V75" s="32"/>
      <c r="W75" s="32"/>
      <c r="X75" s="24" t="s">
        <v>441</v>
      </c>
      <c r="Y75" s="24" t="s">
        <v>150</v>
      </c>
      <c r="Z75" s="32"/>
      <c r="AA75" s="32"/>
      <c r="AB75" s="32"/>
      <c r="AC75" s="38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1" t="s">
        <v>33</v>
      </c>
    </row>
    <row r="76" ht="15.75" customHeight="1">
      <c r="A76" s="23">
        <v>46050.0</v>
      </c>
      <c r="B76" s="46" t="s">
        <v>455</v>
      </c>
      <c r="C76" s="25" t="s">
        <v>44</v>
      </c>
      <c r="D76" s="26" t="s">
        <v>211</v>
      </c>
      <c r="E76" s="27">
        <f t="shared" si="2"/>
        <v>46071</v>
      </c>
      <c r="F76" s="28">
        <v>46059.0</v>
      </c>
      <c r="G76" s="26" t="s">
        <v>32</v>
      </c>
      <c r="H76" s="26">
        <v>1.0</v>
      </c>
      <c r="I76" s="29"/>
      <c r="J76" s="30"/>
      <c r="K76" s="31" t="s">
        <v>346</v>
      </c>
      <c r="L76" s="24" t="s">
        <v>456</v>
      </c>
      <c r="M76" s="40" t="s">
        <v>457</v>
      </c>
      <c r="N76" s="35" t="s">
        <v>458</v>
      </c>
      <c r="O76" s="35" t="s">
        <v>459</v>
      </c>
      <c r="P76" s="36" t="s">
        <v>78</v>
      </c>
      <c r="Q76" s="37"/>
      <c r="R76" s="37"/>
      <c r="S76" s="24" t="s">
        <v>460</v>
      </c>
      <c r="T76" s="24" t="s">
        <v>200</v>
      </c>
      <c r="U76" s="24" t="s">
        <v>149</v>
      </c>
      <c r="V76" s="24" t="s">
        <v>155</v>
      </c>
      <c r="W76" s="24" t="s">
        <v>461</v>
      </c>
      <c r="X76" s="32"/>
      <c r="Y76" s="32"/>
      <c r="Z76" s="32"/>
      <c r="AA76" s="32"/>
      <c r="AB76" s="32"/>
      <c r="AC76" s="38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1" t="s">
        <v>33</v>
      </c>
    </row>
    <row r="77" ht="15.75" customHeight="1">
      <c r="A77" s="23">
        <v>46050.0</v>
      </c>
      <c r="B77" s="66" t="s">
        <v>462</v>
      </c>
      <c r="C77" s="25" t="s">
        <v>38</v>
      </c>
      <c r="D77" s="26" t="s">
        <v>211</v>
      </c>
      <c r="E77" s="27">
        <f t="shared" si="2"/>
        <v>46071</v>
      </c>
      <c r="F77" s="28">
        <v>46065.0</v>
      </c>
      <c r="G77" s="26" t="s">
        <v>39</v>
      </c>
      <c r="H77" s="26">
        <v>2.0</v>
      </c>
      <c r="I77" s="29"/>
      <c r="J77" s="30"/>
      <c r="K77" s="31" t="s">
        <v>33</v>
      </c>
      <c r="L77" s="32"/>
      <c r="M77" s="26" t="s">
        <v>463</v>
      </c>
      <c r="N77" s="34" t="s">
        <v>464</v>
      </c>
      <c r="O77" s="35" t="s">
        <v>465</v>
      </c>
      <c r="P77" s="36" t="s">
        <v>47</v>
      </c>
      <c r="Q77" s="37"/>
      <c r="R77" s="37"/>
      <c r="S77" s="24" t="s">
        <v>200</v>
      </c>
      <c r="T77" s="32"/>
      <c r="U77" s="32"/>
      <c r="V77" s="32"/>
      <c r="W77" s="32"/>
      <c r="X77" s="24" t="s">
        <v>466</v>
      </c>
      <c r="Y77" s="32"/>
      <c r="Z77" s="32"/>
      <c r="AA77" s="32"/>
      <c r="AB77" s="32"/>
      <c r="AC77" s="38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ht="15.75" customHeight="1">
      <c r="A78" s="23">
        <v>46050.0</v>
      </c>
      <c r="B78" s="66" t="s">
        <v>467</v>
      </c>
      <c r="C78" s="25" t="s">
        <v>38</v>
      </c>
      <c r="D78" s="26" t="s">
        <v>211</v>
      </c>
      <c r="E78" s="27">
        <f t="shared" si="2"/>
        <v>46071</v>
      </c>
      <c r="F78" s="28">
        <v>46065.0</v>
      </c>
      <c r="G78" s="26" t="s">
        <v>39</v>
      </c>
      <c r="H78" s="26">
        <v>1.0</v>
      </c>
      <c r="I78" s="29"/>
      <c r="J78" s="30"/>
      <c r="K78" s="31" t="s">
        <v>33</v>
      </c>
      <c r="L78" s="24" t="s">
        <v>468</v>
      </c>
      <c r="M78" s="40" t="s">
        <v>469</v>
      </c>
      <c r="N78" s="35" t="s">
        <v>470</v>
      </c>
      <c r="O78" s="35" t="s">
        <v>471</v>
      </c>
      <c r="P78" s="36" t="s">
        <v>47</v>
      </c>
      <c r="Q78" s="37"/>
      <c r="R78" s="37"/>
      <c r="S78" s="24" t="s">
        <v>472</v>
      </c>
      <c r="T78" s="24" t="s">
        <v>338</v>
      </c>
      <c r="U78" s="32"/>
      <c r="V78" s="32"/>
      <c r="W78" s="32"/>
      <c r="X78" s="65" t="s">
        <v>473</v>
      </c>
      <c r="Y78" s="32"/>
      <c r="Z78" s="32"/>
      <c r="AA78" s="32"/>
      <c r="AB78" s="32"/>
      <c r="AC78" s="38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</row>
    <row r="79" ht="15.75" customHeight="1">
      <c r="A79" s="23">
        <v>46050.0</v>
      </c>
      <c r="B79" s="46" t="s">
        <v>474</v>
      </c>
      <c r="C79" s="25" t="s">
        <v>44</v>
      </c>
      <c r="D79" s="26" t="s">
        <v>85</v>
      </c>
      <c r="E79" s="27">
        <f t="shared" si="2"/>
        <v>46071</v>
      </c>
      <c r="F79" s="28"/>
      <c r="G79" s="26" t="s">
        <v>157</v>
      </c>
      <c r="H79" s="26">
        <v>2.0</v>
      </c>
      <c r="I79" s="29"/>
      <c r="J79" s="30"/>
      <c r="K79" s="31" t="s">
        <v>346</v>
      </c>
      <c r="L79" s="24" t="s">
        <v>475</v>
      </c>
      <c r="M79" s="40" t="s">
        <v>476</v>
      </c>
      <c r="N79" s="35" t="s">
        <v>477</v>
      </c>
      <c r="O79" s="35" t="s">
        <v>459</v>
      </c>
      <c r="P79" s="36" t="s">
        <v>78</v>
      </c>
      <c r="Q79" s="37"/>
      <c r="R79" s="37"/>
      <c r="S79" s="24"/>
      <c r="T79" s="24"/>
      <c r="U79" s="24"/>
      <c r="V79" s="24"/>
      <c r="W79" s="24"/>
      <c r="X79" s="24"/>
      <c r="Y79" s="24"/>
      <c r="Z79" s="32"/>
      <c r="AA79" s="32"/>
      <c r="AB79" s="32"/>
      <c r="AC79" s="38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</row>
    <row r="80" ht="15.75" customHeight="1">
      <c r="A80" s="23">
        <v>46050.0</v>
      </c>
      <c r="B80" s="46" t="s">
        <v>474</v>
      </c>
      <c r="C80" s="25" t="s">
        <v>44</v>
      </c>
      <c r="D80" s="26" t="s">
        <v>211</v>
      </c>
      <c r="E80" s="27">
        <f t="shared" si="2"/>
        <v>46071</v>
      </c>
      <c r="F80" s="28">
        <v>46053.0</v>
      </c>
      <c r="G80" s="26" t="s">
        <v>32</v>
      </c>
      <c r="H80" s="26">
        <v>2.0</v>
      </c>
      <c r="I80" s="29"/>
      <c r="J80" s="30"/>
      <c r="K80" s="31" t="s">
        <v>346</v>
      </c>
      <c r="L80" s="24" t="s">
        <v>478</v>
      </c>
      <c r="M80" s="40" t="s">
        <v>476</v>
      </c>
      <c r="N80" s="35" t="s">
        <v>477</v>
      </c>
      <c r="O80" s="35" t="s">
        <v>459</v>
      </c>
      <c r="P80" s="36" t="s">
        <v>78</v>
      </c>
      <c r="Q80" s="37"/>
      <c r="R80" s="37"/>
      <c r="S80" s="24" t="s">
        <v>200</v>
      </c>
      <c r="T80" s="24" t="s">
        <v>149</v>
      </c>
      <c r="U80" s="24" t="s">
        <v>155</v>
      </c>
      <c r="V80" s="24" t="s">
        <v>479</v>
      </c>
      <c r="W80" s="24" t="s">
        <v>480</v>
      </c>
      <c r="X80" s="24" t="s">
        <v>481</v>
      </c>
      <c r="Y80" s="24" t="s">
        <v>482</v>
      </c>
      <c r="Z80" s="32"/>
      <c r="AA80" s="32"/>
      <c r="AB80" s="32"/>
      <c r="AC80" s="38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ht="15.75" customHeight="1">
      <c r="A81" s="23">
        <v>46050.0</v>
      </c>
      <c r="B81" s="24" t="s">
        <v>483</v>
      </c>
      <c r="C81" s="25" t="s">
        <v>44</v>
      </c>
      <c r="D81" s="26" t="s">
        <v>190</v>
      </c>
      <c r="E81" s="27">
        <f t="shared" si="2"/>
        <v>46071</v>
      </c>
      <c r="F81" s="28">
        <v>46071.0</v>
      </c>
      <c r="G81" s="26" t="s">
        <v>32</v>
      </c>
      <c r="H81" s="26">
        <v>1.0</v>
      </c>
      <c r="I81" s="29"/>
      <c r="J81" s="30"/>
      <c r="K81" s="31" t="s">
        <v>33</v>
      </c>
      <c r="L81" s="24" t="s">
        <v>484</v>
      </c>
      <c r="M81" s="40" t="s">
        <v>485</v>
      </c>
      <c r="N81" s="35" t="s">
        <v>486</v>
      </c>
      <c r="O81" s="35" t="s">
        <v>487</v>
      </c>
      <c r="P81" s="36" t="s">
        <v>78</v>
      </c>
      <c r="Q81" s="36" t="s">
        <v>79</v>
      </c>
      <c r="R81" s="37"/>
      <c r="S81" s="24" t="s">
        <v>488</v>
      </c>
      <c r="T81" s="24" t="s">
        <v>327</v>
      </c>
      <c r="U81" s="24" t="s">
        <v>489</v>
      </c>
      <c r="V81" s="32"/>
      <c r="W81" s="32"/>
      <c r="X81" s="24" t="s">
        <v>490</v>
      </c>
      <c r="Y81" s="24" t="s">
        <v>491</v>
      </c>
      <c r="Z81" s="24" t="s">
        <v>492</v>
      </c>
      <c r="AA81" s="32"/>
      <c r="AB81" s="32"/>
      <c r="AC81" s="38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ht="15.75" customHeight="1">
      <c r="A82" s="23">
        <v>46049.0</v>
      </c>
      <c r="B82" s="66" t="s">
        <v>493</v>
      </c>
      <c r="C82" s="25" t="s">
        <v>59</v>
      </c>
      <c r="D82" s="26" t="s">
        <v>190</v>
      </c>
      <c r="E82" s="27">
        <f t="shared" si="2"/>
        <v>46070</v>
      </c>
      <c r="F82" s="28">
        <v>46069.0</v>
      </c>
      <c r="G82" s="26" t="s">
        <v>55</v>
      </c>
      <c r="H82" s="26">
        <v>1.0</v>
      </c>
      <c r="I82" s="29"/>
      <c r="J82" s="30"/>
      <c r="K82" s="31" t="s">
        <v>33</v>
      </c>
      <c r="L82" s="24" t="s">
        <v>494</v>
      </c>
      <c r="M82" s="40" t="s">
        <v>495</v>
      </c>
      <c r="N82" s="34" t="s">
        <v>496</v>
      </c>
      <c r="O82" s="35" t="s">
        <v>497</v>
      </c>
      <c r="P82" s="36" t="s">
        <v>62</v>
      </c>
      <c r="Q82" s="36" t="s">
        <v>63</v>
      </c>
      <c r="R82" s="36" t="s">
        <v>64</v>
      </c>
      <c r="S82" s="32"/>
      <c r="T82" s="32"/>
      <c r="U82" s="32"/>
      <c r="V82" s="32"/>
      <c r="W82" s="32"/>
      <c r="X82" s="24" t="s">
        <v>498</v>
      </c>
      <c r="Y82" s="32"/>
      <c r="Z82" s="32"/>
      <c r="AA82" s="32"/>
      <c r="AB82" s="32"/>
      <c r="AC82" s="38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ht="15.75" customHeight="1">
      <c r="A83" s="23">
        <v>46049.0</v>
      </c>
      <c r="B83" s="66" t="s">
        <v>499</v>
      </c>
      <c r="C83" s="25" t="s">
        <v>210</v>
      </c>
      <c r="D83" s="26" t="s">
        <v>211</v>
      </c>
      <c r="E83" s="27">
        <f t="shared" si="2"/>
        <v>46070</v>
      </c>
      <c r="F83" s="28">
        <v>46069.0</v>
      </c>
      <c r="G83" s="26" t="s">
        <v>55</v>
      </c>
      <c r="H83" s="26">
        <v>1.0</v>
      </c>
      <c r="I83" s="29"/>
      <c r="J83" s="30"/>
      <c r="K83" s="31" t="s">
        <v>33</v>
      </c>
      <c r="L83" s="32"/>
      <c r="M83" s="40" t="s">
        <v>500</v>
      </c>
      <c r="N83" s="34" t="s">
        <v>501</v>
      </c>
      <c r="O83" s="35" t="s">
        <v>502</v>
      </c>
      <c r="P83" s="36" t="s">
        <v>62</v>
      </c>
      <c r="Q83" s="36" t="s">
        <v>63</v>
      </c>
      <c r="R83" s="36" t="s">
        <v>64</v>
      </c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8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ht="15.75" customHeight="1">
      <c r="A84" s="23">
        <v>46048.0</v>
      </c>
      <c r="B84" s="46" t="s">
        <v>503</v>
      </c>
      <c r="C84" s="25" t="s">
        <v>44</v>
      </c>
      <c r="D84" s="26" t="s">
        <v>110</v>
      </c>
      <c r="E84" s="27">
        <f t="shared" si="2"/>
        <v>46069</v>
      </c>
      <c r="F84" s="28"/>
      <c r="G84" s="26" t="s">
        <v>32</v>
      </c>
      <c r="H84" s="26">
        <v>2.0</v>
      </c>
      <c r="I84" s="29"/>
      <c r="J84" s="30"/>
      <c r="K84" s="31" t="s">
        <v>49</v>
      </c>
      <c r="L84" s="77" t="s">
        <v>504</v>
      </c>
      <c r="M84" s="40" t="s">
        <v>505</v>
      </c>
      <c r="N84" s="35" t="s">
        <v>506</v>
      </c>
      <c r="O84" s="35" t="s">
        <v>507</v>
      </c>
      <c r="P84" s="36" t="s">
        <v>62</v>
      </c>
      <c r="Q84" s="36" t="s">
        <v>63</v>
      </c>
      <c r="R84" s="36" t="s">
        <v>64</v>
      </c>
      <c r="S84" s="24" t="s">
        <v>200</v>
      </c>
      <c r="T84" s="24" t="s">
        <v>195</v>
      </c>
      <c r="U84" s="32"/>
      <c r="V84" s="32"/>
      <c r="W84" s="32"/>
      <c r="X84" s="24" t="s">
        <v>508</v>
      </c>
      <c r="Y84" s="32"/>
      <c r="Z84" s="32"/>
      <c r="AA84" s="32"/>
      <c r="AB84" s="32"/>
      <c r="AC84" s="38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ht="15.75" customHeight="1">
      <c r="A85" s="23">
        <v>46048.0</v>
      </c>
      <c r="B85" s="24" t="s">
        <v>509</v>
      </c>
      <c r="C85" s="25" t="s">
        <v>44</v>
      </c>
      <c r="D85" s="26" t="s">
        <v>211</v>
      </c>
      <c r="E85" s="27">
        <f>A85+7</f>
        <v>46055</v>
      </c>
      <c r="F85" s="28">
        <v>46062.0</v>
      </c>
      <c r="G85" s="26" t="s">
        <v>32</v>
      </c>
      <c r="H85" s="26">
        <v>1.0</v>
      </c>
      <c r="I85" s="29"/>
      <c r="J85" s="30"/>
      <c r="K85" s="31" t="s">
        <v>33</v>
      </c>
      <c r="L85" s="24" t="s">
        <v>510</v>
      </c>
      <c r="M85" s="40" t="s">
        <v>511</v>
      </c>
      <c r="N85" s="34" t="s">
        <v>512</v>
      </c>
      <c r="O85" s="35" t="s">
        <v>513</v>
      </c>
      <c r="P85" s="36" t="s">
        <v>62</v>
      </c>
      <c r="Q85" s="37"/>
      <c r="R85" s="37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8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ht="15.75" customHeight="1">
      <c r="A86" s="23">
        <v>46048.0</v>
      </c>
      <c r="B86" s="66" t="s">
        <v>514</v>
      </c>
      <c r="C86" s="25" t="s">
        <v>38</v>
      </c>
      <c r="D86" s="26" t="s">
        <v>211</v>
      </c>
      <c r="E86" s="27">
        <f>A86+21</f>
        <v>46069</v>
      </c>
      <c r="F86" s="28">
        <v>46063.0</v>
      </c>
      <c r="G86" s="26" t="s">
        <v>39</v>
      </c>
      <c r="H86" s="26">
        <v>2.0</v>
      </c>
      <c r="I86" s="29"/>
      <c r="J86" s="30"/>
      <c r="K86" s="31" t="s">
        <v>33</v>
      </c>
      <c r="L86" s="41" t="s">
        <v>515</v>
      </c>
      <c r="M86" s="26" t="s">
        <v>516</v>
      </c>
      <c r="N86" s="34" t="s">
        <v>517</v>
      </c>
      <c r="O86" s="35" t="s">
        <v>518</v>
      </c>
      <c r="P86" s="36" t="s">
        <v>229</v>
      </c>
      <c r="Q86" s="37"/>
      <c r="R86" s="37"/>
      <c r="S86" s="24" t="s">
        <v>519</v>
      </c>
      <c r="T86" s="24" t="s">
        <v>150</v>
      </c>
      <c r="U86" s="32"/>
      <c r="V86" s="32"/>
      <c r="W86" s="32"/>
      <c r="X86" s="32"/>
      <c r="Y86" s="32"/>
      <c r="Z86" s="32"/>
      <c r="AA86" s="32"/>
      <c r="AB86" s="32"/>
      <c r="AC86" s="38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ht="15.75" customHeight="1">
      <c r="A87" s="23">
        <v>46048.0</v>
      </c>
      <c r="B87" s="44" t="s">
        <v>520</v>
      </c>
      <c r="C87" s="25" t="s">
        <v>38</v>
      </c>
      <c r="D87" s="26" t="s">
        <v>190</v>
      </c>
      <c r="E87" s="27">
        <f t="shared" ref="E87:E88" si="3">A87+14</f>
        <v>46062</v>
      </c>
      <c r="F87" s="28"/>
      <c r="G87" s="26" t="s">
        <v>246</v>
      </c>
      <c r="H87" s="26">
        <v>1.0</v>
      </c>
      <c r="I87" s="29"/>
      <c r="J87" s="30"/>
      <c r="K87" s="31" t="s">
        <v>49</v>
      </c>
      <c r="L87" s="78"/>
      <c r="M87" s="40" t="s">
        <v>521</v>
      </c>
      <c r="N87" s="34" t="s">
        <v>522</v>
      </c>
      <c r="O87" s="35" t="s">
        <v>523</v>
      </c>
      <c r="P87" s="36" t="s">
        <v>524</v>
      </c>
      <c r="Q87" s="37"/>
      <c r="R87" s="37"/>
      <c r="S87" s="24"/>
      <c r="T87" s="32"/>
      <c r="U87" s="32"/>
      <c r="V87" s="32"/>
      <c r="W87" s="32"/>
      <c r="X87" s="24"/>
      <c r="Y87" s="24"/>
      <c r="Z87" s="24"/>
      <c r="AA87" s="32"/>
      <c r="AB87" s="32"/>
      <c r="AC87" s="38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</row>
    <row r="88" ht="15.75" customHeight="1">
      <c r="A88" s="23">
        <v>46048.0</v>
      </c>
      <c r="B88" s="24" t="s">
        <v>520</v>
      </c>
      <c r="C88" s="25" t="s">
        <v>38</v>
      </c>
      <c r="D88" s="26" t="s">
        <v>211</v>
      </c>
      <c r="E88" s="27">
        <f t="shared" si="3"/>
        <v>46062</v>
      </c>
      <c r="F88" s="28">
        <v>46076.0</v>
      </c>
      <c r="G88" s="26" t="s">
        <v>39</v>
      </c>
      <c r="H88" s="26">
        <v>1.0</v>
      </c>
      <c r="I88" s="29"/>
      <c r="J88" s="30"/>
      <c r="K88" s="31" t="s">
        <v>49</v>
      </c>
      <c r="L88" s="47" t="s">
        <v>525</v>
      </c>
      <c r="M88" s="40" t="s">
        <v>521</v>
      </c>
      <c r="N88" s="34" t="s">
        <v>522</v>
      </c>
      <c r="O88" s="35" t="s">
        <v>523</v>
      </c>
      <c r="P88" s="36" t="s">
        <v>524</v>
      </c>
      <c r="Q88" s="37"/>
      <c r="R88" s="37"/>
      <c r="S88" s="24" t="s">
        <v>526</v>
      </c>
      <c r="T88" s="32"/>
      <c r="U88" s="32"/>
      <c r="V88" s="32"/>
      <c r="W88" s="32"/>
      <c r="X88" s="24" t="s">
        <v>527</v>
      </c>
      <c r="Y88" s="24" t="s">
        <v>370</v>
      </c>
      <c r="Z88" s="24" t="s">
        <v>528</v>
      </c>
      <c r="AA88" s="32"/>
      <c r="AB88" s="32"/>
      <c r="AC88" s="38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ht="15.75" customHeight="1">
      <c r="A89" s="23">
        <v>46044.0</v>
      </c>
      <c r="B89" s="24" t="s">
        <v>529</v>
      </c>
      <c r="C89" s="25" t="s">
        <v>44</v>
      </c>
      <c r="D89" s="26" t="s">
        <v>211</v>
      </c>
      <c r="E89" s="27">
        <f t="shared" ref="E89:E95" si="4">A89+21</f>
        <v>46065</v>
      </c>
      <c r="F89" s="28">
        <v>46049.0</v>
      </c>
      <c r="G89" s="26" t="s">
        <v>32</v>
      </c>
      <c r="H89" s="26">
        <v>1.0</v>
      </c>
      <c r="I89" s="29"/>
      <c r="J89" s="30"/>
      <c r="K89" s="31" t="s">
        <v>33</v>
      </c>
      <c r="L89" s="47" t="s">
        <v>530</v>
      </c>
      <c r="M89" s="26" t="s">
        <v>531</v>
      </c>
      <c r="N89" s="34" t="s">
        <v>532</v>
      </c>
      <c r="O89" s="35" t="s">
        <v>533</v>
      </c>
      <c r="P89" s="36" t="s">
        <v>78</v>
      </c>
      <c r="Q89" s="36" t="s">
        <v>79</v>
      </c>
      <c r="R89" s="79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8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 ht="15.75" customHeight="1">
      <c r="A90" s="23">
        <v>46044.0</v>
      </c>
      <c r="B90" s="24" t="s">
        <v>534</v>
      </c>
      <c r="C90" s="25" t="s">
        <v>59</v>
      </c>
      <c r="D90" s="26" t="s">
        <v>211</v>
      </c>
      <c r="E90" s="27">
        <f t="shared" si="4"/>
        <v>46065</v>
      </c>
      <c r="F90" s="28">
        <v>46072.0</v>
      </c>
      <c r="G90" s="26" t="s">
        <v>55</v>
      </c>
      <c r="H90" s="26">
        <v>1.0</v>
      </c>
      <c r="I90" s="29"/>
      <c r="J90" s="30"/>
      <c r="K90" s="31" t="s">
        <v>157</v>
      </c>
      <c r="L90" s="32"/>
      <c r="M90" s="40" t="s">
        <v>535</v>
      </c>
      <c r="N90" s="34" t="s">
        <v>536</v>
      </c>
      <c r="O90" s="35" t="s">
        <v>537</v>
      </c>
      <c r="P90" s="36" t="s">
        <v>62</v>
      </c>
      <c r="Q90" s="36" t="s">
        <v>538</v>
      </c>
      <c r="R90" s="36" t="s">
        <v>64</v>
      </c>
      <c r="S90" s="24" t="s">
        <v>358</v>
      </c>
      <c r="T90" s="32"/>
      <c r="U90" s="32"/>
      <c r="V90" s="32"/>
      <c r="W90" s="32"/>
      <c r="X90" s="43" t="s">
        <v>539</v>
      </c>
      <c r="Y90" s="32"/>
      <c r="Z90" s="32"/>
      <c r="AA90" s="32"/>
      <c r="AB90" s="32"/>
      <c r="AC90" s="38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 ht="15.75" customHeight="1">
      <c r="A91" s="23">
        <v>46044.0</v>
      </c>
      <c r="B91" s="66" t="s">
        <v>540</v>
      </c>
      <c r="C91" s="25" t="s">
        <v>54</v>
      </c>
      <c r="D91" s="26" t="s">
        <v>211</v>
      </c>
      <c r="E91" s="27">
        <f t="shared" si="4"/>
        <v>46065</v>
      </c>
      <c r="F91" s="28">
        <v>46064.0</v>
      </c>
      <c r="G91" s="26" t="s">
        <v>55</v>
      </c>
      <c r="H91" s="26">
        <v>1.0</v>
      </c>
      <c r="I91" s="29"/>
      <c r="J91" s="30"/>
      <c r="K91" s="31" t="s">
        <v>33</v>
      </c>
      <c r="L91" s="41" t="s">
        <v>541</v>
      </c>
      <c r="M91" s="40" t="s">
        <v>542</v>
      </c>
      <c r="N91" s="34" t="s">
        <v>543</v>
      </c>
      <c r="O91" s="35" t="s">
        <v>544</v>
      </c>
      <c r="P91" s="36" t="s">
        <v>166</v>
      </c>
      <c r="Q91" s="37"/>
      <c r="R91" s="36" t="s">
        <v>545</v>
      </c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8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</row>
    <row r="92" ht="15.75" customHeight="1">
      <c r="A92" s="23">
        <v>46043.0</v>
      </c>
      <c r="B92" s="66" t="s">
        <v>546</v>
      </c>
      <c r="C92" s="25" t="s">
        <v>210</v>
      </c>
      <c r="D92" s="26" t="s">
        <v>211</v>
      </c>
      <c r="E92" s="27">
        <f t="shared" si="4"/>
        <v>46064</v>
      </c>
      <c r="F92" s="28">
        <v>46062.0</v>
      </c>
      <c r="G92" s="26" t="s">
        <v>55</v>
      </c>
      <c r="H92" s="26">
        <v>1.0</v>
      </c>
      <c r="I92" s="29"/>
      <c r="J92" s="30"/>
      <c r="K92" s="31" t="s">
        <v>157</v>
      </c>
      <c r="L92" s="32"/>
      <c r="M92" s="40" t="s">
        <v>547</v>
      </c>
      <c r="N92" s="34" t="s">
        <v>548</v>
      </c>
      <c r="O92" s="35" t="s">
        <v>549</v>
      </c>
      <c r="P92" s="36" t="s">
        <v>47</v>
      </c>
      <c r="Q92" s="37"/>
      <c r="R92" s="37"/>
      <c r="S92" s="24" t="s">
        <v>344</v>
      </c>
      <c r="T92" s="32"/>
      <c r="U92" s="32"/>
      <c r="V92" s="32"/>
      <c r="W92" s="32"/>
      <c r="X92" s="24" t="s">
        <v>550</v>
      </c>
      <c r="Y92" s="32"/>
      <c r="Z92" s="32"/>
      <c r="AA92" s="32"/>
      <c r="AB92" s="32"/>
      <c r="AC92" s="38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 ht="15.75" customHeight="1">
      <c r="A93" s="23">
        <v>46042.0</v>
      </c>
      <c r="B93" s="24" t="s">
        <v>551</v>
      </c>
      <c r="C93" s="25" t="s">
        <v>44</v>
      </c>
      <c r="D93" s="26" t="s">
        <v>190</v>
      </c>
      <c r="E93" s="27">
        <f t="shared" si="4"/>
        <v>46063</v>
      </c>
      <c r="F93" s="28">
        <v>46063.0</v>
      </c>
      <c r="G93" s="26" t="s">
        <v>32</v>
      </c>
      <c r="H93" s="26">
        <v>1.0</v>
      </c>
      <c r="I93" s="29"/>
      <c r="J93" s="30"/>
      <c r="K93" s="31" t="s">
        <v>49</v>
      </c>
      <c r="L93" s="47" t="s">
        <v>298</v>
      </c>
      <c r="M93" s="40" t="s">
        <v>552</v>
      </c>
      <c r="N93" s="35" t="s">
        <v>553</v>
      </c>
      <c r="O93" s="35" t="s">
        <v>554</v>
      </c>
      <c r="P93" s="36" t="s">
        <v>36</v>
      </c>
      <c r="Q93" s="37"/>
      <c r="R93" s="37"/>
      <c r="S93" s="24" t="s">
        <v>555</v>
      </c>
      <c r="T93" s="32"/>
      <c r="U93" s="32"/>
      <c r="V93" s="32"/>
      <c r="W93" s="32"/>
      <c r="X93" s="24" t="s">
        <v>556</v>
      </c>
      <c r="Y93" s="24" t="s">
        <v>97</v>
      </c>
      <c r="Z93" s="32"/>
      <c r="AA93" s="32"/>
      <c r="AB93" s="32"/>
      <c r="AC93" s="38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</row>
    <row r="94" ht="15.75" customHeight="1">
      <c r="A94" s="23">
        <v>46041.0</v>
      </c>
      <c r="B94" s="24" t="s">
        <v>557</v>
      </c>
      <c r="C94" s="25" t="s">
        <v>30</v>
      </c>
      <c r="D94" s="26" t="s">
        <v>190</v>
      </c>
      <c r="E94" s="27">
        <f t="shared" si="4"/>
        <v>46062</v>
      </c>
      <c r="F94" s="28">
        <v>46051.0</v>
      </c>
      <c r="G94" s="26" t="s">
        <v>32</v>
      </c>
      <c r="H94" s="26">
        <v>1.0</v>
      </c>
      <c r="I94" s="29"/>
      <c r="J94" s="30"/>
      <c r="K94" s="31" t="s">
        <v>157</v>
      </c>
      <c r="L94" s="78" t="s">
        <v>558</v>
      </c>
      <c r="M94" s="40" t="s">
        <v>559</v>
      </c>
      <c r="N94" s="34" t="s">
        <v>560</v>
      </c>
      <c r="O94" s="35" t="s">
        <v>561</v>
      </c>
      <c r="P94" s="36" t="s">
        <v>166</v>
      </c>
      <c r="Q94" s="36" t="s">
        <v>166</v>
      </c>
      <c r="R94" s="36" t="s">
        <v>545</v>
      </c>
      <c r="S94" s="24" t="s">
        <v>215</v>
      </c>
      <c r="T94" s="32"/>
      <c r="U94" s="32"/>
      <c r="V94" s="32"/>
      <c r="W94" s="32"/>
      <c r="X94" s="24" t="s">
        <v>167</v>
      </c>
      <c r="Y94" s="32"/>
      <c r="Z94" s="32"/>
      <c r="AA94" s="32"/>
      <c r="AB94" s="32"/>
      <c r="AC94" s="38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</row>
    <row r="95" ht="15.75" customHeight="1">
      <c r="A95" s="23">
        <v>46041.0</v>
      </c>
      <c r="B95" s="66" t="s">
        <v>562</v>
      </c>
      <c r="C95" s="25" t="s">
        <v>38</v>
      </c>
      <c r="D95" s="26" t="s">
        <v>211</v>
      </c>
      <c r="E95" s="27">
        <f t="shared" si="4"/>
        <v>46062</v>
      </c>
      <c r="F95" s="28">
        <v>46051.0</v>
      </c>
      <c r="G95" s="26" t="s">
        <v>39</v>
      </c>
      <c r="H95" s="26">
        <v>1.0</v>
      </c>
      <c r="I95" s="29"/>
      <c r="J95" s="30"/>
      <c r="K95" s="31" t="s">
        <v>33</v>
      </c>
      <c r="L95" s="32"/>
      <c r="M95" s="40" t="s">
        <v>563</v>
      </c>
      <c r="N95" s="34" t="s">
        <v>564</v>
      </c>
      <c r="O95" s="35" t="s">
        <v>565</v>
      </c>
      <c r="P95" s="36" t="s">
        <v>47</v>
      </c>
      <c r="Q95" s="37"/>
      <c r="R95" s="37"/>
      <c r="S95" s="24" t="s">
        <v>154</v>
      </c>
      <c r="T95" s="32"/>
      <c r="U95" s="32"/>
      <c r="V95" s="32"/>
      <c r="W95" s="32"/>
      <c r="X95" s="32"/>
      <c r="Y95" s="32"/>
      <c r="Z95" s="32"/>
      <c r="AA95" s="32"/>
      <c r="AB95" s="32"/>
      <c r="AC95" s="38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 ht="15.75" customHeight="1">
      <c r="A96" s="23">
        <v>46037.0</v>
      </c>
      <c r="B96" s="24" t="s">
        <v>566</v>
      </c>
      <c r="C96" s="25" t="s">
        <v>44</v>
      </c>
      <c r="D96" s="26" t="s">
        <v>211</v>
      </c>
      <c r="E96" s="67">
        <v>46055.0</v>
      </c>
      <c r="F96" s="28">
        <v>46049.0</v>
      </c>
      <c r="G96" s="26" t="s">
        <v>32</v>
      </c>
      <c r="H96" s="26">
        <v>1.0</v>
      </c>
      <c r="I96" s="29"/>
      <c r="J96" s="30"/>
      <c r="K96" s="31" t="s">
        <v>33</v>
      </c>
      <c r="L96" s="47" t="s">
        <v>567</v>
      </c>
      <c r="M96" s="40" t="s">
        <v>568</v>
      </c>
      <c r="N96" s="34" t="s">
        <v>569</v>
      </c>
      <c r="O96" s="35" t="s">
        <v>570</v>
      </c>
      <c r="P96" s="36" t="s">
        <v>62</v>
      </c>
      <c r="Q96" s="36" t="s">
        <v>63</v>
      </c>
      <c r="R96" s="36" t="s">
        <v>64</v>
      </c>
      <c r="S96" s="24" t="s">
        <v>155</v>
      </c>
      <c r="T96" s="32"/>
      <c r="U96" s="32"/>
      <c r="V96" s="32"/>
      <c r="W96" s="32"/>
      <c r="X96" s="32"/>
      <c r="Y96" s="32"/>
      <c r="Z96" s="32"/>
      <c r="AA96" s="32"/>
      <c r="AB96" s="32"/>
      <c r="AC96" s="38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</row>
    <row r="97" ht="15.75" customHeight="1">
      <c r="A97" s="23">
        <v>46036.0</v>
      </c>
      <c r="B97" s="46" t="s">
        <v>571</v>
      </c>
      <c r="C97" s="25" t="s">
        <v>175</v>
      </c>
      <c r="D97" s="26" t="s">
        <v>190</v>
      </c>
      <c r="E97" s="27">
        <f t="shared" ref="E97:E105" si="5">A97+21</f>
        <v>46057</v>
      </c>
      <c r="F97" s="28">
        <v>46055.0</v>
      </c>
      <c r="G97" s="26" t="s">
        <v>32</v>
      </c>
      <c r="H97" s="26">
        <v>1.0</v>
      </c>
      <c r="I97" s="29"/>
      <c r="J97" s="30"/>
      <c r="K97" s="31" t="s">
        <v>33</v>
      </c>
      <c r="L97" s="24" t="s">
        <v>572</v>
      </c>
      <c r="M97" s="40" t="s">
        <v>573</v>
      </c>
      <c r="N97" s="34" t="s">
        <v>574</v>
      </c>
      <c r="O97" s="35" t="s">
        <v>575</v>
      </c>
      <c r="P97" s="36" t="s">
        <v>47</v>
      </c>
      <c r="Q97" s="37"/>
      <c r="R97" s="37"/>
      <c r="S97" s="24" t="s">
        <v>351</v>
      </c>
      <c r="T97" s="24" t="s">
        <v>154</v>
      </c>
      <c r="U97" s="24" t="s">
        <v>576</v>
      </c>
      <c r="V97" s="32"/>
      <c r="W97" s="32"/>
      <c r="X97" s="32"/>
      <c r="Y97" s="32"/>
      <c r="Z97" s="32"/>
      <c r="AA97" s="32"/>
      <c r="AB97" s="32"/>
      <c r="AC97" s="38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ht="15.0" customHeight="1">
      <c r="A98" s="23">
        <v>46036.0</v>
      </c>
      <c r="B98" s="24" t="s">
        <v>577</v>
      </c>
      <c r="C98" s="25" t="s">
        <v>30</v>
      </c>
      <c r="D98" s="26" t="s">
        <v>190</v>
      </c>
      <c r="E98" s="27">
        <f t="shared" si="5"/>
        <v>46057</v>
      </c>
      <c r="F98" s="28">
        <v>46043.0</v>
      </c>
      <c r="G98" s="26" t="s">
        <v>32</v>
      </c>
      <c r="H98" s="26">
        <v>1.0</v>
      </c>
      <c r="I98" s="29"/>
      <c r="J98" s="30"/>
      <c r="K98" s="31" t="s">
        <v>157</v>
      </c>
      <c r="L98" s="47" t="s">
        <v>578</v>
      </c>
      <c r="M98" s="40" t="s">
        <v>579</v>
      </c>
      <c r="N98" s="34" t="s">
        <v>580</v>
      </c>
      <c r="O98" s="35" t="s">
        <v>581</v>
      </c>
      <c r="P98" s="36" t="s">
        <v>166</v>
      </c>
      <c r="Q98" s="36" t="s">
        <v>582</v>
      </c>
      <c r="R98" s="36" t="s">
        <v>583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8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</row>
    <row r="99" ht="15.75" customHeight="1">
      <c r="A99" s="23">
        <v>46036.0</v>
      </c>
      <c r="B99" s="66" t="s">
        <v>584</v>
      </c>
      <c r="C99" s="25" t="s">
        <v>30</v>
      </c>
      <c r="D99" s="26" t="s">
        <v>190</v>
      </c>
      <c r="E99" s="27">
        <f t="shared" si="5"/>
        <v>46057</v>
      </c>
      <c r="F99" s="28">
        <v>46049.0</v>
      </c>
      <c r="G99" s="26" t="s">
        <v>55</v>
      </c>
      <c r="H99" s="26">
        <v>1.0</v>
      </c>
      <c r="I99" s="29"/>
      <c r="J99" s="30"/>
      <c r="K99" s="31" t="s">
        <v>33</v>
      </c>
      <c r="L99" s="32"/>
      <c r="M99" s="40" t="s">
        <v>585</v>
      </c>
      <c r="N99" s="35" t="s">
        <v>586</v>
      </c>
      <c r="O99" s="35" t="s">
        <v>587</v>
      </c>
      <c r="P99" s="36" t="s">
        <v>275</v>
      </c>
      <c r="Q99" s="36" t="s">
        <v>588</v>
      </c>
      <c r="R99" s="36" t="s">
        <v>589</v>
      </c>
      <c r="S99" s="24" t="s">
        <v>590</v>
      </c>
      <c r="T99" s="24" t="s">
        <v>150</v>
      </c>
      <c r="U99" s="32"/>
      <c r="V99" s="32"/>
      <c r="W99" s="32"/>
      <c r="X99" s="24" t="s">
        <v>591</v>
      </c>
      <c r="Y99" s="32"/>
      <c r="Z99" s="32"/>
      <c r="AA99" s="32"/>
      <c r="AB99" s="32"/>
      <c r="AC99" s="38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</row>
    <row r="100" ht="15.75" customHeight="1">
      <c r="A100" s="23">
        <v>46036.0</v>
      </c>
      <c r="B100" s="66" t="s">
        <v>592</v>
      </c>
      <c r="C100" s="25" t="s">
        <v>30</v>
      </c>
      <c r="D100" s="26" t="s">
        <v>190</v>
      </c>
      <c r="E100" s="27">
        <f t="shared" si="5"/>
        <v>46057</v>
      </c>
      <c r="F100" s="28">
        <v>46049.0</v>
      </c>
      <c r="G100" s="26" t="s">
        <v>55</v>
      </c>
      <c r="H100" s="26">
        <v>2.0</v>
      </c>
      <c r="I100" s="29"/>
      <c r="J100" s="30"/>
      <c r="K100" s="31" t="s">
        <v>33</v>
      </c>
      <c r="L100" s="32"/>
      <c r="M100" s="40" t="s">
        <v>593</v>
      </c>
      <c r="N100" s="35" t="s">
        <v>586</v>
      </c>
      <c r="O100" s="35" t="s">
        <v>594</v>
      </c>
      <c r="P100" s="36" t="s">
        <v>275</v>
      </c>
      <c r="Q100" s="36" t="s">
        <v>588</v>
      </c>
      <c r="R100" s="36" t="s">
        <v>589</v>
      </c>
      <c r="S100" s="32"/>
      <c r="T100" s="32"/>
      <c r="U100" s="32"/>
      <c r="V100" s="32"/>
      <c r="W100" s="32"/>
      <c r="X100" s="24" t="s">
        <v>595</v>
      </c>
      <c r="Y100" s="24" t="s">
        <v>596</v>
      </c>
      <c r="Z100" s="32"/>
      <c r="AA100" s="32"/>
      <c r="AB100" s="32"/>
      <c r="AC100" s="38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</row>
    <row r="101" ht="15.75" customHeight="1">
      <c r="A101" s="23">
        <v>46036.0</v>
      </c>
      <c r="B101" s="24" t="s">
        <v>597</v>
      </c>
      <c r="C101" s="25" t="s">
        <v>30</v>
      </c>
      <c r="D101" s="26" t="s">
        <v>91</v>
      </c>
      <c r="E101" s="27">
        <f t="shared" si="5"/>
        <v>46057</v>
      </c>
      <c r="F101" s="28">
        <v>46049.0</v>
      </c>
      <c r="G101" s="26" t="s">
        <v>55</v>
      </c>
      <c r="H101" s="26">
        <v>1.0</v>
      </c>
      <c r="I101" s="29"/>
      <c r="J101" s="30"/>
      <c r="K101" s="31" t="s">
        <v>33</v>
      </c>
      <c r="L101" s="24" t="s">
        <v>598</v>
      </c>
      <c r="M101" s="40" t="s">
        <v>599</v>
      </c>
      <c r="N101" s="35" t="s">
        <v>586</v>
      </c>
      <c r="O101" s="35" t="s">
        <v>600</v>
      </c>
      <c r="P101" s="36" t="s">
        <v>275</v>
      </c>
      <c r="Q101" s="36" t="s">
        <v>588</v>
      </c>
      <c r="R101" s="36" t="s">
        <v>589</v>
      </c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8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</row>
    <row r="102" ht="15.75" customHeight="1">
      <c r="A102" s="23">
        <v>46035.0</v>
      </c>
      <c r="B102" s="46" t="s">
        <v>601</v>
      </c>
      <c r="C102" s="25" t="s">
        <v>175</v>
      </c>
      <c r="D102" s="26" t="s">
        <v>211</v>
      </c>
      <c r="E102" s="27">
        <f t="shared" si="5"/>
        <v>46056</v>
      </c>
      <c r="F102" s="28">
        <v>46050.0</v>
      </c>
      <c r="G102" s="26" t="s">
        <v>32</v>
      </c>
      <c r="H102" s="26">
        <v>1.0</v>
      </c>
      <c r="I102" s="29"/>
      <c r="J102" s="30"/>
      <c r="K102" s="31" t="s">
        <v>33</v>
      </c>
      <c r="L102" s="24" t="s">
        <v>602</v>
      </c>
      <c r="M102" s="40" t="s">
        <v>603</v>
      </c>
      <c r="N102" s="34" t="s">
        <v>604</v>
      </c>
      <c r="O102" s="35" t="s">
        <v>605</v>
      </c>
      <c r="P102" s="36" t="s">
        <v>47</v>
      </c>
      <c r="Q102" s="37"/>
      <c r="R102" s="37"/>
      <c r="S102" s="24" t="s">
        <v>606</v>
      </c>
      <c r="T102" s="24" t="s">
        <v>428</v>
      </c>
      <c r="U102" s="32"/>
      <c r="V102" s="32"/>
      <c r="W102" s="32"/>
      <c r="X102" s="24" t="s">
        <v>370</v>
      </c>
      <c r="Y102" s="24" t="s">
        <v>302</v>
      </c>
      <c r="Z102" s="32"/>
      <c r="AA102" s="32"/>
      <c r="AB102" s="32"/>
      <c r="AC102" s="38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</row>
    <row r="103" ht="15.0" customHeight="1">
      <c r="A103" s="23">
        <v>46035.0</v>
      </c>
      <c r="B103" s="76" t="s">
        <v>607</v>
      </c>
      <c r="C103" s="25" t="s">
        <v>175</v>
      </c>
      <c r="D103" s="26" t="s">
        <v>110</v>
      </c>
      <c r="E103" s="27">
        <f t="shared" si="5"/>
        <v>46056</v>
      </c>
      <c r="F103" s="28"/>
      <c r="G103" s="26" t="s">
        <v>32</v>
      </c>
      <c r="H103" s="26">
        <v>1.0</v>
      </c>
      <c r="I103" s="29"/>
      <c r="J103" s="30"/>
      <c r="K103" s="31" t="s">
        <v>33</v>
      </c>
      <c r="L103" s="24" t="s">
        <v>608</v>
      </c>
      <c r="M103" s="40" t="s">
        <v>609</v>
      </c>
      <c r="N103" s="34" t="s">
        <v>610</v>
      </c>
      <c r="O103" s="35" t="s">
        <v>611</v>
      </c>
      <c r="P103" s="36" t="s">
        <v>47</v>
      </c>
      <c r="Q103" s="37"/>
      <c r="R103" s="37"/>
      <c r="S103" s="24" t="s">
        <v>612</v>
      </c>
      <c r="T103" s="24" t="s">
        <v>613</v>
      </c>
      <c r="U103" s="32"/>
      <c r="V103" s="32"/>
      <c r="W103" s="32"/>
      <c r="X103" s="24" t="s">
        <v>614</v>
      </c>
      <c r="Y103" s="24" t="s">
        <v>398</v>
      </c>
      <c r="Z103" s="32"/>
      <c r="AA103" s="32"/>
      <c r="AB103" s="32"/>
      <c r="AC103" s="38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</row>
    <row r="104" ht="15.75" customHeight="1">
      <c r="A104" s="23">
        <v>46035.0</v>
      </c>
      <c r="B104" s="66" t="s">
        <v>615</v>
      </c>
      <c r="C104" s="25" t="s">
        <v>38</v>
      </c>
      <c r="D104" s="26" t="s">
        <v>190</v>
      </c>
      <c r="E104" s="27">
        <f t="shared" si="5"/>
        <v>46056</v>
      </c>
      <c r="F104" s="28">
        <v>46050.0</v>
      </c>
      <c r="G104" s="26" t="s">
        <v>39</v>
      </c>
      <c r="H104" s="26">
        <v>1.0</v>
      </c>
      <c r="I104" s="29"/>
      <c r="J104" s="30"/>
      <c r="K104" s="31" t="s">
        <v>33</v>
      </c>
      <c r="L104" s="32"/>
      <c r="M104" s="40" t="s">
        <v>616</v>
      </c>
      <c r="N104" s="34" t="s">
        <v>617</v>
      </c>
      <c r="O104" s="35" t="s">
        <v>618</v>
      </c>
      <c r="P104" s="36" t="s">
        <v>47</v>
      </c>
      <c r="Q104" s="37"/>
      <c r="R104" s="37"/>
      <c r="S104" s="24" t="s">
        <v>555</v>
      </c>
      <c r="T104" s="32"/>
      <c r="U104" s="32"/>
      <c r="V104" s="32"/>
      <c r="W104" s="32"/>
      <c r="X104" s="24" t="s">
        <v>619</v>
      </c>
      <c r="Y104" s="32"/>
      <c r="Z104" s="32"/>
      <c r="AA104" s="32"/>
      <c r="AB104" s="32"/>
      <c r="AC104" s="38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</row>
    <row r="105" ht="15.75" customHeight="1">
      <c r="A105" s="23">
        <v>46034.0</v>
      </c>
      <c r="B105" s="66" t="s">
        <v>620</v>
      </c>
      <c r="C105" s="25" t="s">
        <v>54</v>
      </c>
      <c r="D105" s="26" t="s">
        <v>211</v>
      </c>
      <c r="E105" s="27">
        <f t="shared" si="5"/>
        <v>46055</v>
      </c>
      <c r="F105" s="28">
        <v>46049.0</v>
      </c>
      <c r="G105" s="26" t="s">
        <v>55</v>
      </c>
      <c r="H105" s="26">
        <v>1.0</v>
      </c>
      <c r="I105" s="29"/>
      <c r="J105" s="30"/>
      <c r="K105" s="31" t="s">
        <v>33</v>
      </c>
      <c r="L105" s="32"/>
      <c r="M105" s="40" t="s">
        <v>621</v>
      </c>
      <c r="N105" s="34" t="s">
        <v>622</v>
      </c>
      <c r="O105" s="35" t="s">
        <v>623</v>
      </c>
      <c r="P105" s="36" t="s">
        <v>166</v>
      </c>
      <c r="Q105" s="37"/>
      <c r="R105" s="37"/>
      <c r="S105" s="32"/>
      <c r="T105" s="32"/>
      <c r="U105" s="32"/>
      <c r="V105" s="32"/>
      <c r="W105" s="32"/>
      <c r="X105" s="24" t="s">
        <v>167</v>
      </c>
      <c r="Y105" s="32"/>
      <c r="Z105" s="32"/>
      <c r="AA105" s="32"/>
      <c r="AB105" s="32"/>
      <c r="AC105" s="38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</row>
    <row r="106" ht="15.75" customHeight="1">
      <c r="A106" s="23">
        <v>46033.0</v>
      </c>
      <c r="B106" s="66" t="s">
        <v>624</v>
      </c>
      <c r="C106" s="25" t="s">
        <v>38</v>
      </c>
      <c r="D106" s="26" t="s">
        <v>211</v>
      </c>
      <c r="E106" s="67">
        <v>46041.0</v>
      </c>
      <c r="F106" s="28">
        <v>46036.0</v>
      </c>
      <c r="G106" s="26" t="s">
        <v>39</v>
      </c>
      <c r="H106" s="26">
        <v>1.0</v>
      </c>
      <c r="I106" s="29"/>
      <c r="J106" s="30"/>
      <c r="K106" s="31" t="s">
        <v>33</v>
      </c>
      <c r="L106" s="47" t="s">
        <v>145</v>
      </c>
      <c r="M106" s="40" t="s">
        <v>625</v>
      </c>
      <c r="N106" s="34" t="s">
        <v>626</v>
      </c>
      <c r="O106" s="35" t="s">
        <v>627</v>
      </c>
      <c r="P106" s="36" t="s">
        <v>207</v>
      </c>
      <c r="Q106" s="37"/>
      <c r="R106" s="37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8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 ht="15.75" customHeight="1">
      <c r="A107" s="23">
        <v>46033.0</v>
      </c>
      <c r="B107" s="24" t="s">
        <v>628</v>
      </c>
      <c r="C107" s="25" t="s">
        <v>38</v>
      </c>
      <c r="D107" s="26" t="s">
        <v>190</v>
      </c>
      <c r="E107" s="27">
        <f t="shared" ref="E107:E154" si="6">A107+21</f>
        <v>46054</v>
      </c>
      <c r="F107" s="28">
        <v>46050.0</v>
      </c>
      <c r="G107" s="26" t="s">
        <v>39</v>
      </c>
      <c r="H107" s="26">
        <v>1.0</v>
      </c>
      <c r="I107" s="29"/>
      <c r="J107" s="30"/>
      <c r="K107" s="31" t="s">
        <v>33</v>
      </c>
      <c r="L107" s="32"/>
      <c r="M107" s="40" t="s">
        <v>629</v>
      </c>
      <c r="N107" s="34" t="s">
        <v>630</v>
      </c>
      <c r="O107" s="35" t="s">
        <v>631</v>
      </c>
      <c r="P107" s="36" t="s">
        <v>47</v>
      </c>
      <c r="Q107" s="37"/>
      <c r="R107" s="37"/>
      <c r="S107" s="24" t="s">
        <v>351</v>
      </c>
      <c r="T107" s="24" t="s">
        <v>428</v>
      </c>
      <c r="U107" s="32"/>
      <c r="V107" s="32"/>
      <c r="W107" s="32"/>
      <c r="X107" s="24" t="s">
        <v>398</v>
      </c>
      <c r="Y107" s="32"/>
      <c r="Z107" s="32"/>
      <c r="AA107" s="32"/>
      <c r="AB107" s="32"/>
      <c r="AC107" s="38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</row>
    <row r="108" ht="15.75" customHeight="1">
      <c r="A108" s="23">
        <v>46031.0</v>
      </c>
      <c r="B108" s="24" t="s">
        <v>632</v>
      </c>
      <c r="C108" s="25" t="s">
        <v>44</v>
      </c>
      <c r="D108" s="26" t="s">
        <v>190</v>
      </c>
      <c r="E108" s="27">
        <f t="shared" si="6"/>
        <v>46052</v>
      </c>
      <c r="F108" s="28">
        <v>46041.0</v>
      </c>
      <c r="G108" s="26" t="s">
        <v>32</v>
      </c>
      <c r="H108" s="26">
        <v>2.0</v>
      </c>
      <c r="I108" s="29"/>
      <c r="J108" s="30"/>
      <c r="K108" s="31" t="s">
        <v>33</v>
      </c>
      <c r="L108" s="24"/>
      <c r="M108" s="40" t="s">
        <v>633</v>
      </c>
      <c r="N108" s="34" t="s">
        <v>634</v>
      </c>
      <c r="O108" s="35" t="s">
        <v>635</v>
      </c>
      <c r="P108" s="80" t="s">
        <v>636</v>
      </c>
      <c r="Q108" s="80" t="s">
        <v>637</v>
      </c>
      <c r="R108" s="80" t="s">
        <v>638</v>
      </c>
      <c r="S108" s="32"/>
      <c r="T108" s="32"/>
      <c r="U108" s="32"/>
      <c r="V108" s="32"/>
      <c r="W108" s="32"/>
      <c r="X108" s="24" t="s">
        <v>639</v>
      </c>
      <c r="Y108" s="32"/>
      <c r="Z108" s="32"/>
      <c r="AA108" s="32"/>
      <c r="AB108" s="32"/>
      <c r="AC108" s="38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</row>
    <row r="109" ht="15.0" customHeight="1">
      <c r="A109" s="23">
        <v>46030.0</v>
      </c>
      <c r="B109" s="24" t="s">
        <v>640</v>
      </c>
      <c r="C109" s="25" t="s">
        <v>30</v>
      </c>
      <c r="D109" s="26" t="s">
        <v>31</v>
      </c>
      <c r="E109" s="27">
        <f t="shared" si="6"/>
        <v>46051</v>
      </c>
      <c r="F109" s="28"/>
      <c r="G109" s="26" t="s">
        <v>32</v>
      </c>
      <c r="H109" s="26">
        <v>1.0</v>
      </c>
      <c r="I109" s="29"/>
      <c r="J109" s="30"/>
      <c r="K109" s="31" t="s">
        <v>33</v>
      </c>
      <c r="L109" s="32"/>
      <c r="M109" s="33"/>
      <c r="N109" s="35" t="s">
        <v>641</v>
      </c>
      <c r="O109" s="35" t="s">
        <v>642</v>
      </c>
      <c r="P109" s="36" t="s">
        <v>42</v>
      </c>
      <c r="Q109" s="36" t="s">
        <v>643</v>
      </c>
      <c r="R109" s="36" t="s">
        <v>644</v>
      </c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8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</row>
    <row r="110" ht="15.75" customHeight="1">
      <c r="A110" s="23">
        <v>46030.0</v>
      </c>
      <c r="B110" s="24" t="s">
        <v>645</v>
      </c>
      <c r="C110" s="25" t="s">
        <v>84</v>
      </c>
      <c r="D110" s="26" t="s">
        <v>190</v>
      </c>
      <c r="E110" s="27">
        <f t="shared" si="6"/>
        <v>46051</v>
      </c>
      <c r="F110" s="28">
        <v>46050.0</v>
      </c>
      <c r="G110" s="26" t="s">
        <v>39</v>
      </c>
      <c r="H110" s="26">
        <v>6.0</v>
      </c>
      <c r="I110" s="29"/>
      <c r="J110" s="30"/>
      <c r="K110" s="31" t="s">
        <v>33</v>
      </c>
      <c r="L110" s="47" t="s">
        <v>646</v>
      </c>
      <c r="M110" s="40" t="s">
        <v>647</v>
      </c>
      <c r="N110" s="35" t="s">
        <v>648</v>
      </c>
      <c r="O110" s="35" t="s">
        <v>649</v>
      </c>
      <c r="P110" s="36" t="s">
        <v>42</v>
      </c>
      <c r="Q110" s="37"/>
      <c r="R110" s="37"/>
      <c r="S110" s="32"/>
      <c r="T110" s="32"/>
      <c r="U110" s="32"/>
      <c r="V110" s="32"/>
      <c r="W110" s="32"/>
      <c r="X110" s="24" t="s">
        <v>650</v>
      </c>
      <c r="Y110" s="32"/>
      <c r="Z110" s="32"/>
      <c r="AA110" s="32"/>
      <c r="AB110" s="32"/>
      <c r="AC110" s="38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 ht="15.75" customHeight="1">
      <c r="A111" s="23">
        <v>46030.0</v>
      </c>
      <c r="B111" s="66" t="s">
        <v>651</v>
      </c>
      <c r="C111" s="25" t="s">
        <v>54</v>
      </c>
      <c r="D111" s="26" t="s">
        <v>211</v>
      </c>
      <c r="E111" s="27">
        <f t="shared" si="6"/>
        <v>46051</v>
      </c>
      <c r="F111" s="28">
        <v>46036.0</v>
      </c>
      <c r="G111" s="26" t="s">
        <v>55</v>
      </c>
      <c r="H111" s="26">
        <v>2.0</v>
      </c>
      <c r="I111" s="29"/>
      <c r="J111" s="30"/>
      <c r="K111" s="31" t="s">
        <v>49</v>
      </c>
      <c r="L111" s="47" t="s">
        <v>298</v>
      </c>
      <c r="M111" s="40" t="s">
        <v>652</v>
      </c>
      <c r="N111" s="34" t="s">
        <v>653</v>
      </c>
      <c r="O111" s="35" t="s">
        <v>654</v>
      </c>
      <c r="P111" s="36" t="s">
        <v>655</v>
      </c>
      <c r="Q111" s="37"/>
      <c r="R111" s="37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8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 ht="15.75" customHeight="1">
      <c r="A112" s="23">
        <v>46030.0</v>
      </c>
      <c r="B112" s="66" t="s">
        <v>656</v>
      </c>
      <c r="C112" s="25" t="s">
        <v>38</v>
      </c>
      <c r="D112" s="26" t="s">
        <v>211</v>
      </c>
      <c r="E112" s="27">
        <f t="shared" si="6"/>
        <v>46051</v>
      </c>
      <c r="F112" s="28">
        <v>46036.0</v>
      </c>
      <c r="G112" s="26" t="s">
        <v>39</v>
      </c>
      <c r="H112" s="26">
        <v>1.0</v>
      </c>
      <c r="I112" s="29"/>
      <c r="J112" s="30"/>
      <c r="K112" s="31" t="s">
        <v>33</v>
      </c>
      <c r="L112" s="32"/>
      <c r="M112" s="40" t="s">
        <v>657</v>
      </c>
      <c r="N112" s="34" t="s">
        <v>658</v>
      </c>
      <c r="O112" s="35" t="s">
        <v>659</v>
      </c>
      <c r="P112" s="80" t="s">
        <v>636</v>
      </c>
      <c r="Q112" s="80" t="s">
        <v>637</v>
      </c>
      <c r="R112" s="80" t="s">
        <v>638</v>
      </c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8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 ht="15.75" customHeight="1">
      <c r="A113" s="23">
        <v>46029.0</v>
      </c>
      <c r="B113" s="44" t="s">
        <v>660</v>
      </c>
      <c r="C113" s="25" t="s">
        <v>44</v>
      </c>
      <c r="D113" s="26" t="s">
        <v>211</v>
      </c>
      <c r="E113" s="27">
        <f t="shared" si="6"/>
        <v>46050</v>
      </c>
      <c r="F113" s="28">
        <v>46051.0</v>
      </c>
      <c r="G113" s="26" t="s">
        <v>32</v>
      </c>
      <c r="H113" s="26">
        <v>1.0</v>
      </c>
      <c r="I113" s="29"/>
      <c r="J113" s="30"/>
      <c r="K113" s="31" t="s">
        <v>33</v>
      </c>
      <c r="L113" s="24" t="s">
        <v>661</v>
      </c>
      <c r="M113" s="40" t="s">
        <v>662</v>
      </c>
      <c r="N113" s="34" t="s">
        <v>663</v>
      </c>
      <c r="O113" s="35" t="s">
        <v>664</v>
      </c>
      <c r="P113" s="36" t="s">
        <v>62</v>
      </c>
      <c r="Q113" s="37"/>
      <c r="R113" s="37"/>
      <c r="S113" s="24" t="s">
        <v>665</v>
      </c>
      <c r="T113" s="24" t="s">
        <v>666</v>
      </c>
      <c r="U113" s="24" t="s">
        <v>667</v>
      </c>
      <c r="V113" s="24" t="s">
        <v>149</v>
      </c>
      <c r="W113" s="32"/>
      <c r="X113" s="24" t="s">
        <v>149</v>
      </c>
      <c r="Y113" s="24" t="s">
        <v>668</v>
      </c>
      <c r="Z113" s="24" t="s">
        <v>667</v>
      </c>
      <c r="AA113" s="32"/>
      <c r="AB113" s="32"/>
      <c r="AC113" s="38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</row>
    <row r="114" ht="15.75" customHeight="1">
      <c r="A114" s="23">
        <v>46028.0</v>
      </c>
      <c r="B114" s="66" t="s">
        <v>669</v>
      </c>
      <c r="C114" s="25" t="s">
        <v>54</v>
      </c>
      <c r="D114" s="26" t="s">
        <v>211</v>
      </c>
      <c r="E114" s="27">
        <f t="shared" si="6"/>
        <v>46049</v>
      </c>
      <c r="F114" s="28">
        <v>46049.0</v>
      </c>
      <c r="G114" s="26" t="s">
        <v>55</v>
      </c>
      <c r="H114" s="26">
        <v>1.0</v>
      </c>
      <c r="I114" s="29"/>
      <c r="J114" s="30"/>
      <c r="K114" s="31" t="s">
        <v>157</v>
      </c>
      <c r="L114" s="32"/>
      <c r="M114" s="40" t="s">
        <v>670</v>
      </c>
      <c r="N114" s="35" t="s">
        <v>671</v>
      </c>
      <c r="O114" s="35" t="s">
        <v>672</v>
      </c>
      <c r="P114" s="36" t="s">
        <v>78</v>
      </c>
      <c r="Q114" s="37"/>
      <c r="R114" s="37"/>
      <c r="S114" s="24" t="s">
        <v>665</v>
      </c>
      <c r="T114" s="24" t="s">
        <v>195</v>
      </c>
      <c r="U114" s="32"/>
      <c r="V114" s="32"/>
      <c r="W114" s="32"/>
      <c r="X114" s="32"/>
      <c r="Y114" s="32"/>
      <c r="Z114" s="32"/>
      <c r="AA114" s="32"/>
      <c r="AB114" s="32"/>
      <c r="AC114" s="38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</row>
    <row r="115" ht="15.75" customHeight="1">
      <c r="A115" s="23">
        <v>46028.0</v>
      </c>
      <c r="B115" s="66" t="s">
        <v>673</v>
      </c>
      <c r="C115" s="25" t="s">
        <v>54</v>
      </c>
      <c r="D115" s="26" t="s">
        <v>211</v>
      </c>
      <c r="E115" s="27">
        <f t="shared" si="6"/>
        <v>46049</v>
      </c>
      <c r="F115" s="28">
        <v>46039.0</v>
      </c>
      <c r="G115" s="26" t="s">
        <v>39</v>
      </c>
      <c r="H115" s="26">
        <v>1.0</v>
      </c>
      <c r="I115" s="29"/>
      <c r="J115" s="30"/>
      <c r="K115" s="31" t="s">
        <v>33</v>
      </c>
      <c r="L115" s="32"/>
      <c r="M115" s="40" t="s">
        <v>674</v>
      </c>
      <c r="N115" s="35" t="s">
        <v>675</v>
      </c>
      <c r="O115" s="35" t="s">
        <v>676</v>
      </c>
      <c r="P115" s="36" t="s">
        <v>47</v>
      </c>
      <c r="Q115" s="37"/>
      <c r="R115" s="37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8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 ht="15.75" customHeight="1">
      <c r="A116" s="23">
        <v>46020.0</v>
      </c>
      <c r="B116" s="24" t="s">
        <v>677</v>
      </c>
      <c r="C116" s="25" t="s">
        <v>678</v>
      </c>
      <c r="D116" s="26" t="s">
        <v>211</v>
      </c>
      <c r="E116" s="27">
        <f t="shared" si="6"/>
        <v>46041</v>
      </c>
      <c r="F116" s="28">
        <v>46049.0</v>
      </c>
      <c r="G116" s="26" t="s">
        <v>32</v>
      </c>
      <c r="H116" s="26">
        <v>1.0</v>
      </c>
      <c r="I116" s="29"/>
      <c r="J116" s="30"/>
      <c r="K116" s="31" t="s">
        <v>157</v>
      </c>
      <c r="L116" s="47" t="s">
        <v>679</v>
      </c>
      <c r="M116" s="40" t="s">
        <v>680</v>
      </c>
      <c r="N116" s="34" t="s">
        <v>681</v>
      </c>
      <c r="O116" s="35" t="s">
        <v>682</v>
      </c>
      <c r="P116" s="36" t="s">
        <v>62</v>
      </c>
      <c r="Q116" s="37"/>
      <c r="R116" s="37"/>
      <c r="S116" s="32"/>
      <c r="T116" s="32"/>
      <c r="U116" s="32"/>
      <c r="V116" s="32"/>
      <c r="W116" s="32"/>
      <c r="X116" s="24" t="s">
        <v>683</v>
      </c>
      <c r="Y116" s="32"/>
      <c r="Z116" s="32"/>
      <c r="AA116" s="32"/>
      <c r="AB116" s="32"/>
      <c r="AC116" s="38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</row>
    <row r="117" ht="15.75" customHeight="1">
      <c r="A117" s="23">
        <v>46010.0</v>
      </c>
      <c r="B117" s="24" t="s">
        <v>684</v>
      </c>
      <c r="C117" s="25" t="s">
        <v>685</v>
      </c>
      <c r="D117" s="26" t="s">
        <v>211</v>
      </c>
      <c r="E117" s="27">
        <f t="shared" si="6"/>
        <v>46031</v>
      </c>
      <c r="F117" s="28">
        <v>46056.0</v>
      </c>
      <c r="G117" s="26" t="s">
        <v>55</v>
      </c>
      <c r="H117" s="26">
        <v>4.0</v>
      </c>
      <c r="I117" s="29"/>
      <c r="J117" s="30"/>
      <c r="K117" s="31" t="s">
        <v>33</v>
      </c>
      <c r="L117" s="24" t="s">
        <v>686</v>
      </c>
      <c r="M117" s="40" t="s">
        <v>687</v>
      </c>
      <c r="N117" s="35" t="s">
        <v>688</v>
      </c>
      <c r="O117" s="35" t="s">
        <v>689</v>
      </c>
      <c r="P117" s="36" t="s">
        <v>78</v>
      </c>
      <c r="Q117" s="37"/>
      <c r="R117" s="37"/>
      <c r="S117" s="24" t="s">
        <v>690</v>
      </c>
      <c r="T117" s="24" t="s">
        <v>555</v>
      </c>
      <c r="U117" s="32"/>
      <c r="V117" s="32"/>
      <c r="W117" s="32"/>
      <c r="X117" s="32"/>
      <c r="Y117" s="32"/>
      <c r="Z117" s="32"/>
      <c r="AA117" s="32"/>
      <c r="AB117" s="32"/>
      <c r="AC117" s="38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</row>
    <row r="118" ht="15.75" customHeight="1">
      <c r="A118" s="23">
        <v>46010.0</v>
      </c>
      <c r="B118" s="24" t="s">
        <v>691</v>
      </c>
      <c r="C118" s="25" t="s">
        <v>685</v>
      </c>
      <c r="D118" s="26" t="s">
        <v>211</v>
      </c>
      <c r="E118" s="27">
        <f t="shared" si="6"/>
        <v>46031</v>
      </c>
      <c r="F118" s="28">
        <v>46056.0</v>
      </c>
      <c r="G118" s="26" t="s">
        <v>55</v>
      </c>
      <c r="H118" s="26">
        <v>5.0</v>
      </c>
      <c r="I118" s="29"/>
      <c r="J118" s="30"/>
      <c r="K118" s="31" t="s">
        <v>33</v>
      </c>
      <c r="L118" s="24" t="s">
        <v>692</v>
      </c>
      <c r="M118" s="40" t="s">
        <v>693</v>
      </c>
      <c r="N118" s="35" t="s">
        <v>688</v>
      </c>
      <c r="O118" s="35" t="s">
        <v>694</v>
      </c>
      <c r="P118" s="36" t="s">
        <v>78</v>
      </c>
      <c r="Q118" s="37"/>
      <c r="R118" s="37"/>
      <c r="S118" s="24" t="s">
        <v>555</v>
      </c>
      <c r="T118" s="32"/>
      <c r="U118" s="32"/>
      <c r="V118" s="32"/>
      <c r="W118" s="32"/>
      <c r="X118" s="32"/>
      <c r="Y118" s="32"/>
      <c r="Z118" s="32"/>
      <c r="AA118" s="32"/>
      <c r="AB118" s="32"/>
      <c r="AC118" s="38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</row>
    <row r="119" ht="15.75" customHeight="1">
      <c r="A119" s="23">
        <v>46010.0</v>
      </c>
      <c r="B119" s="66" t="s">
        <v>695</v>
      </c>
      <c r="C119" s="25" t="s">
        <v>210</v>
      </c>
      <c r="D119" s="26" t="s">
        <v>211</v>
      </c>
      <c r="E119" s="27">
        <f t="shared" si="6"/>
        <v>46031</v>
      </c>
      <c r="F119" s="28">
        <v>46050.0</v>
      </c>
      <c r="G119" s="26" t="s">
        <v>55</v>
      </c>
      <c r="H119" s="26">
        <v>1.0</v>
      </c>
      <c r="I119" s="29"/>
      <c r="J119" s="30"/>
      <c r="K119" s="31" t="s">
        <v>33</v>
      </c>
      <c r="L119" s="32"/>
      <c r="M119" s="40" t="s">
        <v>696</v>
      </c>
      <c r="N119" s="34" t="s">
        <v>697</v>
      </c>
      <c r="O119" s="35" t="s">
        <v>698</v>
      </c>
      <c r="P119" s="36" t="s">
        <v>62</v>
      </c>
      <c r="Q119" s="37"/>
      <c r="R119" s="37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8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 ht="15.75" customHeight="1">
      <c r="A120" s="23">
        <v>46009.0</v>
      </c>
      <c r="B120" s="66" t="s">
        <v>699</v>
      </c>
      <c r="C120" s="25" t="s">
        <v>180</v>
      </c>
      <c r="D120" s="26" t="s">
        <v>211</v>
      </c>
      <c r="E120" s="27">
        <f t="shared" si="6"/>
        <v>46030</v>
      </c>
      <c r="F120" s="28">
        <v>46036.0</v>
      </c>
      <c r="G120" s="26" t="s">
        <v>55</v>
      </c>
      <c r="H120" s="26">
        <v>1.0</v>
      </c>
      <c r="I120" s="29"/>
      <c r="J120" s="30"/>
      <c r="K120" s="31" t="s">
        <v>33</v>
      </c>
      <c r="L120" s="41" t="s">
        <v>700</v>
      </c>
      <c r="M120" s="40" t="s">
        <v>701</v>
      </c>
      <c r="N120" s="34" t="s">
        <v>702</v>
      </c>
      <c r="O120" s="35" t="s">
        <v>703</v>
      </c>
      <c r="P120" s="36" t="s">
        <v>78</v>
      </c>
      <c r="Q120" s="36" t="s">
        <v>194</v>
      </c>
      <c r="R120" s="37"/>
      <c r="S120" s="24" t="s">
        <v>195</v>
      </c>
      <c r="T120" s="32"/>
      <c r="U120" s="32"/>
      <c r="V120" s="32"/>
      <c r="W120" s="32"/>
      <c r="X120" s="24" t="s">
        <v>155</v>
      </c>
      <c r="Y120" s="32"/>
      <c r="Z120" s="32"/>
      <c r="AA120" s="32"/>
      <c r="AB120" s="32"/>
      <c r="AC120" s="38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</row>
    <row r="121" ht="15.75" customHeight="1">
      <c r="A121" s="23">
        <v>46009.0</v>
      </c>
      <c r="B121" s="66" t="s">
        <v>704</v>
      </c>
      <c r="C121" s="25" t="s">
        <v>54</v>
      </c>
      <c r="D121" s="26" t="s">
        <v>211</v>
      </c>
      <c r="E121" s="27">
        <f t="shared" si="6"/>
        <v>46030</v>
      </c>
      <c r="F121" s="28">
        <v>46036.0</v>
      </c>
      <c r="G121" s="26" t="s">
        <v>55</v>
      </c>
      <c r="H121" s="26">
        <v>1.0</v>
      </c>
      <c r="I121" s="29"/>
      <c r="J121" s="30"/>
      <c r="K121" s="31" t="s">
        <v>33</v>
      </c>
      <c r="L121" s="57" t="s">
        <v>705</v>
      </c>
      <c r="M121" s="40" t="s">
        <v>706</v>
      </c>
      <c r="N121" s="34" t="s">
        <v>707</v>
      </c>
      <c r="O121" s="35" t="s">
        <v>708</v>
      </c>
      <c r="P121" s="36" t="s">
        <v>68</v>
      </c>
      <c r="Q121" s="37"/>
      <c r="R121" s="37"/>
      <c r="S121" s="24" t="s">
        <v>215</v>
      </c>
      <c r="T121" s="32"/>
      <c r="U121" s="32"/>
      <c r="V121" s="32"/>
      <c r="W121" s="32"/>
      <c r="X121" s="32"/>
      <c r="Y121" s="32"/>
      <c r="Z121" s="32"/>
      <c r="AA121" s="32"/>
      <c r="AB121" s="32"/>
      <c r="AC121" s="38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 ht="15.75" customHeight="1">
      <c r="A122" s="23">
        <v>46009.0</v>
      </c>
      <c r="B122" s="66" t="s">
        <v>709</v>
      </c>
      <c r="C122" s="25" t="s">
        <v>54</v>
      </c>
      <c r="D122" s="26" t="s">
        <v>211</v>
      </c>
      <c r="E122" s="27">
        <f t="shared" si="6"/>
        <v>46030</v>
      </c>
      <c r="F122" s="28">
        <v>46036.0</v>
      </c>
      <c r="G122" s="26" t="s">
        <v>39</v>
      </c>
      <c r="H122" s="26">
        <v>1.0</v>
      </c>
      <c r="I122" s="29"/>
      <c r="J122" s="30"/>
      <c r="K122" s="31" t="s">
        <v>49</v>
      </c>
      <c r="L122" s="57" t="s">
        <v>710</v>
      </c>
      <c r="M122" s="40" t="s">
        <v>711</v>
      </c>
      <c r="N122" s="34" t="s">
        <v>712</v>
      </c>
      <c r="O122" s="35" t="s">
        <v>713</v>
      </c>
      <c r="P122" s="36" t="s">
        <v>36</v>
      </c>
      <c r="Q122" s="37"/>
      <c r="R122" s="37"/>
      <c r="S122" s="24" t="s">
        <v>215</v>
      </c>
      <c r="T122" s="32"/>
      <c r="U122" s="32"/>
      <c r="V122" s="32"/>
      <c r="W122" s="32"/>
      <c r="X122" s="24" t="s">
        <v>714</v>
      </c>
      <c r="Y122" s="24" t="s">
        <v>715</v>
      </c>
      <c r="Z122" s="32"/>
      <c r="AA122" s="32"/>
      <c r="AB122" s="32"/>
      <c r="AC122" s="38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 ht="15.75" customHeight="1">
      <c r="A123" s="23">
        <v>46007.0</v>
      </c>
      <c r="B123" s="66" t="s">
        <v>716</v>
      </c>
      <c r="C123" s="25" t="s">
        <v>84</v>
      </c>
      <c r="D123" s="26" t="s">
        <v>190</v>
      </c>
      <c r="E123" s="27">
        <f t="shared" si="6"/>
        <v>46028</v>
      </c>
      <c r="F123" s="28">
        <v>46045.0</v>
      </c>
      <c r="G123" s="26" t="s">
        <v>39</v>
      </c>
      <c r="H123" s="26">
        <v>3.0</v>
      </c>
      <c r="I123" s="29"/>
      <c r="J123" s="30"/>
      <c r="K123" s="31" t="s">
        <v>33</v>
      </c>
      <c r="L123" s="24" t="s">
        <v>717</v>
      </c>
      <c r="M123" s="40" t="s">
        <v>718</v>
      </c>
      <c r="N123" s="34" t="s">
        <v>719</v>
      </c>
      <c r="O123" s="35" t="s">
        <v>720</v>
      </c>
      <c r="P123" s="52" t="s">
        <v>721</v>
      </c>
      <c r="Q123" s="52" t="s">
        <v>722</v>
      </c>
      <c r="R123" s="37"/>
      <c r="S123" s="32"/>
      <c r="T123" s="32"/>
      <c r="U123" s="32"/>
      <c r="V123" s="32"/>
      <c r="W123" s="32"/>
      <c r="X123" s="24" t="s">
        <v>370</v>
      </c>
      <c r="Y123" s="32"/>
      <c r="Z123" s="32"/>
      <c r="AA123" s="32"/>
      <c r="AB123" s="32"/>
      <c r="AC123" s="38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</row>
    <row r="124" ht="15.75" customHeight="1">
      <c r="A124" s="23">
        <v>46007.0</v>
      </c>
      <c r="B124" s="66" t="s">
        <v>723</v>
      </c>
      <c r="C124" s="25" t="s">
        <v>210</v>
      </c>
      <c r="D124" s="26" t="s">
        <v>190</v>
      </c>
      <c r="E124" s="27">
        <f t="shared" si="6"/>
        <v>46028</v>
      </c>
      <c r="F124" s="28">
        <v>46048.0</v>
      </c>
      <c r="G124" s="26" t="s">
        <v>55</v>
      </c>
      <c r="H124" s="26">
        <v>1.0</v>
      </c>
      <c r="I124" s="29"/>
      <c r="J124" s="30"/>
      <c r="K124" s="31" t="s">
        <v>157</v>
      </c>
      <c r="L124" s="70" t="s">
        <v>724</v>
      </c>
      <c r="M124" s="40" t="s">
        <v>725</v>
      </c>
      <c r="N124" s="34" t="s">
        <v>726</v>
      </c>
      <c r="O124" s="35" t="s">
        <v>727</v>
      </c>
      <c r="P124" s="36" t="s">
        <v>47</v>
      </c>
      <c r="Q124" s="37"/>
      <c r="R124" s="37"/>
      <c r="S124" s="24" t="s">
        <v>344</v>
      </c>
      <c r="T124" s="32"/>
      <c r="U124" s="32"/>
      <c r="V124" s="32"/>
      <c r="W124" s="32"/>
      <c r="X124" s="32"/>
      <c r="Y124" s="32"/>
      <c r="Z124" s="32"/>
      <c r="AA124" s="32"/>
      <c r="AB124" s="32"/>
      <c r="AC124" s="38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</row>
    <row r="125" ht="15.75" customHeight="1">
      <c r="A125" s="23">
        <v>46007.0</v>
      </c>
      <c r="B125" s="66" t="s">
        <v>728</v>
      </c>
      <c r="C125" s="25" t="s">
        <v>210</v>
      </c>
      <c r="D125" s="26" t="s">
        <v>211</v>
      </c>
      <c r="E125" s="27">
        <f t="shared" si="6"/>
        <v>46028</v>
      </c>
      <c r="F125" s="28">
        <v>46048.0</v>
      </c>
      <c r="G125" s="26" t="s">
        <v>55</v>
      </c>
      <c r="H125" s="26">
        <v>1.0</v>
      </c>
      <c r="I125" s="29"/>
      <c r="J125" s="30"/>
      <c r="K125" s="31" t="s">
        <v>33</v>
      </c>
      <c r="L125" s="24" t="s">
        <v>729</v>
      </c>
      <c r="M125" s="40" t="s">
        <v>730</v>
      </c>
      <c r="N125" s="34" t="s">
        <v>731</v>
      </c>
      <c r="O125" s="35" t="s">
        <v>732</v>
      </c>
      <c r="P125" s="36" t="s">
        <v>62</v>
      </c>
      <c r="Q125" s="36" t="s">
        <v>63</v>
      </c>
      <c r="R125" s="36" t="s">
        <v>64</v>
      </c>
      <c r="S125" s="32"/>
      <c r="T125" s="32"/>
      <c r="U125" s="32"/>
      <c r="V125" s="32"/>
      <c r="W125" s="32"/>
      <c r="X125" s="24" t="s">
        <v>161</v>
      </c>
      <c r="Y125" s="24" t="s">
        <v>733</v>
      </c>
      <c r="Z125" s="24" t="s">
        <v>734</v>
      </c>
      <c r="AA125" s="32"/>
      <c r="AB125" s="32"/>
      <c r="AC125" s="38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</row>
    <row r="126" ht="15.75" customHeight="1">
      <c r="A126" s="23">
        <v>46007.0</v>
      </c>
      <c r="B126" s="66" t="s">
        <v>735</v>
      </c>
      <c r="C126" s="25" t="s">
        <v>38</v>
      </c>
      <c r="D126" s="26" t="s">
        <v>190</v>
      </c>
      <c r="E126" s="27">
        <f t="shared" si="6"/>
        <v>46028</v>
      </c>
      <c r="F126" s="28">
        <v>46048.0</v>
      </c>
      <c r="G126" s="26" t="s">
        <v>39</v>
      </c>
      <c r="H126" s="26">
        <v>1.0</v>
      </c>
      <c r="I126" s="29"/>
      <c r="J126" s="30"/>
      <c r="K126" s="31" t="s">
        <v>33</v>
      </c>
      <c r="L126" s="32"/>
      <c r="M126" s="40" t="s">
        <v>736</v>
      </c>
      <c r="N126" s="34" t="s">
        <v>737</v>
      </c>
      <c r="O126" s="35" t="s">
        <v>738</v>
      </c>
      <c r="P126" s="36" t="s">
        <v>78</v>
      </c>
      <c r="Q126" s="36" t="s">
        <v>194</v>
      </c>
      <c r="R126" s="37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8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</row>
    <row r="127" ht="15.75" customHeight="1">
      <c r="A127" s="23">
        <v>46006.0</v>
      </c>
      <c r="B127" s="66" t="s">
        <v>739</v>
      </c>
      <c r="C127" s="25" t="s">
        <v>678</v>
      </c>
      <c r="D127" s="26" t="s">
        <v>211</v>
      </c>
      <c r="E127" s="27">
        <f t="shared" si="6"/>
        <v>46027</v>
      </c>
      <c r="F127" s="28">
        <v>46037.0</v>
      </c>
      <c r="G127" s="26" t="s">
        <v>55</v>
      </c>
      <c r="H127" s="26">
        <v>1.0</v>
      </c>
      <c r="I127" s="29"/>
      <c r="J127" s="30"/>
      <c r="K127" s="31" t="s">
        <v>157</v>
      </c>
      <c r="L127" s="47" t="s">
        <v>740</v>
      </c>
      <c r="M127" s="40" t="s">
        <v>741</v>
      </c>
      <c r="N127" s="34" t="s">
        <v>742</v>
      </c>
      <c r="O127" s="35" t="s">
        <v>743</v>
      </c>
      <c r="P127" s="36" t="s">
        <v>62</v>
      </c>
      <c r="Q127" s="36" t="s">
        <v>63</v>
      </c>
      <c r="R127" s="36" t="s">
        <v>64</v>
      </c>
      <c r="S127" s="24" t="s">
        <v>268</v>
      </c>
      <c r="T127" s="32"/>
      <c r="U127" s="32"/>
      <c r="V127" s="32"/>
      <c r="W127" s="32"/>
      <c r="X127" s="32"/>
      <c r="Y127" s="32"/>
      <c r="Z127" s="32"/>
      <c r="AA127" s="32"/>
      <c r="AB127" s="32"/>
      <c r="AC127" s="38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</row>
    <row r="128" ht="15.75" customHeight="1">
      <c r="A128" s="23">
        <v>46002.0</v>
      </c>
      <c r="B128" s="46" t="s">
        <v>744</v>
      </c>
      <c r="C128" s="25" t="s">
        <v>44</v>
      </c>
      <c r="D128" s="26" t="s">
        <v>211</v>
      </c>
      <c r="E128" s="27">
        <f t="shared" si="6"/>
        <v>46023</v>
      </c>
      <c r="F128" s="28">
        <v>46044.0</v>
      </c>
      <c r="G128" s="26" t="s">
        <v>32</v>
      </c>
      <c r="H128" s="26">
        <v>1.0</v>
      </c>
      <c r="I128" s="29"/>
      <c r="J128" s="30"/>
      <c r="K128" s="31" t="s">
        <v>33</v>
      </c>
      <c r="L128" s="41" t="s">
        <v>745</v>
      </c>
      <c r="M128" s="40" t="s">
        <v>746</v>
      </c>
      <c r="N128" s="35" t="s">
        <v>747</v>
      </c>
      <c r="O128" s="35" t="s">
        <v>748</v>
      </c>
      <c r="P128" s="36" t="s">
        <v>62</v>
      </c>
      <c r="Q128" s="36" t="s">
        <v>63</v>
      </c>
      <c r="R128" s="36" t="s">
        <v>64</v>
      </c>
      <c r="S128" s="32"/>
      <c r="T128" s="32"/>
      <c r="U128" s="32"/>
      <c r="V128" s="32"/>
      <c r="W128" s="32"/>
      <c r="X128" s="24" t="s">
        <v>749</v>
      </c>
      <c r="Y128" s="32"/>
      <c r="Z128" s="32"/>
      <c r="AA128" s="32"/>
      <c r="AB128" s="32"/>
      <c r="AC128" s="38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</row>
    <row r="129" ht="15.75" customHeight="1">
      <c r="A129" s="23">
        <v>46001.0</v>
      </c>
      <c r="B129" s="24" t="s">
        <v>750</v>
      </c>
      <c r="C129" s="25" t="s">
        <v>44</v>
      </c>
      <c r="D129" s="26" t="s">
        <v>91</v>
      </c>
      <c r="E129" s="27">
        <f t="shared" si="6"/>
        <v>46022</v>
      </c>
      <c r="F129" s="28">
        <v>46044.0</v>
      </c>
      <c r="G129" s="26" t="s">
        <v>32</v>
      </c>
      <c r="H129" s="26">
        <v>3.0</v>
      </c>
      <c r="I129" s="29"/>
      <c r="J129" s="30"/>
      <c r="K129" s="31" t="s">
        <v>33</v>
      </c>
      <c r="L129" s="75" t="s">
        <v>751</v>
      </c>
      <c r="M129" s="40" t="s">
        <v>752</v>
      </c>
      <c r="N129" s="35" t="s">
        <v>753</v>
      </c>
      <c r="O129" s="35" t="s">
        <v>754</v>
      </c>
      <c r="P129" s="36" t="s">
        <v>62</v>
      </c>
      <c r="Q129" s="36" t="s">
        <v>63</v>
      </c>
      <c r="R129" s="36" t="s">
        <v>64</v>
      </c>
      <c r="S129" s="24" t="s">
        <v>154</v>
      </c>
      <c r="T129" s="24" t="s">
        <v>195</v>
      </c>
      <c r="U129" s="32"/>
      <c r="V129" s="32"/>
      <c r="W129" s="32"/>
      <c r="X129" s="24" t="s">
        <v>755</v>
      </c>
      <c r="Y129" s="24" t="s">
        <v>756</v>
      </c>
      <c r="Z129" s="32"/>
      <c r="AA129" s="32"/>
      <c r="AB129" s="32"/>
      <c r="AC129" s="38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</row>
    <row r="130" ht="15.75" customHeight="1">
      <c r="A130" s="23">
        <v>46001.0</v>
      </c>
      <c r="B130" s="24" t="s">
        <v>757</v>
      </c>
      <c r="C130" s="25" t="s">
        <v>758</v>
      </c>
      <c r="D130" s="26" t="s">
        <v>211</v>
      </c>
      <c r="E130" s="27">
        <f t="shared" si="6"/>
        <v>46022</v>
      </c>
      <c r="F130" s="28">
        <v>46062.0</v>
      </c>
      <c r="G130" s="26" t="s">
        <v>32</v>
      </c>
      <c r="H130" s="26">
        <v>1.0</v>
      </c>
      <c r="I130" s="29"/>
      <c r="J130" s="30"/>
      <c r="K130" s="31" t="s">
        <v>759</v>
      </c>
      <c r="L130" s="47" t="s">
        <v>145</v>
      </c>
      <c r="M130" s="40" t="s">
        <v>760</v>
      </c>
      <c r="N130" s="35" t="s">
        <v>761</v>
      </c>
      <c r="O130" s="35" t="s">
        <v>762</v>
      </c>
      <c r="P130" s="52" t="s">
        <v>250</v>
      </c>
      <c r="Q130" s="52" t="s">
        <v>250</v>
      </c>
      <c r="R130" s="37"/>
      <c r="S130" s="24" t="s">
        <v>763</v>
      </c>
      <c r="T130" s="32"/>
      <c r="U130" s="32"/>
      <c r="V130" s="32"/>
      <c r="W130" s="32"/>
      <c r="X130" s="24" t="s">
        <v>375</v>
      </c>
      <c r="Y130" s="24" t="s">
        <v>302</v>
      </c>
      <c r="Z130" s="43" t="s">
        <v>405</v>
      </c>
      <c r="AA130" s="32"/>
      <c r="AB130" s="32"/>
      <c r="AC130" s="38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</row>
    <row r="131" ht="15.75" customHeight="1">
      <c r="A131" s="23">
        <v>46000.0</v>
      </c>
      <c r="B131" s="44" t="s">
        <v>764</v>
      </c>
      <c r="C131" s="25" t="s">
        <v>84</v>
      </c>
      <c r="D131" s="26" t="s">
        <v>190</v>
      </c>
      <c r="E131" s="27">
        <f t="shared" si="6"/>
        <v>46021</v>
      </c>
      <c r="F131" s="28"/>
      <c r="G131" s="26" t="s">
        <v>157</v>
      </c>
      <c r="H131" s="26">
        <v>1.0</v>
      </c>
      <c r="I131" s="29"/>
      <c r="J131" s="30"/>
      <c r="K131" s="31"/>
      <c r="L131" s="24"/>
      <c r="M131" s="81"/>
      <c r="N131" s="82"/>
      <c r="O131" s="24"/>
      <c r="P131" s="52"/>
      <c r="Q131" s="52"/>
      <c r="R131" s="37"/>
      <c r="S131" s="32"/>
      <c r="T131" s="32"/>
      <c r="U131" s="32"/>
      <c r="V131" s="32"/>
      <c r="W131" s="32"/>
      <c r="X131" s="24"/>
      <c r="Y131" s="32"/>
      <c r="Z131" s="32"/>
      <c r="AA131" s="32"/>
      <c r="AB131" s="32"/>
      <c r="AC131" s="38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</row>
    <row r="132" ht="15.75" customHeight="1">
      <c r="A132" s="23">
        <v>46000.0</v>
      </c>
      <c r="B132" s="24" t="s">
        <v>765</v>
      </c>
      <c r="C132" s="25" t="s">
        <v>38</v>
      </c>
      <c r="D132" s="26" t="s">
        <v>190</v>
      </c>
      <c r="E132" s="27">
        <f t="shared" si="6"/>
        <v>46021</v>
      </c>
      <c r="F132" s="28">
        <v>46049.0</v>
      </c>
      <c r="G132" s="26" t="s">
        <v>39</v>
      </c>
      <c r="H132" s="26">
        <v>1.0</v>
      </c>
      <c r="I132" s="29"/>
      <c r="J132" s="30"/>
      <c r="K132" s="31" t="s">
        <v>49</v>
      </c>
      <c r="L132" s="32"/>
      <c r="M132" s="40" t="s">
        <v>766</v>
      </c>
      <c r="N132" s="34" t="s">
        <v>767</v>
      </c>
      <c r="O132" s="35" t="s">
        <v>768</v>
      </c>
      <c r="P132" s="83" t="s">
        <v>636</v>
      </c>
      <c r="Q132" s="83" t="s">
        <v>637</v>
      </c>
      <c r="R132" s="80" t="s">
        <v>638</v>
      </c>
      <c r="S132" s="32"/>
      <c r="T132" s="32"/>
      <c r="U132" s="32"/>
      <c r="V132" s="32"/>
      <c r="W132" s="32"/>
      <c r="X132" s="24" t="s">
        <v>769</v>
      </c>
      <c r="Y132" s="24" t="s">
        <v>770</v>
      </c>
      <c r="Z132" s="24" t="s">
        <v>771</v>
      </c>
      <c r="AA132" s="32"/>
      <c r="AB132" s="32"/>
      <c r="AC132" s="38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</row>
    <row r="133" ht="15.75" customHeight="1">
      <c r="A133" s="23">
        <v>45999.0</v>
      </c>
      <c r="B133" s="66" t="s">
        <v>772</v>
      </c>
      <c r="C133" s="25" t="s">
        <v>210</v>
      </c>
      <c r="D133" s="26" t="s">
        <v>211</v>
      </c>
      <c r="E133" s="27">
        <f t="shared" si="6"/>
        <v>46020</v>
      </c>
      <c r="F133" s="28">
        <v>46036.0</v>
      </c>
      <c r="G133" s="26" t="s">
        <v>55</v>
      </c>
      <c r="H133" s="26">
        <v>1.0</v>
      </c>
      <c r="I133" s="29"/>
      <c r="J133" s="30"/>
      <c r="K133" s="31" t="s">
        <v>33</v>
      </c>
      <c r="L133" s="32"/>
      <c r="M133" s="40" t="s">
        <v>773</v>
      </c>
      <c r="N133" s="34" t="s">
        <v>774</v>
      </c>
      <c r="O133" s="35" t="s">
        <v>775</v>
      </c>
      <c r="P133" s="36" t="s">
        <v>62</v>
      </c>
      <c r="Q133" s="36" t="s">
        <v>63</v>
      </c>
      <c r="R133" s="36" t="s">
        <v>64</v>
      </c>
      <c r="S133" s="24" t="s">
        <v>154</v>
      </c>
      <c r="T133" s="32"/>
      <c r="U133" s="32"/>
      <c r="V133" s="32"/>
      <c r="W133" s="32"/>
      <c r="X133" s="32"/>
      <c r="Y133" s="32"/>
      <c r="Z133" s="32"/>
      <c r="AA133" s="32"/>
      <c r="AB133" s="32"/>
      <c r="AC133" s="38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</row>
    <row r="134" ht="15.75" customHeight="1">
      <c r="A134" s="23">
        <v>45999.0</v>
      </c>
      <c r="B134" s="24" t="s">
        <v>776</v>
      </c>
      <c r="C134" s="25" t="s">
        <v>54</v>
      </c>
      <c r="D134" s="26" t="s">
        <v>211</v>
      </c>
      <c r="E134" s="27">
        <f t="shared" si="6"/>
        <v>46020</v>
      </c>
      <c r="F134" s="28">
        <v>46036.0</v>
      </c>
      <c r="G134" s="26" t="s">
        <v>32</v>
      </c>
      <c r="H134" s="26">
        <v>1.0</v>
      </c>
      <c r="I134" s="29"/>
      <c r="J134" s="30"/>
      <c r="K134" s="31" t="s">
        <v>157</v>
      </c>
      <c r="L134" s="32"/>
      <c r="M134" s="40" t="s">
        <v>777</v>
      </c>
      <c r="N134" s="35" t="s">
        <v>778</v>
      </c>
      <c r="O134" s="35" t="s">
        <v>779</v>
      </c>
      <c r="P134" s="36" t="s">
        <v>166</v>
      </c>
      <c r="Q134" s="36" t="s">
        <v>780</v>
      </c>
      <c r="R134" s="36" t="s">
        <v>781</v>
      </c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8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</row>
    <row r="135" ht="15.75" customHeight="1">
      <c r="A135" s="23">
        <v>45999.0</v>
      </c>
      <c r="B135" s="24" t="s">
        <v>782</v>
      </c>
      <c r="C135" s="25" t="s">
        <v>54</v>
      </c>
      <c r="D135" s="26" t="s">
        <v>211</v>
      </c>
      <c r="E135" s="27">
        <f t="shared" si="6"/>
        <v>46020</v>
      </c>
      <c r="F135" s="28">
        <v>46055.0</v>
      </c>
      <c r="G135" s="26" t="s">
        <v>32</v>
      </c>
      <c r="H135" s="26">
        <v>1.0</v>
      </c>
      <c r="I135" s="29"/>
      <c r="J135" s="30"/>
      <c r="K135" s="31" t="s">
        <v>157</v>
      </c>
      <c r="L135" s="32"/>
      <c r="M135" s="40" t="s">
        <v>783</v>
      </c>
      <c r="N135" s="35" t="s">
        <v>778</v>
      </c>
      <c r="O135" s="35" t="s">
        <v>784</v>
      </c>
      <c r="P135" s="36" t="s">
        <v>166</v>
      </c>
      <c r="Q135" s="36" t="s">
        <v>780</v>
      </c>
      <c r="R135" s="36" t="s">
        <v>781</v>
      </c>
      <c r="S135" s="32"/>
      <c r="T135" s="32"/>
      <c r="U135" s="32"/>
      <c r="V135" s="32"/>
      <c r="W135" s="32"/>
      <c r="X135" s="24" t="s">
        <v>215</v>
      </c>
      <c r="Y135" s="24" t="s">
        <v>785</v>
      </c>
      <c r="Z135" s="32"/>
      <c r="AA135" s="32"/>
      <c r="AB135" s="32"/>
      <c r="AC135" s="38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 ht="15.75" customHeight="1">
      <c r="A136" s="23">
        <v>45999.0</v>
      </c>
      <c r="B136" s="66" t="s">
        <v>786</v>
      </c>
      <c r="C136" s="25" t="s">
        <v>54</v>
      </c>
      <c r="D136" s="26" t="s">
        <v>211</v>
      </c>
      <c r="E136" s="27">
        <f t="shared" si="6"/>
        <v>46020</v>
      </c>
      <c r="F136" s="28">
        <v>46036.0</v>
      </c>
      <c r="G136" s="26" t="s">
        <v>39</v>
      </c>
      <c r="H136" s="26">
        <v>1.0</v>
      </c>
      <c r="I136" s="29"/>
      <c r="J136" s="30"/>
      <c r="K136" s="31" t="s">
        <v>49</v>
      </c>
      <c r="L136" s="47" t="s">
        <v>787</v>
      </c>
      <c r="M136" s="40" t="s">
        <v>788</v>
      </c>
      <c r="N136" s="34" t="s">
        <v>789</v>
      </c>
      <c r="O136" s="35" t="s">
        <v>790</v>
      </c>
      <c r="P136" s="36" t="s">
        <v>52</v>
      </c>
      <c r="Q136" s="37"/>
      <c r="R136" s="37"/>
      <c r="S136" s="32"/>
      <c r="T136" s="32"/>
      <c r="U136" s="32"/>
      <c r="V136" s="32"/>
      <c r="W136" s="32"/>
      <c r="X136" s="24" t="s">
        <v>791</v>
      </c>
      <c r="Y136" s="32"/>
      <c r="Z136" s="32"/>
      <c r="AA136" s="32"/>
      <c r="AB136" s="32"/>
      <c r="AC136" s="38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</row>
    <row r="137" ht="15.75" customHeight="1">
      <c r="A137" s="23">
        <v>45996.0</v>
      </c>
      <c r="B137" s="41" t="s">
        <v>792</v>
      </c>
      <c r="C137" s="25" t="s">
        <v>54</v>
      </c>
      <c r="D137" s="26" t="s">
        <v>85</v>
      </c>
      <c r="E137" s="27">
        <f t="shared" si="6"/>
        <v>46017</v>
      </c>
      <c r="F137" s="28"/>
      <c r="G137" s="26" t="s">
        <v>157</v>
      </c>
      <c r="H137" s="26">
        <v>2.0</v>
      </c>
      <c r="I137" s="29"/>
      <c r="J137" s="30"/>
      <c r="K137" s="31" t="s">
        <v>759</v>
      </c>
      <c r="L137" s="24" t="s">
        <v>793</v>
      </c>
      <c r="M137" s="40" t="s">
        <v>794</v>
      </c>
      <c r="N137" s="35" t="s">
        <v>795</v>
      </c>
      <c r="O137" s="35" t="s">
        <v>796</v>
      </c>
      <c r="P137" s="36" t="s">
        <v>36</v>
      </c>
      <c r="Q137" s="37"/>
      <c r="R137" s="37"/>
      <c r="S137" s="24"/>
      <c r="T137" s="32"/>
      <c r="U137" s="32"/>
      <c r="V137" s="32"/>
      <c r="W137" s="32"/>
      <c r="X137" s="24"/>
      <c r="Y137" s="24"/>
      <c r="Z137" s="32"/>
      <c r="AA137" s="32"/>
      <c r="AB137" s="32"/>
      <c r="AC137" s="38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 ht="15.75" customHeight="1">
      <c r="A138" s="23">
        <v>45996.0</v>
      </c>
      <c r="B138" s="24" t="s">
        <v>797</v>
      </c>
      <c r="C138" s="25" t="s">
        <v>798</v>
      </c>
      <c r="D138" s="26" t="s">
        <v>190</v>
      </c>
      <c r="E138" s="27">
        <f t="shared" si="6"/>
        <v>46017</v>
      </c>
      <c r="F138" s="28">
        <v>46036.0</v>
      </c>
      <c r="G138" s="26" t="s">
        <v>55</v>
      </c>
      <c r="H138" s="26">
        <v>7.0</v>
      </c>
      <c r="I138" s="29"/>
      <c r="J138" s="30"/>
      <c r="K138" s="31" t="s">
        <v>33</v>
      </c>
      <c r="L138" s="24" t="s">
        <v>799</v>
      </c>
      <c r="M138" s="40" t="s">
        <v>800</v>
      </c>
      <c r="N138" s="35" t="s">
        <v>801</v>
      </c>
      <c r="O138" s="35" t="s">
        <v>802</v>
      </c>
      <c r="P138" s="36" t="s">
        <v>62</v>
      </c>
      <c r="Q138" s="36" t="s">
        <v>63</v>
      </c>
      <c r="R138" s="36" t="s">
        <v>64</v>
      </c>
      <c r="S138" s="24" t="s">
        <v>154</v>
      </c>
      <c r="T138" s="32"/>
      <c r="U138" s="32"/>
      <c r="V138" s="32"/>
      <c r="W138" s="32"/>
      <c r="X138" s="24" t="s">
        <v>803</v>
      </c>
      <c r="Y138" s="24" t="s">
        <v>804</v>
      </c>
      <c r="Z138" s="32"/>
      <c r="AA138" s="32"/>
      <c r="AB138" s="32"/>
      <c r="AC138" s="38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 ht="15.75" customHeight="1">
      <c r="A139" s="23">
        <v>45996.0</v>
      </c>
      <c r="B139" s="24" t="s">
        <v>792</v>
      </c>
      <c r="C139" s="25" t="s">
        <v>54</v>
      </c>
      <c r="D139" s="26" t="s">
        <v>211</v>
      </c>
      <c r="E139" s="27">
        <f t="shared" si="6"/>
        <v>46017</v>
      </c>
      <c r="F139" s="28"/>
      <c r="G139" s="26" t="s">
        <v>32</v>
      </c>
      <c r="H139" s="26">
        <v>2.0</v>
      </c>
      <c r="I139" s="29"/>
      <c r="J139" s="30"/>
      <c r="K139" s="31" t="s">
        <v>759</v>
      </c>
      <c r="L139" s="75" t="s">
        <v>805</v>
      </c>
      <c r="M139" s="40" t="s">
        <v>794</v>
      </c>
      <c r="N139" s="35" t="s">
        <v>795</v>
      </c>
      <c r="O139" s="35" t="s">
        <v>796</v>
      </c>
      <c r="P139" s="36" t="s">
        <v>36</v>
      </c>
      <c r="Q139" s="37"/>
      <c r="R139" s="37"/>
      <c r="S139" s="24" t="s">
        <v>149</v>
      </c>
      <c r="T139" s="32"/>
      <c r="U139" s="32"/>
      <c r="V139" s="32"/>
      <c r="W139" s="32"/>
      <c r="X139" s="24" t="s">
        <v>806</v>
      </c>
      <c r="Y139" s="24" t="s">
        <v>807</v>
      </c>
      <c r="Z139" s="24" t="s">
        <v>370</v>
      </c>
      <c r="AA139" s="32"/>
      <c r="AB139" s="32"/>
      <c r="AC139" s="38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</row>
    <row r="140" ht="15.75" customHeight="1">
      <c r="A140" s="23">
        <v>45995.0</v>
      </c>
      <c r="B140" s="66" t="s">
        <v>808</v>
      </c>
      <c r="C140" s="25" t="s">
        <v>263</v>
      </c>
      <c r="D140" s="26" t="s">
        <v>211</v>
      </c>
      <c r="E140" s="27">
        <f t="shared" si="6"/>
        <v>46016</v>
      </c>
      <c r="F140" s="28">
        <v>45999.0</v>
      </c>
      <c r="G140" s="26" t="s">
        <v>32</v>
      </c>
      <c r="H140" s="26">
        <v>1.0</v>
      </c>
      <c r="I140" s="29"/>
      <c r="J140" s="30"/>
      <c r="K140" s="31" t="s">
        <v>157</v>
      </c>
      <c r="L140" s="47" t="s">
        <v>298</v>
      </c>
      <c r="M140" s="40" t="s">
        <v>809</v>
      </c>
      <c r="N140" s="34" t="s">
        <v>810</v>
      </c>
      <c r="O140" s="35" t="s">
        <v>811</v>
      </c>
      <c r="P140" s="36" t="s">
        <v>62</v>
      </c>
      <c r="Q140" s="36" t="s">
        <v>63</v>
      </c>
      <c r="R140" s="36" t="s">
        <v>64</v>
      </c>
      <c r="S140" s="24" t="s">
        <v>268</v>
      </c>
      <c r="T140" s="32"/>
      <c r="U140" s="32"/>
      <c r="V140" s="32"/>
      <c r="W140" s="32"/>
      <c r="X140" s="24" t="s">
        <v>268</v>
      </c>
      <c r="Y140" s="32"/>
      <c r="Z140" s="32"/>
      <c r="AA140" s="32"/>
      <c r="AB140" s="32"/>
      <c r="AC140" s="38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</row>
    <row r="141" ht="15.75" customHeight="1">
      <c r="A141" s="23">
        <v>45994.0</v>
      </c>
      <c r="B141" s="66" t="s">
        <v>812</v>
      </c>
      <c r="C141" s="25" t="s">
        <v>54</v>
      </c>
      <c r="D141" s="26" t="s">
        <v>211</v>
      </c>
      <c r="E141" s="27">
        <f t="shared" si="6"/>
        <v>46015</v>
      </c>
      <c r="F141" s="28">
        <v>46029.0</v>
      </c>
      <c r="G141" s="26" t="s">
        <v>39</v>
      </c>
      <c r="H141" s="26">
        <v>1.0</v>
      </c>
      <c r="I141" s="29"/>
      <c r="J141" s="30"/>
      <c r="K141" s="31" t="s">
        <v>49</v>
      </c>
      <c r="L141" s="32"/>
      <c r="M141" s="40" t="s">
        <v>813</v>
      </c>
      <c r="N141" s="35" t="s">
        <v>814</v>
      </c>
      <c r="O141" s="35" t="s">
        <v>815</v>
      </c>
      <c r="P141" s="36" t="s">
        <v>62</v>
      </c>
      <c r="Q141" s="36" t="s">
        <v>63</v>
      </c>
      <c r="R141" s="36" t="s">
        <v>64</v>
      </c>
      <c r="S141" s="24" t="s">
        <v>816</v>
      </c>
      <c r="T141" s="24" t="s">
        <v>817</v>
      </c>
      <c r="U141" s="24" t="s">
        <v>200</v>
      </c>
      <c r="V141" s="24" t="s">
        <v>149</v>
      </c>
      <c r="W141" s="24" t="s">
        <v>818</v>
      </c>
      <c r="X141" s="24" t="s">
        <v>302</v>
      </c>
      <c r="Y141" s="24" t="s">
        <v>819</v>
      </c>
      <c r="Z141" s="32"/>
      <c r="AA141" s="32"/>
      <c r="AB141" s="32"/>
      <c r="AC141" s="38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</row>
    <row r="142" ht="15.75" customHeight="1">
      <c r="A142" s="23">
        <v>45993.0</v>
      </c>
      <c r="B142" s="24" t="s">
        <v>820</v>
      </c>
      <c r="C142" s="25" t="s">
        <v>44</v>
      </c>
      <c r="D142" s="26" t="s">
        <v>211</v>
      </c>
      <c r="E142" s="27">
        <f t="shared" si="6"/>
        <v>46014</v>
      </c>
      <c r="F142" s="28">
        <v>46008.0</v>
      </c>
      <c r="G142" s="26" t="s">
        <v>32</v>
      </c>
      <c r="H142" s="26">
        <v>1.0</v>
      </c>
      <c r="I142" s="29"/>
      <c r="J142" s="30"/>
      <c r="K142" s="31" t="s">
        <v>33</v>
      </c>
      <c r="L142" s="47" t="s">
        <v>821</v>
      </c>
      <c r="M142" s="40" t="s">
        <v>822</v>
      </c>
      <c r="N142" s="34" t="s">
        <v>823</v>
      </c>
      <c r="O142" s="35" t="s">
        <v>824</v>
      </c>
      <c r="P142" s="36" t="s">
        <v>825</v>
      </c>
      <c r="Q142" s="37"/>
      <c r="R142" s="37"/>
      <c r="S142" s="24" t="s">
        <v>149</v>
      </c>
      <c r="T142" s="32"/>
      <c r="U142" s="32"/>
      <c r="V142" s="32"/>
      <c r="W142" s="32"/>
      <c r="X142" s="24" t="s">
        <v>826</v>
      </c>
      <c r="Y142" s="24" t="s">
        <v>539</v>
      </c>
      <c r="Z142" s="32"/>
      <c r="AA142" s="32"/>
      <c r="AB142" s="32"/>
      <c r="AC142" s="38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 ht="15.75" customHeight="1">
      <c r="A143" s="23">
        <v>45993.0</v>
      </c>
      <c r="B143" s="24" t="s">
        <v>827</v>
      </c>
      <c r="C143" s="25" t="s">
        <v>54</v>
      </c>
      <c r="D143" s="26" t="s">
        <v>85</v>
      </c>
      <c r="E143" s="27">
        <f t="shared" si="6"/>
        <v>46014</v>
      </c>
      <c r="F143" s="28"/>
      <c r="G143" s="26" t="s">
        <v>32</v>
      </c>
      <c r="H143" s="26">
        <v>1.0</v>
      </c>
      <c r="I143" s="29"/>
      <c r="J143" s="30"/>
      <c r="K143" s="31" t="s">
        <v>33</v>
      </c>
      <c r="L143" s="47" t="s">
        <v>828</v>
      </c>
      <c r="M143" s="40" t="s">
        <v>829</v>
      </c>
      <c r="N143" s="35" t="s">
        <v>830</v>
      </c>
      <c r="O143" s="35" t="s">
        <v>831</v>
      </c>
      <c r="P143" s="69" t="s">
        <v>250</v>
      </c>
      <c r="Q143" s="52" t="s">
        <v>250</v>
      </c>
      <c r="R143" s="37"/>
      <c r="S143" s="24" t="s">
        <v>832</v>
      </c>
      <c r="T143" s="32"/>
      <c r="U143" s="32"/>
      <c r="V143" s="32"/>
      <c r="W143" s="32"/>
      <c r="X143" s="24" t="s">
        <v>375</v>
      </c>
      <c r="Y143" s="24" t="s">
        <v>370</v>
      </c>
      <c r="Z143" s="24" t="s">
        <v>302</v>
      </c>
      <c r="AA143" s="24" t="s">
        <v>377</v>
      </c>
      <c r="AB143" s="24" t="s">
        <v>833</v>
      </c>
      <c r="AC143" s="84" t="s">
        <v>526</v>
      </c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</row>
    <row r="144" ht="15.75" customHeight="1">
      <c r="A144" s="23">
        <v>45993.0</v>
      </c>
      <c r="B144" s="24" t="s">
        <v>834</v>
      </c>
      <c r="C144" s="25" t="s">
        <v>54</v>
      </c>
      <c r="D144" s="26" t="s">
        <v>211</v>
      </c>
      <c r="E144" s="27">
        <f t="shared" si="6"/>
        <v>46014</v>
      </c>
      <c r="F144" s="28">
        <v>46015.0</v>
      </c>
      <c r="G144" s="26" t="s">
        <v>32</v>
      </c>
      <c r="H144" s="26">
        <v>1.0</v>
      </c>
      <c r="I144" s="25" t="s">
        <v>55</v>
      </c>
      <c r="J144" s="26">
        <v>1.0</v>
      </c>
      <c r="K144" s="31" t="s">
        <v>157</v>
      </c>
      <c r="L144" s="32"/>
      <c r="M144" s="40" t="s">
        <v>835</v>
      </c>
      <c r="N144" s="35" t="s">
        <v>836</v>
      </c>
      <c r="O144" s="35" t="s">
        <v>837</v>
      </c>
      <c r="P144" s="36" t="s">
        <v>166</v>
      </c>
      <c r="Q144" s="37"/>
      <c r="R144" s="37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8"/>
      <c r="AD144" s="11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</row>
    <row r="145" ht="15.75" customHeight="1">
      <c r="A145" s="23">
        <v>45993.0</v>
      </c>
      <c r="B145" s="66" t="s">
        <v>838</v>
      </c>
      <c r="C145" s="25" t="s">
        <v>54</v>
      </c>
      <c r="D145" s="26" t="s">
        <v>211</v>
      </c>
      <c r="E145" s="27">
        <f t="shared" si="6"/>
        <v>46014</v>
      </c>
      <c r="F145" s="28">
        <v>46015.0</v>
      </c>
      <c r="G145" s="26" t="s">
        <v>55</v>
      </c>
      <c r="H145" s="26">
        <v>1.0</v>
      </c>
      <c r="I145" s="29"/>
      <c r="J145" s="30"/>
      <c r="K145" s="31" t="s">
        <v>157</v>
      </c>
      <c r="L145" s="32"/>
      <c r="M145" s="40" t="s">
        <v>839</v>
      </c>
      <c r="N145" s="35" t="s">
        <v>836</v>
      </c>
      <c r="O145" s="35" t="s">
        <v>840</v>
      </c>
      <c r="P145" s="69" t="s">
        <v>166</v>
      </c>
      <c r="Q145" s="37"/>
      <c r="R145" s="36" t="s">
        <v>841</v>
      </c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8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</row>
    <row r="146" ht="15.75" customHeight="1">
      <c r="A146" s="23">
        <v>45993.0</v>
      </c>
      <c r="B146" s="66" t="s">
        <v>842</v>
      </c>
      <c r="C146" s="25" t="s">
        <v>38</v>
      </c>
      <c r="D146" s="26" t="s">
        <v>190</v>
      </c>
      <c r="E146" s="27">
        <f t="shared" si="6"/>
        <v>46014</v>
      </c>
      <c r="F146" s="28">
        <v>46029.0</v>
      </c>
      <c r="G146" s="26" t="s">
        <v>39</v>
      </c>
      <c r="H146" s="26">
        <v>1.0</v>
      </c>
      <c r="I146" s="29"/>
      <c r="J146" s="30"/>
      <c r="K146" s="31" t="s">
        <v>33</v>
      </c>
      <c r="L146" s="32"/>
      <c r="M146" s="40" t="s">
        <v>843</v>
      </c>
      <c r="N146" s="34" t="s">
        <v>844</v>
      </c>
      <c r="O146" s="35" t="s">
        <v>845</v>
      </c>
      <c r="P146" s="36" t="s">
        <v>281</v>
      </c>
      <c r="Q146" s="37"/>
      <c r="R146" s="37"/>
      <c r="S146" s="24" t="s">
        <v>89</v>
      </c>
      <c r="T146" s="32"/>
      <c r="U146" s="32"/>
      <c r="V146" s="32"/>
      <c r="W146" s="32"/>
      <c r="X146" s="32"/>
      <c r="Y146" s="32"/>
      <c r="Z146" s="32"/>
      <c r="AA146" s="32"/>
      <c r="AB146" s="32"/>
      <c r="AC146" s="38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</row>
    <row r="147" ht="15.75" customHeight="1">
      <c r="A147" s="23">
        <v>45993.0</v>
      </c>
      <c r="B147" s="24" t="s">
        <v>846</v>
      </c>
      <c r="C147" s="25" t="s">
        <v>54</v>
      </c>
      <c r="D147" s="26" t="s">
        <v>211</v>
      </c>
      <c r="E147" s="27">
        <f t="shared" si="6"/>
        <v>46014</v>
      </c>
      <c r="F147" s="28">
        <v>46030.0</v>
      </c>
      <c r="G147" s="26" t="s">
        <v>39</v>
      </c>
      <c r="H147" s="26">
        <v>1.0</v>
      </c>
      <c r="I147" s="29"/>
      <c r="J147" s="30"/>
      <c r="K147" s="31" t="s">
        <v>49</v>
      </c>
      <c r="L147" s="32"/>
      <c r="M147" s="40" t="s">
        <v>847</v>
      </c>
      <c r="N147" s="35" t="s">
        <v>848</v>
      </c>
      <c r="O147" s="35" t="s">
        <v>849</v>
      </c>
      <c r="P147" s="35" t="s">
        <v>52</v>
      </c>
      <c r="Q147" s="37"/>
      <c r="R147" s="37"/>
      <c r="S147" s="24" t="s">
        <v>154</v>
      </c>
      <c r="T147" s="32"/>
      <c r="U147" s="32"/>
      <c r="V147" s="32"/>
      <c r="W147" s="32"/>
      <c r="X147" s="32"/>
      <c r="Y147" s="32"/>
      <c r="Z147" s="32"/>
      <c r="AA147" s="32"/>
      <c r="AB147" s="32"/>
      <c r="AC147" s="38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</row>
    <row r="148" ht="15.75" customHeight="1">
      <c r="A148" s="23">
        <v>45993.0</v>
      </c>
      <c r="B148" s="24" t="s">
        <v>850</v>
      </c>
      <c r="C148" s="25" t="s">
        <v>54</v>
      </c>
      <c r="D148" s="26" t="s">
        <v>211</v>
      </c>
      <c r="E148" s="27">
        <f t="shared" si="6"/>
        <v>46014</v>
      </c>
      <c r="F148" s="28">
        <v>46030.0</v>
      </c>
      <c r="G148" s="26" t="s">
        <v>39</v>
      </c>
      <c r="H148" s="26">
        <v>2.0</v>
      </c>
      <c r="I148" s="29"/>
      <c r="J148" s="30"/>
      <c r="K148" s="31" t="s">
        <v>49</v>
      </c>
      <c r="L148" s="32"/>
      <c r="M148" s="40" t="s">
        <v>851</v>
      </c>
      <c r="N148" s="35" t="s">
        <v>848</v>
      </c>
      <c r="O148" s="35" t="s">
        <v>852</v>
      </c>
      <c r="P148" s="35" t="s">
        <v>52</v>
      </c>
      <c r="Q148" s="37"/>
      <c r="R148" s="37"/>
      <c r="S148" s="24" t="s">
        <v>89</v>
      </c>
      <c r="T148" s="32"/>
      <c r="U148" s="32"/>
      <c r="V148" s="32"/>
      <c r="W148" s="32"/>
      <c r="X148" s="24" t="s">
        <v>89</v>
      </c>
      <c r="Y148" s="24" t="s">
        <v>853</v>
      </c>
      <c r="Z148" s="32"/>
      <c r="AA148" s="32"/>
      <c r="AB148" s="32"/>
      <c r="AC148" s="38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</row>
    <row r="149" ht="15.75" customHeight="1">
      <c r="A149" s="23">
        <v>45993.0</v>
      </c>
      <c r="B149" s="24" t="s">
        <v>854</v>
      </c>
      <c r="C149" s="25" t="s">
        <v>54</v>
      </c>
      <c r="D149" s="26" t="s">
        <v>211</v>
      </c>
      <c r="E149" s="27">
        <f t="shared" si="6"/>
        <v>46014</v>
      </c>
      <c r="F149" s="28">
        <v>46009.0</v>
      </c>
      <c r="G149" s="26" t="s">
        <v>32</v>
      </c>
      <c r="H149" s="26">
        <v>1.0</v>
      </c>
      <c r="I149" s="29"/>
      <c r="J149" s="30"/>
      <c r="K149" s="31" t="s">
        <v>157</v>
      </c>
      <c r="L149" s="47" t="s">
        <v>298</v>
      </c>
      <c r="M149" s="40" t="s">
        <v>855</v>
      </c>
      <c r="N149" s="34" t="s">
        <v>856</v>
      </c>
      <c r="O149" s="35" t="s">
        <v>857</v>
      </c>
      <c r="P149" s="36" t="s">
        <v>52</v>
      </c>
      <c r="Q149" s="37"/>
      <c r="R149" s="37"/>
      <c r="S149" s="24" t="s">
        <v>89</v>
      </c>
      <c r="T149" s="32"/>
      <c r="U149" s="32"/>
      <c r="V149" s="32"/>
      <c r="W149" s="32"/>
      <c r="X149" s="24" t="s">
        <v>89</v>
      </c>
      <c r="Y149" s="24" t="s">
        <v>853</v>
      </c>
      <c r="Z149" s="32"/>
      <c r="AA149" s="32"/>
      <c r="AB149" s="32"/>
      <c r="AC149" s="38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</row>
    <row r="150" ht="15.75" customHeight="1">
      <c r="A150" s="23">
        <v>45992.0</v>
      </c>
      <c r="B150" s="24" t="s">
        <v>858</v>
      </c>
      <c r="C150" s="25" t="s">
        <v>44</v>
      </c>
      <c r="D150" s="26" t="s">
        <v>190</v>
      </c>
      <c r="E150" s="27">
        <f t="shared" si="6"/>
        <v>46013</v>
      </c>
      <c r="F150" s="28">
        <v>46007.0</v>
      </c>
      <c r="G150" s="26" t="s">
        <v>32</v>
      </c>
      <c r="H150" s="26">
        <v>2.0</v>
      </c>
      <c r="I150" s="29"/>
      <c r="J150" s="30"/>
      <c r="K150" s="31" t="s">
        <v>157</v>
      </c>
      <c r="L150" s="47" t="s">
        <v>859</v>
      </c>
      <c r="M150" s="40" t="s">
        <v>860</v>
      </c>
      <c r="N150" s="35" t="s">
        <v>861</v>
      </c>
      <c r="O150" s="35" t="s">
        <v>862</v>
      </c>
      <c r="P150" s="36" t="s">
        <v>62</v>
      </c>
      <c r="Q150" s="36" t="s">
        <v>63</v>
      </c>
      <c r="R150" s="36" t="s">
        <v>64</v>
      </c>
      <c r="S150" s="32"/>
      <c r="T150" s="32"/>
      <c r="U150" s="32"/>
      <c r="V150" s="32"/>
      <c r="W150" s="32"/>
      <c r="X150" s="43" t="s">
        <v>863</v>
      </c>
      <c r="Y150" s="32"/>
      <c r="Z150" s="32"/>
      <c r="AA150" s="32"/>
      <c r="AB150" s="32"/>
      <c r="AC150" s="38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</row>
    <row r="151" ht="15.75" customHeight="1">
      <c r="A151" s="23">
        <v>45992.0</v>
      </c>
      <c r="B151" s="24" t="s">
        <v>864</v>
      </c>
      <c r="C151" s="25" t="s">
        <v>84</v>
      </c>
      <c r="D151" s="26" t="s">
        <v>211</v>
      </c>
      <c r="E151" s="27">
        <f t="shared" si="6"/>
        <v>46013</v>
      </c>
      <c r="F151" s="28">
        <v>46008.0</v>
      </c>
      <c r="G151" s="26" t="s">
        <v>39</v>
      </c>
      <c r="H151" s="26">
        <v>7.0</v>
      </c>
      <c r="I151" s="29"/>
      <c r="J151" s="30"/>
      <c r="K151" s="31" t="s">
        <v>33</v>
      </c>
      <c r="L151" s="47" t="s">
        <v>865</v>
      </c>
      <c r="M151" s="31" t="s">
        <v>0</v>
      </c>
      <c r="N151" s="35" t="s">
        <v>866</v>
      </c>
      <c r="O151" s="35" t="s">
        <v>867</v>
      </c>
      <c r="P151" s="36" t="s">
        <v>234</v>
      </c>
      <c r="Q151" s="37"/>
      <c r="R151" s="37"/>
      <c r="S151" s="32"/>
      <c r="T151" s="32"/>
      <c r="U151" s="32"/>
      <c r="V151" s="32"/>
      <c r="W151" s="32"/>
      <c r="X151" s="24" t="s">
        <v>868</v>
      </c>
      <c r="Y151" s="32"/>
      <c r="Z151" s="32"/>
      <c r="AA151" s="32"/>
      <c r="AB151" s="32"/>
      <c r="AC151" s="38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</row>
    <row r="152" ht="15.75" customHeight="1">
      <c r="A152" s="23">
        <v>45990.0</v>
      </c>
      <c r="B152" s="66" t="s">
        <v>869</v>
      </c>
      <c r="C152" s="25" t="s">
        <v>84</v>
      </c>
      <c r="D152" s="26" t="s">
        <v>211</v>
      </c>
      <c r="E152" s="27">
        <f t="shared" si="6"/>
        <v>46011</v>
      </c>
      <c r="F152" s="28">
        <v>46013.0</v>
      </c>
      <c r="G152" s="26" t="s">
        <v>39</v>
      </c>
      <c r="H152" s="26">
        <v>1.0</v>
      </c>
      <c r="I152" s="29"/>
      <c r="J152" s="30"/>
      <c r="K152" s="31" t="s">
        <v>33</v>
      </c>
      <c r="L152" s="24" t="s">
        <v>870</v>
      </c>
      <c r="M152" s="40" t="s">
        <v>871</v>
      </c>
      <c r="N152" s="34" t="s">
        <v>872</v>
      </c>
      <c r="O152" s="35" t="s">
        <v>873</v>
      </c>
      <c r="P152" s="36" t="s">
        <v>234</v>
      </c>
      <c r="Q152" s="37"/>
      <c r="R152" s="37"/>
      <c r="S152" s="24" t="s">
        <v>526</v>
      </c>
      <c r="T152" s="32"/>
      <c r="U152" s="32"/>
      <c r="V152" s="32"/>
      <c r="W152" s="32"/>
      <c r="X152" s="32"/>
      <c r="Y152" s="32"/>
      <c r="Z152" s="32"/>
      <c r="AA152" s="32"/>
      <c r="AB152" s="32"/>
      <c r="AC152" s="38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</row>
    <row r="153" ht="15.75" customHeight="1">
      <c r="A153" s="23">
        <v>45988.0</v>
      </c>
      <c r="B153" s="24" t="s">
        <v>874</v>
      </c>
      <c r="C153" s="25" t="s">
        <v>270</v>
      </c>
      <c r="D153" s="26" t="s">
        <v>211</v>
      </c>
      <c r="E153" s="67">
        <f t="shared" si="6"/>
        <v>46009</v>
      </c>
      <c r="F153" s="28">
        <v>45994.0</v>
      </c>
      <c r="G153" s="26" t="s">
        <v>39</v>
      </c>
      <c r="H153" s="26">
        <v>3.0</v>
      </c>
      <c r="I153" s="29"/>
      <c r="J153" s="30"/>
      <c r="K153" s="31" t="s">
        <v>33</v>
      </c>
      <c r="L153" s="24" t="s">
        <v>875</v>
      </c>
      <c r="M153" s="40" t="s">
        <v>876</v>
      </c>
      <c r="N153" s="34" t="s">
        <v>877</v>
      </c>
      <c r="O153" s="35" t="s">
        <v>878</v>
      </c>
      <c r="P153" s="36" t="s">
        <v>68</v>
      </c>
      <c r="Q153" s="36" t="s">
        <v>69</v>
      </c>
      <c r="R153" s="36" t="s">
        <v>70</v>
      </c>
      <c r="S153" s="32"/>
      <c r="T153" s="32"/>
      <c r="U153" s="32"/>
      <c r="V153" s="32"/>
      <c r="W153" s="32"/>
      <c r="X153" s="24" t="s">
        <v>879</v>
      </c>
      <c r="Y153" s="32"/>
      <c r="Z153" s="32"/>
      <c r="AA153" s="32"/>
      <c r="AB153" s="32"/>
      <c r="AC153" s="38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</row>
    <row r="154" ht="15.75" customHeight="1">
      <c r="A154" s="23">
        <v>45988.0</v>
      </c>
      <c r="B154" s="66" t="s">
        <v>880</v>
      </c>
      <c r="C154" s="25" t="s">
        <v>210</v>
      </c>
      <c r="D154" s="26" t="s">
        <v>211</v>
      </c>
      <c r="E154" s="27">
        <f t="shared" si="6"/>
        <v>46009</v>
      </c>
      <c r="F154" s="28">
        <v>46029.0</v>
      </c>
      <c r="G154" s="26" t="s">
        <v>55</v>
      </c>
      <c r="H154" s="26">
        <v>1.0</v>
      </c>
      <c r="I154" s="29"/>
      <c r="J154" s="30"/>
      <c r="K154" s="31" t="s">
        <v>33</v>
      </c>
      <c r="L154" s="47" t="s">
        <v>881</v>
      </c>
      <c r="M154" s="40" t="s">
        <v>882</v>
      </c>
      <c r="N154" s="34" t="s">
        <v>883</v>
      </c>
      <c r="O154" s="35" t="s">
        <v>884</v>
      </c>
      <c r="P154" s="36" t="s">
        <v>47</v>
      </c>
      <c r="Q154" s="37"/>
      <c r="R154" s="37"/>
      <c r="S154" s="32"/>
      <c r="T154" s="32"/>
      <c r="U154" s="32"/>
      <c r="V154" s="32"/>
      <c r="W154" s="32"/>
      <c r="X154" s="24" t="s">
        <v>466</v>
      </c>
      <c r="Y154" s="32"/>
      <c r="Z154" s="32"/>
      <c r="AA154" s="32"/>
      <c r="AB154" s="32"/>
      <c r="AC154" s="38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</row>
    <row r="155" ht="15.75" customHeight="1">
      <c r="A155" s="23">
        <v>45987.0</v>
      </c>
      <c r="B155" s="44" t="s">
        <v>885</v>
      </c>
      <c r="C155" s="25" t="s">
        <v>44</v>
      </c>
      <c r="D155" s="26" t="s">
        <v>190</v>
      </c>
      <c r="E155" s="67">
        <v>45993.0</v>
      </c>
      <c r="F155" s="26" t="s">
        <v>33</v>
      </c>
      <c r="G155" s="26" t="s">
        <v>32</v>
      </c>
      <c r="H155" s="26">
        <v>1.0</v>
      </c>
      <c r="I155" s="29"/>
      <c r="J155" s="30"/>
      <c r="K155" s="31" t="s">
        <v>33</v>
      </c>
      <c r="L155" s="47" t="s">
        <v>145</v>
      </c>
      <c r="M155" s="40" t="s">
        <v>886</v>
      </c>
      <c r="N155" s="35" t="s">
        <v>887</v>
      </c>
      <c r="O155" s="35" t="s">
        <v>888</v>
      </c>
      <c r="P155" s="36" t="s">
        <v>62</v>
      </c>
      <c r="Q155" s="37"/>
      <c r="R155" s="37"/>
      <c r="S155" s="24" t="s">
        <v>489</v>
      </c>
      <c r="T155" s="32"/>
      <c r="U155" s="32"/>
      <c r="V155" s="32"/>
      <c r="W155" s="32"/>
      <c r="X155" s="32"/>
      <c r="Y155" s="32"/>
      <c r="Z155" s="32"/>
      <c r="AA155" s="32"/>
      <c r="AB155" s="32"/>
      <c r="AC155" s="38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 ht="15.75" customHeight="1">
      <c r="A156" s="23">
        <v>45986.0</v>
      </c>
      <c r="B156" s="24" t="s">
        <v>889</v>
      </c>
      <c r="C156" s="25" t="s">
        <v>44</v>
      </c>
      <c r="D156" s="26" t="s">
        <v>211</v>
      </c>
      <c r="E156" s="27">
        <f t="shared" ref="E156:E174" si="7">A156+21</f>
        <v>46007</v>
      </c>
      <c r="F156" s="28"/>
      <c r="G156" s="26" t="s">
        <v>32</v>
      </c>
      <c r="H156" s="26">
        <v>2.0</v>
      </c>
      <c r="I156" s="29"/>
      <c r="J156" s="30"/>
      <c r="K156" s="31" t="s">
        <v>157</v>
      </c>
      <c r="L156" s="24" t="s">
        <v>890</v>
      </c>
      <c r="M156" s="40" t="s">
        <v>891</v>
      </c>
      <c r="N156" s="34" t="s">
        <v>892</v>
      </c>
      <c r="O156" s="35" t="s">
        <v>893</v>
      </c>
      <c r="P156" s="36" t="s">
        <v>894</v>
      </c>
      <c r="Q156" s="37"/>
      <c r="R156" s="37"/>
      <c r="S156" s="32"/>
      <c r="T156" s="32"/>
      <c r="U156" s="32"/>
      <c r="V156" s="32"/>
      <c r="W156" s="32"/>
      <c r="X156" s="24" t="s">
        <v>895</v>
      </c>
      <c r="Y156" s="24" t="s">
        <v>896</v>
      </c>
      <c r="Z156" s="32"/>
      <c r="AA156" s="32"/>
      <c r="AB156" s="32"/>
      <c r="AC156" s="38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</row>
    <row r="157" ht="15.75" customHeight="1">
      <c r="A157" s="23">
        <v>45986.0</v>
      </c>
      <c r="B157" s="46" t="s">
        <v>897</v>
      </c>
      <c r="C157" s="25" t="s">
        <v>175</v>
      </c>
      <c r="D157" s="26" t="s">
        <v>91</v>
      </c>
      <c r="E157" s="27">
        <f t="shared" si="7"/>
        <v>46007</v>
      </c>
      <c r="F157" s="28">
        <v>46026.0</v>
      </c>
      <c r="G157" s="26" t="s">
        <v>32</v>
      </c>
      <c r="H157" s="26">
        <v>1.0</v>
      </c>
      <c r="I157" s="29"/>
      <c r="J157" s="30"/>
      <c r="K157" s="31" t="s">
        <v>157</v>
      </c>
      <c r="L157" s="24" t="s">
        <v>898</v>
      </c>
      <c r="M157" s="40" t="s">
        <v>899</v>
      </c>
      <c r="N157" s="34" t="s">
        <v>900</v>
      </c>
      <c r="O157" s="35" t="s">
        <v>901</v>
      </c>
      <c r="P157" s="36" t="s">
        <v>62</v>
      </c>
      <c r="Q157" s="36" t="s">
        <v>63</v>
      </c>
      <c r="R157" s="36" t="s">
        <v>64</v>
      </c>
      <c r="S157" s="24" t="s">
        <v>665</v>
      </c>
      <c r="T157" s="24" t="s">
        <v>155</v>
      </c>
      <c r="U157" s="32"/>
      <c r="V157" s="32"/>
      <c r="W157" s="32"/>
      <c r="X157" s="32"/>
      <c r="Y157" s="32"/>
      <c r="Z157" s="32"/>
      <c r="AA157" s="32"/>
      <c r="AB157" s="32"/>
      <c r="AC157" s="38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</row>
    <row r="158" ht="15.75" customHeight="1">
      <c r="A158" s="23">
        <v>45986.0</v>
      </c>
      <c r="B158" s="46" t="s">
        <v>902</v>
      </c>
      <c r="C158" s="25" t="s">
        <v>175</v>
      </c>
      <c r="D158" s="26" t="s">
        <v>91</v>
      </c>
      <c r="E158" s="27">
        <f t="shared" si="7"/>
        <v>46007</v>
      </c>
      <c r="F158" s="28">
        <v>46026.0</v>
      </c>
      <c r="G158" s="26" t="s">
        <v>32</v>
      </c>
      <c r="H158" s="26">
        <v>1.0</v>
      </c>
      <c r="I158" s="29"/>
      <c r="J158" s="30"/>
      <c r="K158" s="31" t="s">
        <v>49</v>
      </c>
      <c r="L158" s="24" t="s">
        <v>903</v>
      </c>
      <c r="M158" s="40" t="s">
        <v>904</v>
      </c>
      <c r="N158" s="35" t="s">
        <v>905</v>
      </c>
      <c r="O158" s="35" t="s">
        <v>906</v>
      </c>
      <c r="P158" s="36" t="s">
        <v>62</v>
      </c>
      <c r="Q158" s="36" t="s">
        <v>63</v>
      </c>
      <c r="R158" s="36" t="s">
        <v>64</v>
      </c>
      <c r="S158" s="24" t="s">
        <v>200</v>
      </c>
      <c r="T158" s="24" t="s">
        <v>155</v>
      </c>
      <c r="U158" s="24" t="s">
        <v>667</v>
      </c>
      <c r="V158" s="32"/>
      <c r="W158" s="32"/>
      <c r="X158" s="24" t="s">
        <v>667</v>
      </c>
      <c r="Y158" s="32"/>
      <c r="Z158" s="32"/>
      <c r="AA158" s="32"/>
      <c r="AB158" s="32"/>
      <c r="AC158" s="38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 ht="15.75" customHeight="1">
      <c r="A159" s="23">
        <v>45986.0</v>
      </c>
      <c r="B159" s="57" t="s">
        <v>907</v>
      </c>
      <c r="C159" s="25" t="s">
        <v>175</v>
      </c>
      <c r="D159" s="26" t="s">
        <v>85</v>
      </c>
      <c r="E159" s="27">
        <f t="shared" si="7"/>
        <v>46007</v>
      </c>
      <c r="F159" s="28">
        <v>46026.0</v>
      </c>
      <c r="G159" s="26" t="s">
        <v>32</v>
      </c>
      <c r="H159" s="26">
        <v>1.0</v>
      </c>
      <c r="I159" s="29"/>
      <c r="J159" s="30"/>
      <c r="K159" s="31" t="s">
        <v>49</v>
      </c>
      <c r="L159" s="24" t="s">
        <v>908</v>
      </c>
      <c r="M159" s="40" t="s">
        <v>909</v>
      </c>
      <c r="N159" s="34" t="s">
        <v>910</v>
      </c>
      <c r="O159" s="35" t="s">
        <v>911</v>
      </c>
      <c r="P159" s="36" t="s">
        <v>62</v>
      </c>
      <c r="Q159" s="36" t="s">
        <v>63</v>
      </c>
      <c r="R159" s="36" t="s">
        <v>64</v>
      </c>
      <c r="S159" s="24" t="s">
        <v>912</v>
      </c>
      <c r="T159" s="24" t="s">
        <v>155</v>
      </c>
      <c r="U159" s="24" t="s">
        <v>913</v>
      </c>
      <c r="V159" s="24" t="s">
        <v>398</v>
      </c>
      <c r="W159" s="32"/>
      <c r="X159" s="24" t="s">
        <v>302</v>
      </c>
      <c r="Y159" s="24" t="s">
        <v>371</v>
      </c>
      <c r="Z159" s="24" t="s">
        <v>914</v>
      </c>
      <c r="AA159" s="24" t="s">
        <v>915</v>
      </c>
      <c r="AB159" s="85" t="s">
        <v>916</v>
      </c>
      <c r="AC159" s="84" t="s">
        <v>917</v>
      </c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 ht="15.75" customHeight="1">
      <c r="A160" s="23">
        <v>45986.0</v>
      </c>
      <c r="B160" s="57" t="s">
        <v>897</v>
      </c>
      <c r="C160" s="25" t="s">
        <v>175</v>
      </c>
      <c r="D160" s="26" t="s">
        <v>85</v>
      </c>
      <c r="E160" s="27">
        <f t="shared" si="7"/>
        <v>46007</v>
      </c>
      <c r="F160" s="28">
        <v>46026.0</v>
      </c>
      <c r="G160" s="26" t="s">
        <v>157</v>
      </c>
      <c r="H160" s="26">
        <v>1.0</v>
      </c>
      <c r="I160" s="29"/>
      <c r="J160" s="30"/>
      <c r="K160" s="31" t="s">
        <v>157</v>
      </c>
      <c r="L160" s="24" t="s">
        <v>918</v>
      </c>
      <c r="M160" s="40" t="s">
        <v>899</v>
      </c>
      <c r="N160" s="34" t="s">
        <v>900</v>
      </c>
      <c r="O160" s="35" t="s">
        <v>901</v>
      </c>
      <c r="P160" s="36" t="s">
        <v>62</v>
      </c>
      <c r="Q160" s="36" t="s">
        <v>63</v>
      </c>
      <c r="R160" s="36" t="s">
        <v>64</v>
      </c>
      <c r="S160" s="24" t="s">
        <v>665</v>
      </c>
      <c r="T160" s="24" t="s">
        <v>155</v>
      </c>
      <c r="U160" s="32"/>
      <c r="V160" s="32"/>
      <c r="W160" s="32"/>
      <c r="X160" s="32"/>
      <c r="Y160" s="32"/>
      <c r="Z160" s="32"/>
      <c r="AA160" s="32"/>
      <c r="AB160" s="32"/>
      <c r="AC160" s="38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</row>
    <row r="161" ht="15.75" customHeight="1">
      <c r="A161" s="23">
        <v>45986.0</v>
      </c>
      <c r="B161" s="46" t="s">
        <v>919</v>
      </c>
      <c r="C161" s="25" t="s">
        <v>175</v>
      </c>
      <c r="D161" s="26" t="s">
        <v>211</v>
      </c>
      <c r="E161" s="27">
        <f t="shared" si="7"/>
        <v>46007</v>
      </c>
      <c r="F161" s="28">
        <v>46026.0</v>
      </c>
      <c r="G161" s="26" t="s">
        <v>32</v>
      </c>
      <c r="H161" s="26">
        <v>1.0</v>
      </c>
      <c r="I161" s="29"/>
      <c r="J161" s="30"/>
      <c r="K161" s="31" t="s">
        <v>33</v>
      </c>
      <c r="L161" s="77" t="s">
        <v>920</v>
      </c>
      <c r="M161" s="40" t="s">
        <v>921</v>
      </c>
      <c r="N161" s="34" t="s">
        <v>922</v>
      </c>
      <c r="O161" s="35" t="s">
        <v>923</v>
      </c>
      <c r="P161" s="36" t="s">
        <v>62</v>
      </c>
      <c r="Q161" s="36" t="s">
        <v>63</v>
      </c>
      <c r="R161" s="36" t="s">
        <v>64</v>
      </c>
      <c r="S161" s="24" t="s">
        <v>200</v>
      </c>
      <c r="T161" s="24" t="s">
        <v>924</v>
      </c>
      <c r="U161" s="24" t="s">
        <v>925</v>
      </c>
      <c r="V161" s="32"/>
      <c r="W161" s="32"/>
      <c r="X161" s="32"/>
      <c r="Y161" s="32"/>
      <c r="Z161" s="32"/>
      <c r="AA161" s="32"/>
      <c r="AB161" s="32"/>
      <c r="AC161" s="38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</row>
    <row r="162" ht="15.75" customHeight="1">
      <c r="A162" s="23">
        <v>45986.0</v>
      </c>
      <c r="B162" s="46" t="s">
        <v>926</v>
      </c>
      <c r="C162" s="25" t="s">
        <v>175</v>
      </c>
      <c r="D162" s="26" t="s">
        <v>211</v>
      </c>
      <c r="E162" s="27">
        <f t="shared" si="7"/>
        <v>46007</v>
      </c>
      <c r="F162" s="28">
        <v>46002.0</v>
      </c>
      <c r="G162" s="26" t="s">
        <v>32</v>
      </c>
      <c r="H162" s="26">
        <v>1.0</v>
      </c>
      <c r="I162" s="29"/>
      <c r="J162" s="30"/>
      <c r="K162" s="31" t="s">
        <v>49</v>
      </c>
      <c r="L162" s="24" t="s">
        <v>927</v>
      </c>
      <c r="M162" s="40" t="s">
        <v>928</v>
      </c>
      <c r="N162" s="34" t="s">
        <v>929</v>
      </c>
      <c r="O162" s="35" t="s">
        <v>930</v>
      </c>
      <c r="P162" s="36" t="s">
        <v>62</v>
      </c>
      <c r="Q162" s="36" t="s">
        <v>63</v>
      </c>
      <c r="R162" s="36" t="s">
        <v>64</v>
      </c>
      <c r="S162" s="24" t="s">
        <v>200</v>
      </c>
      <c r="T162" s="24" t="s">
        <v>155</v>
      </c>
      <c r="U162" s="24" t="s">
        <v>924</v>
      </c>
      <c r="V162" s="24" t="s">
        <v>925</v>
      </c>
      <c r="W162" s="32"/>
      <c r="X162" s="24" t="s">
        <v>917</v>
      </c>
      <c r="Y162" s="32"/>
      <c r="Z162" s="32"/>
      <c r="AA162" s="32"/>
      <c r="AB162" s="32"/>
      <c r="AC162" s="38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 ht="15.75" customHeight="1">
      <c r="A163" s="23">
        <v>45986.0</v>
      </c>
      <c r="B163" s="46" t="s">
        <v>931</v>
      </c>
      <c r="C163" s="25" t="s">
        <v>175</v>
      </c>
      <c r="D163" s="26" t="s">
        <v>211</v>
      </c>
      <c r="E163" s="27">
        <f t="shared" si="7"/>
        <v>46007</v>
      </c>
      <c r="F163" s="28">
        <v>46026.0</v>
      </c>
      <c r="G163" s="26" t="s">
        <v>32</v>
      </c>
      <c r="H163" s="26">
        <v>1.0</v>
      </c>
      <c r="I163" s="29"/>
      <c r="J163" s="30"/>
      <c r="K163" s="31" t="s">
        <v>33</v>
      </c>
      <c r="L163" s="24" t="s">
        <v>932</v>
      </c>
      <c r="M163" s="40" t="s">
        <v>933</v>
      </c>
      <c r="N163" s="34" t="s">
        <v>934</v>
      </c>
      <c r="O163" s="35" t="s">
        <v>935</v>
      </c>
      <c r="P163" s="36" t="s">
        <v>62</v>
      </c>
      <c r="Q163" s="36" t="s">
        <v>63</v>
      </c>
      <c r="R163" s="36" t="s">
        <v>64</v>
      </c>
      <c r="S163" s="24" t="s">
        <v>200</v>
      </c>
      <c r="T163" s="24" t="s">
        <v>936</v>
      </c>
      <c r="U163" s="32"/>
      <c r="V163" s="32"/>
      <c r="W163" s="32"/>
      <c r="X163" s="24" t="s">
        <v>917</v>
      </c>
      <c r="Y163" s="32"/>
      <c r="Z163" s="32"/>
      <c r="AA163" s="32"/>
      <c r="AB163" s="32"/>
      <c r="AC163" s="38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</row>
    <row r="164" ht="15.75" customHeight="1">
      <c r="A164" s="23">
        <v>45986.0</v>
      </c>
      <c r="B164" s="46" t="s">
        <v>937</v>
      </c>
      <c r="C164" s="25" t="s">
        <v>175</v>
      </c>
      <c r="D164" s="26" t="s">
        <v>211</v>
      </c>
      <c r="E164" s="27">
        <f t="shared" si="7"/>
        <v>46007</v>
      </c>
      <c r="F164" s="28">
        <v>46026.0</v>
      </c>
      <c r="G164" s="26" t="s">
        <v>32</v>
      </c>
      <c r="H164" s="26">
        <v>1.0</v>
      </c>
      <c r="I164" s="29"/>
      <c r="J164" s="30"/>
      <c r="K164" s="31" t="s">
        <v>33</v>
      </c>
      <c r="L164" s="24" t="s">
        <v>938</v>
      </c>
      <c r="M164" s="40" t="s">
        <v>939</v>
      </c>
      <c r="N164" s="35" t="s">
        <v>940</v>
      </c>
      <c r="O164" s="35" t="s">
        <v>941</v>
      </c>
      <c r="P164" s="36" t="s">
        <v>62</v>
      </c>
      <c r="Q164" s="36" t="s">
        <v>63</v>
      </c>
      <c r="R164" s="36" t="s">
        <v>64</v>
      </c>
      <c r="S164" s="24" t="s">
        <v>200</v>
      </c>
      <c r="T164" s="24" t="s">
        <v>149</v>
      </c>
      <c r="U164" s="32"/>
      <c r="V164" s="32"/>
      <c r="W164" s="32"/>
      <c r="X164" s="24" t="s">
        <v>942</v>
      </c>
      <c r="Y164" s="32"/>
      <c r="Z164" s="32"/>
      <c r="AA164" s="32"/>
      <c r="AB164" s="32"/>
      <c r="AC164" s="38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 ht="15.75" customHeight="1">
      <c r="A165" s="23">
        <v>45986.0</v>
      </c>
      <c r="B165" s="46" t="s">
        <v>943</v>
      </c>
      <c r="C165" s="25" t="s">
        <v>175</v>
      </c>
      <c r="D165" s="26" t="s">
        <v>211</v>
      </c>
      <c r="E165" s="27">
        <f t="shared" si="7"/>
        <v>46007</v>
      </c>
      <c r="F165" s="28">
        <v>46026.0</v>
      </c>
      <c r="G165" s="26" t="s">
        <v>32</v>
      </c>
      <c r="H165" s="26">
        <v>2.0</v>
      </c>
      <c r="I165" s="29"/>
      <c r="J165" s="30"/>
      <c r="K165" s="31" t="s">
        <v>759</v>
      </c>
      <c r="L165" s="24" t="s">
        <v>944</v>
      </c>
      <c r="M165" s="40" t="s">
        <v>945</v>
      </c>
      <c r="N165" s="34" t="s">
        <v>946</v>
      </c>
      <c r="O165" s="35" t="s">
        <v>947</v>
      </c>
      <c r="P165" s="36" t="s">
        <v>62</v>
      </c>
      <c r="Q165" s="36" t="s">
        <v>63</v>
      </c>
      <c r="R165" s="36" t="s">
        <v>64</v>
      </c>
      <c r="S165" s="24" t="s">
        <v>817</v>
      </c>
      <c r="T165" s="24" t="s">
        <v>149</v>
      </c>
      <c r="U165" s="24" t="s">
        <v>948</v>
      </c>
      <c r="V165" s="32"/>
      <c r="W165" s="32"/>
      <c r="X165" s="32"/>
      <c r="Y165" s="32"/>
      <c r="Z165" s="32"/>
      <c r="AA165" s="32"/>
      <c r="AB165" s="32"/>
      <c r="AC165" s="38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</row>
    <row r="166" ht="15.75" customHeight="1">
      <c r="A166" s="23">
        <v>45986.0</v>
      </c>
      <c r="B166" s="46" t="s">
        <v>949</v>
      </c>
      <c r="C166" s="25" t="s">
        <v>175</v>
      </c>
      <c r="D166" s="26" t="s">
        <v>211</v>
      </c>
      <c r="E166" s="27">
        <f t="shared" si="7"/>
        <v>46007</v>
      </c>
      <c r="F166" s="28">
        <v>46026.0</v>
      </c>
      <c r="G166" s="26" t="s">
        <v>32</v>
      </c>
      <c r="H166" s="26">
        <v>1.0</v>
      </c>
      <c r="I166" s="29"/>
      <c r="J166" s="30"/>
      <c r="K166" s="31" t="s">
        <v>49</v>
      </c>
      <c r="L166" s="24" t="s">
        <v>950</v>
      </c>
      <c r="M166" s="40" t="s">
        <v>951</v>
      </c>
      <c r="N166" s="35" t="s">
        <v>952</v>
      </c>
      <c r="O166" s="35" t="s">
        <v>953</v>
      </c>
      <c r="P166" s="36" t="s">
        <v>62</v>
      </c>
      <c r="Q166" s="36" t="s">
        <v>63</v>
      </c>
      <c r="R166" s="36" t="s">
        <v>64</v>
      </c>
      <c r="S166" s="24" t="s">
        <v>200</v>
      </c>
      <c r="T166" s="24" t="s">
        <v>954</v>
      </c>
      <c r="U166" s="24" t="s">
        <v>155</v>
      </c>
      <c r="V166" s="24" t="s">
        <v>925</v>
      </c>
      <c r="W166" s="32"/>
      <c r="X166" s="24" t="s">
        <v>371</v>
      </c>
      <c r="Y166" s="24" t="s">
        <v>955</v>
      </c>
      <c r="Z166" s="24" t="s">
        <v>915</v>
      </c>
      <c r="AA166" s="24" t="s">
        <v>956</v>
      </c>
      <c r="AB166" s="65" t="s">
        <v>957</v>
      </c>
      <c r="AC166" s="38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</row>
    <row r="167" ht="15.75" customHeight="1">
      <c r="A167" s="23">
        <v>45986.0</v>
      </c>
      <c r="B167" s="46" t="s">
        <v>958</v>
      </c>
      <c r="C167" s="25" t="s">
        <v>175</v>
      </c>
      <c r="D167" s="26" t="s">
        <v>190</v>
      </c>
      <c r="E167" s="27">
        <f t="shared" si="7"/>
        <v>46007</v>
      </c>
      <c r="F167" s="28">
        <v>46026.0</v>
      </c>
      <c r="G167" s="26" t="s">
        <v>32</v>
      </c>
      <c r="H167" s="26">
        <v>1.0</v>
      </c>
      <c r="I167" s="29"/>
      <c r="J167" s="30"/>
      <c r="K167" s="31" t="s">
        <v>33</v>
      </c>
      <c r="L167" s="24" t="s">
        <v>959</v>
      </c>
      <c r="M167" s="40" t="s">
        <v>960</v>
      </c>
      <c r="N167" s="34" t="s">
        <v>961</v>
      </c>
      <c r="O167" s="35" t="s">
        <v>962</v>
      </c>
      <c r="P167" s="36" t="s">
        <v>62</v>
      </c>
      <c r="Q167" s="36" t="s">
        <v>63</v>
      </c>
      <c r="R167" s="36" t="s">
        <v>64</v>
      </c>
      <c r="S167" s="24" t="s">
        <v>352</v>
      </c>
      <c r="T167" s="24" t="s">
        <v>155</v>
      </c>
      <c r="U167" s="24" t="s">
        <v>913</v>
      </c>
      <c r="V167" s="32"/>
      <c r="W167" s="32"/>
      <c r="X167" s="24" t="s">
        <v>328</v>
      </c>
      <c r="Y167" s="32"/>
      <c r="Z167" s="32"/>
      <c r="AA167" s="32"/>
      <c r="AB167" s="32"/>
      <c r="AC167" s="38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</row>
    <row r="168" ht="15.75" customHeight="1">
      <c r="A168" s="23">
        <v>45986.0</v>
      </c>
      <c r="B168" s="46" t="s">
        <v>174</v>
      </c>
      <c r="C168" s="25" t="s">
        <v>175</v>
      </c>
      <c r="D168" s="26" t="s">
        <v>190</v>
      </c>
      <c r="E168" s="27">
        <f t="shared" si="7"/>
        <v>46007</v>
      </c>
      <c r="F168" s="28">
        <v>46026.0</v>
      </c>
      <c r="G168" s="26" t="s">
        <v>32</v>
      </c>
      <c r="H168" s="26">
        <v>1.0</v>
      </c>
      <c r="I168" s="29"/>
      <c r="J168" s="30"/>
      <c r="K168" s="31" t="s">
        <v>33</v>
      </c>
      <c r="L168" s="24" t="s">
        <v>963</v>
      </c>
      <c r="M168" s="40" t="s">
        <v>176</v>
      </c>
      <c r="N168" s="35" t="s">
        <v>177</v>
      </c>
      <c r="O168" s="35" t="s">
        <v>178</v>
      </c>
      <c r="P168" s="36" t="s">
        <v>62</v>
      </c>
      <c r="Q168" s="36" t="s">
        <v>63</v>
      </c>
      <c r="R168" s="36" t="s">
        <v>64</v>
      </c>
      <c r="S168" s="24" t="s">
        <v>155</v>
      </c>
      <c r="T168" s="32"/>
      <c r="U168" s="32"/>
      <c r="V168" s="32"/>
      <c r="W168" s="32"/>
      <c r="X168" s="32"/>
      <c r="Y168" s="32"/>
      <c r="Z168" s="32"/>
      <c r="AA168" s="32"/>
      <c r="AB168" s="32"/>
      <c r="AC168" s="38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</row>
    <row r="169" ht="15.75" customHeight="1">
      <c r="A169" s="23">
        <v>45986.0</v>
      </c>
      <c r="B169" s="46" t="s">
        <v>964</v>
      </c>
      <c r="C169" s="25" t="s">
        <v>175</v>
      </c>
      <c r="D169" s="26" t="s">
        <v>190</v>
      </c>
      <c r="E169" s="27">
        <f t="shared" si="7"/>
        <v>46007</v>
      </c>
      <c r="F169" s="28">
        <v>46026.0</v>
      </c>
      <c r="G169" s="26" t="s">
        <v>32</v>
      </c>
      <c r="H169" s="26">
        <v>1.0</v>
      </c>
      <c r="I169" s="29"/>
      <c r="J169" s="30"/>
      <c r="K169" s="31" t="s">
        <v>33</v>
      </c>
      <c r="L169" s="24" t="s">
        <v>965</v>
      </c>
      <c r="M169" s="40" t="s">
        <v>966</v>
      </c>
      <c r="N169" s="34" t="s">
        <v>967</v>
      </c>
      <c r="O169" s="35" t="s">
        <v>968</v>
      </c>
      <c r="P169" s="36" t="s">
        <v>62</v>
      </c>
      <c r="Q169" s="36" t="s">
        <v>63</v>
      </c>
      <c r="R169" s="36" t="s">
        <v>64</v>
      </c>
      <c r="S169" s="24" t="s">
        <v>665</v>
      </c>
      <c r="T169" s="24" t="s">
        <v>155</v>
      </c>
      <c r="U169" s="24" t="s">
        <v>667</v>
      </c>
      <c r="V169" s="32"/>
      <c r="W169" s="32"/>
      <c r="X169" s="32"/>
      <c r="Y169" s="32"/>
      <c r="Z169" s="32"/>
      <c r="AA169" s="32"/>
      <c r="AB169" s="32"/>
      <c r="AC169" s="38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</row>
    <row r="170" ht="15.75" customHeight="1">
      <c r="A170" s="23">
        <v>45986.0</v>
      </c>
      <c r="B170" s="46" t="s">
        <v>969</v>
      </c>
      <c r="C170" s="25" t="s">
        <v>175</v>
      </c>
      <c r="D170" s="26" t="s">
        <v>190</v>
      </c>
      <c r="E170" s="27">
        <f t="shared" si="7"/>
        <v>46007</v>
      </c>
      <c r="F170" s="28">
        <v>46026.0</v>
      </c>
      <c r="G170" s="26" t="s">
        <v>32</v>
      </c>
      <c r="H170" s="26">
        <v>1.0</v>
      </c>
      <c r="I170" s="29"/>
      <c r="J170" s="30"/>
      <c r="K170" s="31" t="s">
        <v>157</v>
      </c>
      <c r="L170" s="24" t="s">
        <v>970</v>
      </c>
      <c r="M170" s="40" t="s">
        <v>971</v>
      </c>
      <c r="N170" s="35" t="s">
        <v>972</v>
      </c>
      <c r="O170" s="35" t="s">
        <v>973</v>
      </c>
      <c r="P170" s="36" t="s">
        <v>62</v>
      </c>
      <c r="Q170" s="36" t="s">
        <v>63</v>
      </c>
      <c r="R170" s="36" t="s">
        <v>64</v>
      </c>
      <c r="S170" s="24" t="s">
        <v>352</v>
      </c>
      <c r="T170" s="24" t="s">
        <v>149</v>
      </c>
      <c r="U170" s="24" t="s">
        <v>155</v>
      </c>
      <c r="V170" s="32"/>
      <c r="W170" s="32"/>
      <c r="X170" s="24" t="s">
        <v>791</v>
      </c>
      <c r="Y170" s="32"/>
      <c r="Z170" s="32"/>
      <c r="AA170" s="32"/>
      <c r="AB170" s="32"/>
      <c r="AC170" s="38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</row>
    <row r="171" ht="15.75" customHeight="1">
      <c r="A171" s="23">
        <v>45986.0</v>
      </c>
      <c r="B171" s="46" t="s">
        <v>974</v>
      </c>
      <c r="C171" s="25" t="s">
        <v>175</v>
      </c>
      <c r="D171" s="26" t="s">
        <v>190</v>
      </c>
      <c r="E171" s="27">
        <f t="shared" si="7"/>
        <v>46007</v>
      </c>
      <c r="F171" s="28">
        <v>46026.0</v>
      </c>
      <c r="G171" s="26" t="s">
        <v>32</v>
      </c>
      <c r="H171" s="26">
        <v>1.0</v>
      </c>
      <c r="I171" s="29"/>
      <c r="J171" s="30"/>
      <c r="K171" s="31" t="s">
        <v>49</v>
      </c>
      <c r="L171" s="24"/>
      <c r="M171" s="40" t="s">
        <v>975</v>
      </c>
      <c r="N171" s="35" t="s">
        <v>976</v>
      </c>
      <c r="O171" s="35" t="s">
        <v>977</v>
      </c>
      <c r="P171" s="36" t="s">
        <v>62</v>
      </c>
      <c r="Q171" s="36" t="s">
        <v>63</v>
      </c>
      <c r="R171" s="36" t="s">
        <v>64</v>
      </c>
      <c r="S171" s="24" t="s">
        <v>352</v>
      </c>
      <c r="T171" s="24" t="s">
        <v>149</v>
      </c>
      <c r="U171" s="24" t="s">
        <v>155</v>
      </c>
      <c r="V171" s="32"/>
      <c r="W171" s="32"/>
      <c r="X171" s="24" t="s">
        <v>149</v>
      </c>
      <c r="Y171" s="24" t="s">
        <v>370</v>
      </c>
      <c r="Z171" s="24" t="s">
        <v>333</v>
      </c>
      <c r="AA171" s="43" t="s">
        <v>978</v>
      </c>
      <c r="AB171" s="24" t="s">
        <v>371</v>
      </c>
      <c r="AC171" s="38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</row>
    <row r="172" ht="15.75" customHeight="1">
      <c r="A172" s="23">
        <v>45986.0</v>
      </c>
      <c r="B172" s="46" t="s">
        <v>979</v>
      </c>
      <c r="C172" s="25" t="s">
        <v>175</v>
      </c>
      <c r="D172" s="26" t="s">
        <v>211</v>
      </c>
      <c r="E172" s="27">
        <f t="shared" si="7"/>
        <v>46007</v>
      </c>
      <c r="F172" s="28">
        <v>46026.0</v>
      </c>
      <c r="G172" s="26" t="s">
        <v>32</v>
      </c>
      <c r="H172" s="26">
        <v>1.0</v>
      </c>
      <c r="I172" s="29"/>
      <c r="J172" s="30"/>
      <c r="K172" s="31" t="s">
        <v>33</v>
      </c>
      <c r="L172" s="77" t="s">
        <v>980</v>
      </c>
      <c r="M172" s="40" t="s">
        <v>981</v>
      </c>
      <c r="N172" s="35" t="s">
        <v>982</v>
      </c>
      <c r="O172" s="35" t="s">
        <v>983</v>
      </c>
      <c r="P172" s="36" t="s">
        <v>62</v>
      </c>
      <c r="Q172" s="36" t="s">
        <v>63</v>
      </c>
      <c r="R172" s="36" t="s">
        <v>64</v>
      </c>
      <c r="S172" s="24" t="s">
        <v>154</v>
      </c>
      <c r="T172" s="24" t="s">
        <v>155</v>
      </c>
      <c r="U172" s="32"/>
      <c r="V172" s="32"/>
      <c r="W172" s="32"/>
      <c r="X172" s="32"/>
      <c r="Y172" s="32"/>
      <c r="Z172" s="32"/>
      <c r="AA172" s="32"/>
      <c r="AB172" s="32"/>
      <c r="AC172" s="38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</row>
    <row r="173" ht="15.75" customHeight="1">
      <c r="A173" s="23">
        <v>45986.0</v>
      </c>
      <c r="B173" s="46" t="s">
        <v>984</v>
      </c>
      <c r="C173" s="25" t="s">
        <v>175</v>
      </c>
      <c r="D173" s="26" t="s">
        <v>190</v>
      </c>
      <c r="E173" s="27">
        <f t="shared" si="7"/>
        <v>46007</v>
      </c>
      <c r="F173" s="28">
        <v>46026.0</v>
      </c>
      <c r="G173" s="26" t="s">
        <v>32</v>
      </c>
      <c r="H173" s="26">
        <v>1.0</v>
      </c>
      <c r="I173" s="29"/>
      <c r="J173" s="30"/>
      <c r="K173" s="31" t="s">
        <v>33</v>
      </c>
      <c r="L173" s="24" t="s">
        <v>985</v>
      </c>
      <c r="M173" s="40" t="s">
        <v>986</v>
      </c>
      <c r="N173" s="35" t="s">
        <v>987</v>
      </c>
      <c r="O173" s="35" t="s">
        <v>988</v>
      </c>
      <c r="P173" s="36" t="s">
        <v>62</v>
      </c>
      <c r="Q173" s="36" t="s">
        <v>63</v>
      </c>
      <c r="R173" s="36" t="s">
        <v>64</v>
      </c>
      <c r="S173" s="24" t="s">
        <v>352</v>
      </c>
      <c r="T173" s="32"/>
      <c r="U173" s="32"/>
      <c r="V173" s="32"/>
      <c r="W173" s="32"/>
      <c r="X173" s="24" t="s">
        <v>302</v>
      </c>
      <c r="Y173" s="24" t="s">
        <v>989</v>
      </c>
      <c r="Z173" s="24" t="s">
        <v>359</v>
      </c>
      <c r="AA173" s="32"/>
      <c r="AB173" s="32"/>
      <c r="AC173" s="38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ht="15.75" customHeight="1">
      <c r="A174" s="23">
        <v>45986.0</v>
      </c>
      <c r="B174" s="46" t="s">
        <v>990</v>
      </c>
      <c r="C174" s="25" t="s">
        <v>175</v>
      </c>
      <c r="D174" s="26" t="s">
        <v>190</v>
      </c>
      <c r="E174" s="27">
        <f t="shared" si="7"/>
        <v>46007</v>
      </c>
      <c r="F174" s="28">
        <v>46026.0</v>
      </c>
      <c r="G174" s="26" t="s">
        <v>32</v>
      </c>
      <c r="H174" s="26">
        <v>1.0</v>
      </c>
      <c r="I174" s="29"/>
      <c r="J174" s="30"/>
      <c r="K174" s="31" t="s">
        <v>33</v>
      </c>
      <c r="L174" s="24" t="s">
        <v>991</v>
      </c>
      <c r="M174" s="40" t="s">
        <v>992</v>
      </c>
      <c r="N174" s="35" t="s">
        <v>993</v>
      </c>
      <c r="O174" s="35" t="s">
        <v>994</v>
      </c>
      <c r="P174" s="36" t="s">
        <v>62</v>
      </c>
      <c r="Q174" s="36" t="s">
        <v>63</v>
      </c>
      <c r="R174" s="36" t="s">
        <v>64</v>
      </c>
      <c r="S174" s="24" t="s">
        <v>200</v>
      </c>
      <c r="T174" s="32"/>
      <c r="U174" s="32"/>
      <c r="V174" s="32"/>
      <c r="W174" s="32"/>
      <c r="X174" s="32"/>
      <c r="Y174" s="32"/>
      <c r="Z174" s="32"/>
      <c r="AA174" s="32"/>
      <c r="AB174" s="32"/>
      <c r="AC174" s="38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ht="15.75" customHeight="1">
      <c r="A175" s="23">
        <v>45986.0</v>
      </c>
      <c r="B175" s="24" t="s">
        <v>995</v>
      </c>
      <c r="C175" s="25" t="s">
        <v>210</v>
      </c>
      <c r="D175" s="26" t="s">
        <v>211</v>
      </c>
      <c r="E175" s="67">
        <v>45996.0</v>
      </c>
      <c r="F175" s="28">
        <v>45994.0</v>
      </c>
      <c r="G175" s="26" t="s">
        <v>55</v>
      </c>
      <c r="H175" s="26">
        <v>1.0</v>
      </c>
      <c r="I175" s="29"/>
      <c r="J175" s="30"/>
      <c r="K175" s="31" t="s">
        <v>33</v>
      </c>
      <c r="L175" s="47" t="s">
        <v>298</v>
      </c>
      <c r="M175" s="40" t="s">
        <v>996</v>
      </c>
      <c r="N175" s="34" t="s">
        <v>997</v>
      </c>
      <c r="O175" s="35" t="s">
        <v>998</v>
      </c>
      <c r="P175" s="36" t="s">
        <v>47</v>
      </c>
      <c r="Q175" s="37"/>
      <c r="R175" s="37"/>
      <c r="S175" s="24" t="s">
        <v>149</v>
      </c>
      <c r="T175" s="24" t="s">
        <v>999</v>
      </c>
      <c r="U175" s="24" t="s">
        <v>344</v>
      </c>
      <c r="V175" s="32"/>
      <c r="W175" s="32"/>
      <c r="X175" s="24" t="s">
        <v>149</v>
      </c>
      <c r="Y175" s="32"/>
      <c r="Z175" s="32"/>
      <c r="AA175" s="32"/>
      <c r="AB175" s="32"/>
      <c r="AC175" s="38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</row>
    <row r="176" ht="15.75" customHeight="1">
      <c r="A176" s="23">
        <v>45985.0</v>
      </c>
      <c r="B176" s="24" t="s">
        <v>1000</v>
      </c>
      <c r="C176" s="25" t="s">
        <v>44</v>
      </c>
      <c r="D176" s="26" t="s">
        <v>190</v>
      </c>
      <c r="E176" s="27">
        <f t="shared" ref="E176:E178" si="8">A176+21</f>
        <v>46006</v>
      </c>
      <c r="F176" s="28">
        <v>45999.0</v>
      </c>
      <c r="G176" s="26" t="s">
        <v>32</v>
      </c>
      <c r="H176" s="26">
        <v>1.0</v>
      </c>
      <c r="I176" s="29"/>
      <c r="J176" s="30"/>
      <c r="K176" s="31" t="s">
        <v>33</v>
      </c>
      <c r="L176" s="47" t="s">
        <v>1001</v>
      </c>
      <c r="M176" s="40" t="s">
        <v>1002</v>
      </c>
      <c r="N176" s="80" t="s">
        <v>1003</v>
      </c>
      <c r="O176" s="80" t="s">
        <v>1004</v>
      </c>
      <c r="P176" s="80" t="s">
        <v>78</v>
      </c>
      <c r="Q176" s="80" t="s">
        <v>194</v>
      </c>
      <c r="R176" s="37"/>
      <c r="S176" s="24" t="s">
        <v>215</v>
      </c>
      <c r="T176" s="32"/>
      <c r="U176" s="32"/>
      <c r="V176" s="32"/>
      <c r="W176" s="32"/>
      <c r="X176" s="32"/>
      <c r="Y176" s="32"/>
      <c r="Z176" s="32"/>
      <c r="AA176" s="32"/>
      <c r="AB176" s="32"/>
      <c r="AC176" s="38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ht="15.75" customHeight="1">
      <c r="A177" s="23">
        <v>45985.0</v>
      </c>
      <c r="B177" s="46" t="s">
        <v>1005</v>
      </c>
      <c r="C177" s="25" t="s">
        <v>175</v>
      </c>
      <c r="D177" s="26" t="s">
        <v>91</v>
      </c>
      <c r="E177" s="27">
        <f t="shared" si="8"/>
        <v>46006</v>
      </c>
      <c r="F177" s="28">
        <v>46058.0</v>
      </c>
      <c r="G177" s="26" t="s">
        <v>32</v>
      </c>
      <c r="H177" s="26">
        <v>2.0</v>
      </c>
      <c r="I177" s="29"/>
      <c r="J177" s="30"/>
      <c r="K177" s="31" t="s">
        <v>157</v>
      </c>
      <c r="L177" s="70" t="s">
        <v>1006</v>
      </c>
      <c r="M177" s="40" t="s">
        <v>1007</v>
      </c>
      <c r="N177" s="34" t="s">
        <v>1008</v>
      </c>
      <c r="O177" s="35" t="s">
        <v>1009</v>
      </c>
      <c r="P177" s="36" t="s">
        <v>78</v>
      </c>
      <c r="Q177" s="37"/>
      <c r="R177" s="37"/>
      <c r="S177" s="24" t="s">
        <v>327</v>
      </c>
      <c r="T177" s="32"/>
      <c r="U177" s="32"/>
      <c r="V177" s="32"/>
      <c r="W177" s="32"/>
      <c r="X177" s="43" t="s">
        <v>1010</v>
      </c>
      <c r="Y177" s="32"/>
      <c r="Z177" s="32"/>
      <c r="AA177" s="32"/>
      <c r="AB177" s="32"/>
      <c r="AC177" s="38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</row>
    <row r="178" ht="15.75" customHeight="1">
      <c r="A178" s="23">
        <v>45985.0</v>
      </c>
      <c r="B178" s="66" t="s">
        <v>1011</v>
      </c>
      <c r="C178" s="25" t="s">
        <v>38</v>
      </c>
      <c r="D178" s="26" t="s">
        <v>190</v>
      </c>
      <c r="E178" s="27">
        <f t="shared" si="8"/>
        <v>46006</v>
      </c>
      <c r="F178" s="28">
        <v>46059.0</v>
      </c>
      <c r="G178" s="26" t="s">
        <v>39</v>
      </c>
      <c r="H178" s="26">
        <v>1.0</v>
      </c>
      <c r="I178" s="29"/>
      <c r="J178" s="30"/>
      <c r="K178" s="31" t="s">
        <v>33</v>
      </c>
      <c r="L178" s="47" t="s">
        <v>298</v>
      </c>
      <c r="M178" s="40" t="s">
        <v>1012</v>
      </c>
      <c r="N178" s="34" t="s">
        <v>1013</v>
      </c>
      <c r="O178" s="35" t="s">
        <v>1014</v>
      </c>
      <c r="P178" s="36" t="s">
        <v>229</v>
      </c>
      <c r="Q178" s="37"/>
      <c r="R178" s="37"/>
      <c r="S178" s="32"/>
      <c r="T178" s="32"/>
      <c r="U178" s="32"/>
      <c r="V178" s="32"/>
      <c r="W178" s="32"/>
      <c r="X178" s="24" t="s">
        <v>1015</v>
      </c>
      <c r="Y178" s="32"/>
      <c r="Z178" s="32"/>
      <c r="AA178" s="32"/>
      <c r="AB178" s="32"/>
      <c r="AC178" s="38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</row>
    <row r="179" ht="15.75" customHeight="1">
      <c r="A179" s="23">
        <v>45985.0</v>
      </c>
      <c r="B179" s="66" t="s">
        <v>1016</v>
      </c>
      <c r="C179" s="25" t="s">
        <v>38</v>
      </c>
      <c r="D179" s="26" t="s">
        <v>190</v>
      </c>
      <c r="E179" s="86">
        <v>45988.0</v>
      </c>
      <c r="F179" s="28">
        <v>45994.0</v>
      </c>
      <c r="G179" s="26" t="s">
        <v>39</v>
      </c>
      <c r="H179" s="26">
        <v>1.0</v>
      </c>
      <c r="I179" s="29"/>
      <c r="J179" s="30"/>
      <c r="K179" s="31" t="s">
        <v>49</v>
      </c>
      <c r="L179" s="47" t="s">
        <v>1017</v>
      </c>
      <c r="M179" s="40" t="s">
        <v>1018</v>
      </c>
      <c r="N179" s="34" t="s">
        <v>1019</v>
      </c>
      <c r="O179" s="35" t="s">
        <v>1020</v>
      </c>
      <c r="P179" s="36" t="s">
        <v>229</v>
      </c>
      <c r="Q179" s="37"/>
      <c r="R179" s="37"/>
      <c r="S179" s="24" t="s">
        <v>1021</v>
      </c>
      <c r="T179" s="32"/>
      <c r="U179" s="32"/>
      <c r="V179" s="32"/>
      <c r="W179" s="32"/>
      <c r="X179" s="32"/>
      <c r="Y179" s="32"/>
      <c r="Z179" s="32"/>
      <c r="AA179" s="32"/>
      <c r="AB179" s="32"/>
      <c r="AC179" s="38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</row>
    <row r="180" ht="15.75" customHeight="1">
      <c r="A180" s="23">
        <v>45983.0</v>
      </c>
      <c r="B180" s="24" t="s">
        <v>1022</v>
      </c>
      <c r="C180" s="25" t="s">
        <v>44</v>
      </c>
      <c r="D180" s="26" t="s">
        <v>211</v>
      </c>
      <c r="E180" s="27">
        <f t="shared" ref="E180:E208" si="9">A180+21</f>
        <v>46004</v>
      </c>
      <c r="F180" s="28">
        <v>46006.0</v>
      </c>
      <c r="G180" s="26" t="s">
        <v>32</v>
      </c>
      <c r="H180" s="26">
        <v>1.0</v>
      </c>
      <c r="I180" s="29"/>
      <c r="J180" s="30"/>
      <c r="K180" s="31" t="s">
        <v>33</v>
      </c>
      <c r="L180" s="32"/>
      <c r="M180" s="40" t="s">
        <v>1023</v>
      </c>
      <c r="N180" s="34" t="s">
        <v>1024</v>
      </c>
      <c r="O180" s="35" t="s">
        <v>1025</v>
      </c>
      <c r="P180" s="36" t="s">
        <v>78</v>
      </c>
      <c r="Q180" s="37"/>
      <c r="R180" s="37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8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 ht="15.75" customHeight="1">
      <c r="A181" s="23">
        <v>45982.0</v>
      </c>
      <c r="B181" s="66" t="s">
        <v>1026</v>
      </c>
      <c r="C181" s="25" t="s">
        <v>84</v>
      </c>
      <c r="D181" s="26" t="s">
        <v>211</v>
      </c>
      <c r="E181" s="27">
        <f t="shared" si="9"/>
        <v>46003</v>
      </c>
      <c r="F181" s="28">
        <v>45996.0</v>
      </c>
      <c r="G181" s="26" t="s">
        <v>39</v>
      </c>
      <c r="H181" s="26">
        <v>1.0</v>
      </c>
      <c r="I181" s="29"/>
      <c r="J181" s="30"/>
      <c r="K181" s="31" t="s">
        <v>33</v>
      </c>
      <c r="L181" s="47" t="s">
        <v>1027</v>
      </c>
      <c r="M181" s="40" t="s">
        <v>1028</v>
      </c>
      <c r="N181" s="34" t="s">
        <v>1029</v>
      </c>
      <c r="O181" s="35" t="s">
        <v>1030</v>
      </c>
      <c r="P181" s="36" t="s">
        <v>281</v>
      </c>
      <c r="Q181" s="37"/>
      <c r="R181" s="37"/>
      <c r="S181" s="32"/>
      <c r="T181" s="32"/>
      <c r="U181" s="32"/>
      <c r="V181" s="32"/>
      <c r="W181" s="32"/>
      <c r="X181" s="24" t="s">
        <v>302</v>
      </c>
      <c r="Y181" s="24" t="s">
        <v>1031</v>
      </c>
      <c r="Z181" s="32"/>
      <c r="AA181" s="32"/>
      <c r="AB181" s="32"/>
      <c r="AC181" s="38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 ht="15.75" customHeight="1">
      <c r="A182" s="23">
        <v>45982.0</v>
      </c>
      <c r="B182" s="66" t="s">
        <v>1032</v>
      </c>
      <c r="C182" s="25" t="s">
        <v>54</v>
      </c>
      <c r="D182" s="26" t="s">
        <v>211</v>
      </c>
      <c r="E182" s="27">
        <f t="shared" si="9"/>
        <v>46003</v>
      </c>
      <c r="F182" s="28">
        <v>46001.0</v>
      </c>
      <c r="G182" s="26" t="s">
        <v>39</v>
      </c>
      <c r="H182" s="26">
        <v>1.0</v>
      </c>
      <c r="I182" s="29"/>
      <c r="J182" s="30"/>
      <c r="K182" s="31" t="s">
        <v>33</v>
      </c>
      <c r="L182" s="32"/>
      <c r="M182" s="40" t="s">
        <v>1033</v>
      </c>
      <c r="N182" s="34" t="s">
        <v>1034</v>
      </c>
      <c r="O182" s="35" t="s">
        <v>1035</v>
      </c>
      <c r="P182" s="36" t="s">
        <v>78</v>
      </c>
      <c r="Q182" s="37"/>
      <c r="R182" s="37"/>
      <c r="S182" s="24" t="s">
        <v>327</v>
      </c>
      <c r="T182" s="24" t="s">
        <v>244</v>
      </c>
      <c r="U182" s="24" t="s">
        <v>155</v>
      </c>
      <c r="V182" s="32"/>
      <c r="W182" s="32"/>
      <c r="X182" s="32"/>
      <c r="Y182" s="32"/>
      <c r="Z182" s="32"/>
      <c r="AA182" s="32"/>
      <c r="AB182" s="32"/>
      <c r="AC182" s="38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 ht="15.75" customHeight="1">
      <c r="A183" s="23">
        <v>45981.0</v>
      </c>
      <c r="B183" s="24" t="s">
        <v>1036</v>
      </c>
      <c r="C183" s="25" t="s">
        <v>84</v>
      </c>
      <c r="D183" s="26" t="s">
        <v>190</v>
      </c>
      <c r="E183" s="27">
        <f t="shared" si="9"/>
        <v>46002</v>
      </c>
      <c r="F183" s="28">
        <v>46050.0</v>
      </c>
      <c r="G183" s="26" t="s">
        <v>39</v>
      </c>
      <c r="H183" s="26">
        <v>2.0</v>
      </c>
      <c r="I183" s="29"/>
      <c r="J183" s="30"/>
      <c r="K183" s="31" t="s">
        <v>33</v>
      </c>
      <c r="L183" s="70" t="s">
        <v>1037</v>
      </c>
      <c r="M183" s="40" t="s">
        <v>1038</v>
      </c>
      <c r="N183" s="35" t="s">
        <v>1039</v>
      </c>
      <c r="O183" s="35" t="s">
        <v>1040</v>
      </c>
      <c r="P183" s="36" t="s">
        <v>234</v>
      </c>
      <c r="Q183" s="37"/>
      <c r="R183" s="37"/>
      <c r="S183" s="24" t="s">
        <v>526</v>
      </c>
      <c r="T183" s="32"/>
      <c r="U183" s="32"/>
      <c r="V183" s="32"/>
      <c r="W183" s="32"/>
      <c r="X183" s="32"/>
      <c r="Y183" s="32"/>
      <c r="Z183" s="32"/>
      <c r="AA183" s="32"/>
      <c r="AB183" s="32"/>
      <c r="AC183" s="38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</row>
    <row r="184" ht="15.75" customHeight="1">
      <c r="A184" s="23">
        <v>45981.0</v>
      </c>
      <c r="B184" s="24" t="s">
        <v>1041</v>
      </c>
      <c r="C184" s="25" t="s">
        <v>84</v>
      </c>
      <c r="D184" s="26" t="s">
        <v>190</v>
      </c>
      <c r="E184" s="27">
        <f t="shared" si="9"/>
        <v>46002</v>
      </c>
      <c r="F184" s="28">
        <v>46031.0</v>
      </c>
      <c r="G184" s="26" t="s">
        <v>39</v>
      </c>
      <c r="H184" s="26">
        <v>2.0</v>
      </c>
      <c r="I184" s="29"/>
      <c r="J184" s="30"/>
      <c r="K184" s="31" t="s">
        <v>33</v>
      </c>
      <c r="L184" s="24" t="s">
        <v>1042</v>
      </c>
      <c r="M184" s="40" t="s">
        <v>1043</v>
      </c>
      <c r="N184" s="35" t="s">
        <v>1039</v>
      </c>
      <c r="O184" s="35" t="s">
        <v>1044</v>
      </c>
      <c r="P184" s="36" t="s">
        <v>234</v>
      </c>
      <c r="Q184" s="37"/>
      <c r="R184" s="37"/>
      <c r="S184" s="24" t="s">
        <v>526</v>
      </c>
      <c r="T184" s="32"/>
      <c r="U184" s="32"/>
      <c r="V184" s="32"/>
      <c r="W184" s="32"/>
      <c r="X184" s="32"/>
      <c r="Y184" s="32"/>
      <c r="Z184" s="32"/>
      <c r="AA184" s="32"/>
      <c r="AB184" s="32"/>
      <c r="AC184" s="38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 ht="15.75" customHeight="1">
      <c r="A185" s="23">
        <v>45981.0</v>
      </c>
      <c r="B185" s="24" t="s">
        <v>1045</v>
      </c>
      <c r="C185" s="25" t="s">
        <v>270</v>
      </c>
      <c r="D185" s="26" t="s">
        <v>110</v>
      </c>
      <c r="E185" s="27">
        <f t="shared" si="9"/>
        <v>46002</v>
      </c>
      <c r="F185" s="28"/>
      <c r="G185" s="26" t="s">
        <v>55</v>
      </c>
      <c r="H185" s="26">
        <v>1.0</v>
      </c>
      <c r="I185" s="29"/>
      <c r="J185" s="30"/>
      <c r="K185" s="31" t="s">
        <v>33</v>
      </c>
      <c r="L185" s="24" t="s">
        <v>1046</v>
      </c>
      <c r="M185" s="40" t="s">
        <v>1047</v>
      </c>
      <c r="N185" s="35" t="s">
        <v>1048</v>
      </c>
      <c r="O185" s="35" t="s">
        <v>1049</v>
      </c>
      <c r="P185" s="36" t="s">
        <v>1050</v>
      </c>
      <c r="Q185" s="37"/>
      <c r="R185" s="37"/>
      <c r="S185" s="24" t="s">
        <v>1051</v>
      </c>
      <c r="T185" s="32"/>
      <c r="U185" s="32"/>
      <c r="V185" s="32"/>
      <c r="W185" s="32"/>
      <c r="X185" s="32"/>
      <c r="Y185" s="32"/>
      <c r="Z185" s="32"/>
      <c r="AA185" s="32"/>
      <c r="AB185" s="32"/>
      <c r="AC185" s="38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</row>
    <row r="186" ht="15.75" customHeight="1">
      <c r="A186" s="23">
        <v>45981.0</v>
      </c>
      <c r="B186" s="24" t="s">
        <v>1052</v>
      </c>
      <c r="C186" s="25" t="s">
        <v>84</v>
      </c>
      <c r="D186" s="26" t="s">
        <v>190</v>
      </c>
      <c r="E186" s="27">
        <f t="shared" si="9"/>
        <v>46002</v>
      </c>
      <c r="F186" s="28">
        <v>46031.0</v>
      </c>
      <c r="G186" s="26" t="s">
        <v>39</v>
      </c>
      <c r="H186" s="26">
        <v>1.0</v>
      </c>
      <c r="I186" s="29"/>
      <c r="J186" s="30"/>
      <c r="K186" s="31" t="s">
        <v>33</v>
      </c>
      <c r="L186" s="32"/>
      <c r="M186" s="40" t="s">
        <v>1053</v>
      </c>
      <c r="N186" s="35" t="s">
        <v>1039</v>
      </c>
      <c r="O186" s="35" t="s">
        <v>1054</v>
      </c>
      <c r="P186" s="36" t="s">
        <v>234</v>
      </c>
      <c r="Q186" s="37"/>
      <c r="R186" s="37"/>
      <c r="S186" s="24" t="s">
        <v>526</v>
      </c>
      <c r="T186" s="32"/>
      <c r="U186" s="32"/>
      <c r="V186" s="32"/>
      <c r="W186" s="32"/>
      <c r="X186" s="32"/>
      <c r="Y186" s="32"/>
      <c r="Z186" s="32"/>
      <c r="AA186" s="32"/>
      <c r="AB186" s="32"/>
      <c r="AC186" s="38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</row>
    <row r="187" ht="15.75" customHeight="1">
      <c r="A187" s="23">
        <v>45981.0</v>
      </c>
      <c r="B187" s="24" t="s">
        <v>1055</v>
      </c>
      <c r="C187" s="25" t="s">
        <v>84</v>
      </c>
      <c r="D187" s="26" t="s">
        <v>190</v>
      </c>
      <c r="E187" s="27">
        <f t="shared" si="9"/>
        <v>46002</v>
      </c>
      <c r="F187" s="28">
        <v>46031.0</v>
      </c>
      <c r="G187" s="26" t="s">
        <v>39</v>
      </c>
      <c r="H187" s="26">
        <v>1.0</v>
      </c>
      <c r="I187" s="29"/>
      <c r="J187" s="30"/>
      <c r="K187" s="31" t="s">
        <v>33</v>
      </c>
      <c r="L187" s="32"/>
      <c r="M187" s="40" t="s">
        <v>1056</v>
      </c>
      <c r="N187" s="35" t="s">
        <v>1039</v>
      </c>
      <c r="O187" s="35" t="s">
        <v>1057</v>
      </c>
      <c r="P187" s="36" t="s">
        <v>234</v>
      </c>
      <c r="Q187" s="37"/>
      <c r="R187" s="37"/>
      <c r="S187" s="24" t="s">
        <v>526</v>
      </c>
      <c r="T187" s="32"/>
      <c r="U187" s="32"/>
      <c r="V187" s="32"/>
      <c r="W187" s="32"/>
      <c r="X187" s="32"/>
      <c r="Y187" s="32"/>
      <c r="Z187" s="32"/>
      <c r="AA187" s="32"/>
      <c r="AB187" s="32"/>
      <c r="AC187" s="38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ht="15.75" customHeight="1">
      <c r="A188" s="23">
        <v>45981.0</v>
      </c>
      <c r="B188" s="24" t="s">
        <v>1058</v>
      </c>
      <c r="C188" s="25" t="s">
        <v>84</v>
      </c>
      <c r="D188" s="26" t="s">
        <v>190</v>
      </c>
      <c r="E188" s="27">
        <f t="shared" si="9"/>
        <v>46002</v>
      </c>
      <c r="F188" s="28">
        <v>46031.0</v>
      </c>
      <c r="G188" s="26" t="s">
        <v>39</v>
      </c>
      <c r="H188" s="26">
        <v>1.0</v>
      </c>
      <c r="I188" s="29"/>
      <c r="J188" s="30"/>
      <c r="K188" s="31" t="s">
        <v>33</v>
      </c>
      <c r="L188" s="24" t="s">
        <v>1059</v>
      </c>
      <c r="M188" s="40" t="s">
        <v>1060</v>
      </c>
      <c r="N188" s="35" t="s">
        <v>1039</v>
      </c>
      <c r="O188" s="35" t="s">
        <v>1061</v>
      </c>
      <c r="P188" s="36" t="s">
        <v>234</v>
      </c>
      <c r="Q188" s="37"/>
      <c r="R188" s="37"/>
      <c r="S188" s="24" t="s">
        <v>526</v>
      </c>
      <c r="T188" s="32"/>
      <c r="U188" s="32"/>
      <c r="V188" s="32"/>
      <c r="W188" s="32"/>
      <c r="X188" s="24" t="s">
        <v>1062</v>
      </c>
      <c r="Y188" s="32"/>
      <c r="Z188" s="32"/>
      <c r="AA188" s="32"/>
      <c r="AB188" s="32"/>
      <c r="AC188" s="38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ht="15.75" customHeight="1">
      <c r="A189" s="23">
        <v>45979.0</v>
      </c>
      <c r="B189" s="66" t="s">
        <v>1063</v>
      </c>
      <c r="C189" s="25" t="s">
        <v>210</v>
      </c>
      <c r="D189" s="26" t="s">
        <v>211</v>
      </c>
      <c r="E189" s="27">
        <f t="shared" si="9"/>
        <v>46000</v>
      </c>
      <c r="F189" s="28">
        <v>45999.0</v>
      </c>
      <c r="G189" s="26" t="s">
        <v>55</v>
      </c>
      <c r="H189" s="26">
        <v>1.0</v>
      </c>
      <c r="I189" s="29"/>
      <c r="J189" s="30"/>
      <c r="K189" s="31" t="s">
        <v>33</v>
      </c>
      <c r="L189" s="32"/>
      <c r="M189" s="40" t="s">
        <v>1064</v>
      </c>
      <c r="N189" s="34" t="s">
        <v>1065</v>
      </c>
      <c r="O189" s="35" t="s">
        <v>1066</v>
      </c>
      <c r="P189" s="36" t="s">
        <v>62</v>
      </c>
      <c r="Q189" s="36" t="s">
        <v>63</v>
      </c>
      <c r="R189" s="36" t="s">
        <v>64</v>
      </c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8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</row>
    <row r="190" ht="15.75" customHeight="1">
      <c r="A190" s="23">
        <v>45979.0</v>
      </c>
      <c r="B190" s="66" t="s">
        <v>1067</v>
      </c>
      <c r="C190" s="25" t="s">
        <v>1068</v>
      </c>
      <c r="D190" s="26" t="s">
        <v>211</v>
      </c>
      <c r="E190" s="27">
        <f t="shared" si="9"/>
        <v>46000</v>
      </c>
      <c r="F190" s="28">
        <v>45999.0</v>
      </c>
      <c r="G190" s="26" t="s">
        <v>55</v>
      </c>
      <c r="H190" s="26">
        <v>1.0</v>
      </c>
      <c r="I190" s="29"/>
      <c r="J190" s="30"/>
      <c r="K190" s="31" t="s">
        <v>33</v>
      </c>
      <c r="L190" s="32"/>
      <c r="M190" s="40" t="s">
        <v>1069</v>
      </c>
      <c r="N190" s="34" t="s">
        <v>1070</v>
      </c>
      <c r="O190" s="35" t="s">
        <v>1071</v>
      </c>
      <c r="P190" s="36" t="s">
        <v>62</v>
      </c>
      <c r="Q190" s="37"/>
      <c r="R190" s="37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8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ht="15.75" customHeight="1">
      <c r="A191" s="23">
        <v>45979.0</v>
      </c>
      <c r="B191" s="24" t="s">
        <v>1072</v>
      </c>
      <c r="C191" s="25" t="s">
        <v>270</v>
      </c>
      <c r="D191" s="26" t="s">
        <v>211</v>
      </c>
      <c r="E191" s="27">
        <f t="shared" si="9"/>
        <v>46000</v>
      </c>
      <c r="F191" s="28">
        <v>46001.0</v>
      </c>
      <c r="G191" s="26" t="s">
        <v>32</v>
      </c>
      <c r="H191" s="26">
        <v>1.0</v>
      </c>
      <c r="I191" s="29"/>
      <c r="J191" s="30"/>
      <c r="K191" s="31" t="s">
        <v>33</v>
      </c>
      <c r="L191" s="24" t="s">
        <v>1073</v>
      </c>
      <c r="M191" s="40" t="s">
        <v>1074</v>
      </c>
      <c r="N191" s="34" t="s">
        <v>1075</v>
      </c>
      <c r="O191" s="35" t="s">
        <v>1076</v>
      </c>
      <c r="P191" s="36" t="s">
        <v>68</v>
      </c>
      <c r="Q191" s="37"/>
      <c r="R191" s="37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8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</row>
    <row r="192" ht="15.75" customHeight="1">
      <c r="A192" s="23">
        <v>45978.0</v>
      </c>
      <c r="B192" s="66" t="s">
        <v>1077</v>
      </c>
      <c r="C192" s="25" t="s">
        <v>38</v>
      </c>
      <c r="D192" s="26" t="s">
        <v>190</v>
      </c>
      <c r="E192" s="27">
        <f t="shared" si="9"/>
        <v>45999</v>
      </c>
      <c r="F192" s="28">
        <v>46001.0</v>
      </c>
      <c r="G192" s="26" t="s">
        <v>39</v>
      </c>
      <c r="H192" s="26">
        <v>1.0</v>
      </c>
      <c r="I192" s="29"/>
      <c r="J192" s="30"/>
      <c r="K192" s="31" t="s">
        <v>33</v>
      </c>
      <c r="L192" s="32"/>
      <c r="M192" s="40" t="s">
        <v>1078</v>
      </c>
      <c r="N192" s="34" t="s">
        <v>1079</v>
      </c>
      <c r="O192" s="35" t="s">
        <v>1080</v>
      </c>
      <c r="P192" s="36" t="s">
        <v>47</v>
      </c>
      <c r="Q192" s="37"/>
      <c r="R192" s="37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8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</row>
    <row r="193" ht="15.75" customHeight="1">
      <c r="A193" s="23">
        <v>45978.0</v>
      </c>
      <c r="B193" s="24" t="s">
        <v>1081</v>
      </c>
      <c r="C193" s="25" t="s">
        <v>54</v>
      </c>
      <c r="D193" s="26" t="s">
        <v>211</v>
      </c>
      <c r="E193" s="27">
        <f t="shared" si="9"/>
        <v>45999</v>
      </c>
      <c r="F193" s="28">
        <v>46007.0</v>
      </c>
      <c r="G193" s="26" t="s">
        <v>32</v>
      </c>
      <c r="H193" s="26">
        <v>1.0</v>
      </c>
      <c r="I193" s="29"/>
      <c r="J193" s="30"/>
      <c r="K193" s="31" t="s">
        <v>157</v>
      </c>
      <c r="L193" s="87" t="s">
        <v>1082</v>
      </c>
      <c r="M193" s="40" t="s">
        <v>1083</v>
      </c>
      <c r="N193" s="34" t="s">
        <v>1084</v>
      </c>
      <c r="O193" s="35" t="s">
        <v>1085</v>
      </c>
      <c r="P193" s="36" t="s">
        <v>36</v>
      </c>
      <c r="Q193" s="37"/>
      <c r="R193" s="37"/>
      <c r="S193" s="24" t="s">
        <v>1086</v>
      </c>
      <c r="T193" s="32"/>
      <c r="U193" s="32"/>
      <c r="V193" s="32"/>
      <c r="W193" s="32"/>
      <c r="X193" s="32"/>
      <c r="Y193" s="32"/>
      <c r="Z193" s="32"/>
      <c r="AA193" s="32"/>
      <c r="AB193" s="32"/>
      <c r="AC193" s="38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</row>
    <row r="194" ht="15.75" customHeight="1">
      <c r="A194" s="23">
        <v>45977.0</v>
      </c>
      <c r="B194" s="24" t="s">
        <v>1087</v>
      </c>
      <c r="C194" s="25" t="s">
        <v>84</v>
      </c>
      <c r="D194" s="26" t="s">
        <v>190</v>
      </c>
      <c r="E194" s="27">
        <f t="shared" si="9"/>
        <v>45998</v>
      </c>
      <c r="F194" s="28">
        <v>45996.0</v>
      </c>
      <c r="G194" s="26" t="s">
        <v>39</v>
      </c>
      <c r="H194" s="26">
        <v>1.0</v>
      </c>
      <c r="I194" s="29"/>
      <c r="J194" s="30"/>
      <c r="K194" s="31" t="s">
        <v>33</v>
      </c>
      <c r="L194" s="70" t="s">
        <v>1088</v>
      </c>
      <c r="M194" s="40" t="s">
        <v>1089</v>
      </c>
      <c r="N194" s="35" t="s">
        <v>1090</v>
      </c>
      <c r="O194" s="35" t="s">
        <v>1091</v>
      </c>
      <c r="P194" s="36" t="s">
        <v>655</v>
      </c>
      <c r="Q194" s="37"/>
      <c r="R194" s="37"/>
      <c r="S194" s="24" t="s">
        <v>526</v>
      </c>
      <c r="T194" s="32"/>
      <c r="U194" s="32"/>
      <c r="V194" s="32"/>
      <c r="W194" s="32"/>
      <c r="X194" s="32"/>
      <c r="Y194" s="32"/>
      <c r="Z194" s="32"/>
      <c r="AA194" s="32"/>
      <c r="AB194" s="32"/>
      <c r="AC194" s="38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ht="15.75" customHeight="1">
      <c r="A195" s="23">
        <v>45977.0</v>
      </c>
      <c r="B195" s="66" t="s">
        <v>1092</v>
      </c>
      <c r="C195" s="25" t="s">
        <v>84</v>
      </c>
      <c r="D195" s="26" t="s">
        <v>190</v>
      </c>
      <c r="E195" s="27">
        <f t="shared" si="9"/>
        <v>45998</v>
      </c>
      <c r="F195" s="28">
        <v>45996.0</v>
      </c>
      <c r="G195" s="26" t="s">
        <v>39</v>
      </c>
      <c r="H195" s="26">
        <v>1.0</v>
      </c>
      <c r="I195" s="29"/>
      <c r="J195" s="30"/>
      <c r="K195" s="31" t="s">
        <v>33</v>
      </c>
      <c r="L195" s="32"/>
      <c r="M195" s="40" t="s">
        <v>1093</v>
      </c>
      <c r="N195" s="35" t="s">
        <v>1094</v>
      </c>
      <c r="O195" s="35" t="s">
        <v>1095</v>
      </c>
      <c r="P195" s="36" t="s">
        <v>655</v>
      </c>
      <c r="Q195" s="37"/>
      <c r="R195" s="37"/>
      <c r="S195" s="24" t="s">
        <v>526</v>
      </c>
      <c r="T195" s="32"/>
      <c r="U195" s="32"/>
      <c r="V195" s="32"/>
      <c r="W195" s="32"/>
      <c r="X195" s="24" t="s">
        <v>302</v>
      </c>
      <c r="Y195" s="32"/>
      <c r="Z195" s="32"/>
      <c r="AA195" s="32"/>
      <c r="AB195" s="32"/>
      <c r="AC195" s="38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>
      <c r="A196" s="23">
        <v>45975.0</v>
      </c>
      <c r="B196" s="66" t="s">
        <v>1096</v>
      </c>
      <c r="C196" s="25" t="s">
        <v>210</v>
      </c>
      <c r="D196" s="26" t="s">
        <v>190</v>
      </c>
      <c r="E196" s="27">
        <f t="shared" si="9"/>
        <v>45996</v>
      </c>
      <c r="F196" s="28">
        <v>45999.0</v>
      </c>
      <c r="G196" s="26" t="s">
        <v>55</v>
      </c>
      <c r="H196" s="26">
        <v>1.0</v>
      </c>
      <c r="I196" s="29"/>
      <c r="J196" s="30"/>
      <c r="K196" s="31" t="s">
        <v>33</v>
      </c>
      <c r="L196" s="32"/>
      <c r="M196" s="40" t="s">
        <v>1097</v>
      </c>
      <c r="N196" s="34" t="s">
        <v>1098</v>
      </c>
      <c r="O196" s="35" t="s">
        <v>1099</v>
      </c>
      <c r="P196" s="36" t="s">
        <v>62</v>
      </c>
      <c r="Q196" s="36" t="s">
        <v>63</v>
      </c>
      <c r="R196" s="36" t="s">
        <v>1100</v>
      </c>
      <c r="S196" s="24" t="s">
        <v>155</v>
      </c>
      <c r="T196" s="32"/>
      <c r="U196" s="32"/>
      <c r="V196" s="32"/>
      <c r="W196" s="32"/>
      <c r="X196" s="32"/>
      <c r="Y196" s="32"/>
      <c r="Z196" s="32"/>
      <c r="AA196" s="32"/>
      <c r="AB196" s="32"/>
      <c r="AC196" s="38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</row>
    <row r="197" ht="15.75" customHeight="1">
      <c r="A197" s="23">
        <v>45974.0</v>
      </c>
      <c r="B197" s="24" t="s">
        <v>1101</v>
      </c>
      <c r="C197" s="25" t="s">
        <v>44</v>
      </c>
      <c r="D197" s="26" t="s">
        <v>211</v>
      </c>
      <c r="E197" s="27">
        <f t="shared" si="9"/>
        <v>45995</v>
      </c>
      <c r="F197" s="28">
        <v>45999.0</v>
      </c>
      <c r="G197" s="26" t="s">
        <v>32</v>
      </c>
      <c r="H197" s="26">
        <v>2.0</v>
      </c>
      <c r="I197" s="29"/>
      <c r="J197" s="30"/>
      <c r="K197" s="31" t="s">
        <v>157</v>
      </c>
      <c r="L197" s="24" t="s">
        <v>1102</v>
      </c>
      <c r="M197" s="40" t="s">
        <v>1103</v>
      </c>
      <c r="N197" s="35" t="s">
        <v>1104</v>
      </c>
      <c r="O197" s="35" t="s">
        <v>1105</v>
      </c>
      <c r="P197" s="36" t="s">
        <v>47</v>
      </c>
      <c r="Q197" s="37"/>
      <c r="R197" s="37"/>
      <c r="S197" s="24" t="s">
        <v>200</v>
      </c>
      <c r="T197" s="24" t="s">
        <v>1106</v>
      </c>
      <c r="U197" s="24" t="s">
        <v>344</v>
      </c>
      <c r="V197" s="32"/>
      <c r="W197" s="32"/>
      <c r="X197" s="24" t="s">
        <v>1107</v>
      </c>
      <c r="Y197" s="32"/>
      <c r="Z197" s="32"/>
      <c r="AA197" s="32"/>
      <c r="AB197" s="32"/>
      <c r="AC197" s="38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</row>
    <row r="198" ht="15.75" customHeight="1">
      <c r="A198" s="23">
        <v>45974.0</v>
      </c>
      <c r="B198" s="24" t="s">
        <v>1108</v>
      </c>
      <c r="C198" s="25" t="s">
        <v>210</v>
      </c>
      <c r="D198" s="26" t="s">
        <v>190</v>
      </c>
      <c r="E198" s="27">
        <f t="shared" si="9"/>
        <v>45995</v>
      </c>
      <c r="F198" s="28">
        <v>45985.0</v>
      </c>
      <c r="G198" s="26" t="s">
        <v>55</v>
      </c>
      <c r="H198" s="26">
        <v>1.0</v>
      </c>
      <c r="I198" s="29"/>
      <c r="J198" s="30"/>
      <c r="K198" s="31" t="s">
        <v>33</v>
      </c>
      <c r="L198" s="24" t="s">
        <v>1109</v>
      </c>
      <c r="M198" s="40" t="s">
        <v>1110</v>
      </c>
      <c r="N198" s="34" t="s">
        <v>1111</v>
      </c>
      <c r="O198" s="35" t="s">
        <v>1112</v>
      </c>
      <c r="P198" s="36" t="s">
        <v>62</v>
      </c>
      <c r="Q198" s="36" t="s">
        <v>63</v>
      </c>
      <c r="R198" s="36" t="s">
        <v>1100</v>
      </c>
      <c r="S198" s="32"/>
      <c r="T198" s="32"/>
      <c r="U198" s="32"/>
      <c r="V198" s="32"/>
      <c r="W198" s="32"/>
      <c r="X198" s="24" t="s">
        <v>917</v>
      </c>
      <c r="Y198" s="32"/>
      <c r="Z198" s="32"/>
      <c r="AA198" s="32"/>
      <c r="AB198" s="32"/>
      <c r="AC198" s="38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</row>
    <row r="199" ht="15.75" customHeight="1">
      <c r="A199" s="23">
        <v>45974.0</v>
      </c>
      <c r="B199" s="44" t="s">
        <v>1113</v>
      </c>
      <c r="C199" s="25" t="s">
        <v>210</v>
      </c>
      <c r="D199" s="26" t="s">
        <v>211</v>
      </c>
      <c r="E199" s="67">
        <f t="shared" si="9"/>
        <v>45995</v>
      </c>
      <c r="F199" s="28">
        <v>45981.0</v>
      </c>
      <c r="G199" s="26" t="s">
        <v>39</v>
      </c>
      <c r="H199" s="26">
        <v>1.0</v>
      </c>
      <c r="I199" s="29"/>
      <c r="J199" s="30"/>
      <c r="K199" s="31" t="s">
        <v>157</v>
      </c>
      <c r="L199" s="88" t="s">
        <v>1114</v>
      </c>
      <c r="M199" s="40" t="s">
        <v>1115</v>
      </c>
      <c r="N199" s="34" t="s">
        <v>1116</v>
      </c>
      <c r="O199" s="35" t="s">
        <v>1117</v>
      </c>
      <c r="P199" s="36" t="s">
        <v>47</v>
      </c>
      <c r="Q199" s="37"/>
      <c r="R199" s="37"/>
      <c r="S199" s="24" t="s">
        <v>344</v>
      </c>
      <c r="T199" s="32"/>
      <c r="U199" s="32"/>
      <c r="V199" s="32"/>
      <c r="W199" s="32"/>
      <c r="X199" s="32"/>
      <c r="Y199" s="32"/>
      <c r="Z199" s="32"/>
      <c r="AA199" s="32"/>
      <c r="AB199" s="32"/>
      <c r="AC199" s="38"/>
      <c r="AD199" s="11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</row>
    <row r="200" ht="15.75" customHeight="1">
      <c r="A200" s="23">
        <v>45974.0</v>
      </c>
      <c r="B200" s="66" t="s">
        <v>1118</v>
      </c>
      <c r="C200" s="25" t="s">
        <v>210</v>
      </c>
      <c r="D200" s="26" t="s">
        <v>211</v>
      </c>
      <c r="E200" s="27">
        <f t="shared" si="9"/>
        <v>45995</v>
      </c>
      <c r="F200" s="28">
        <v>45999.0</v>
      </c>
      <c r="G200" s="26" t="s">
        <v>55</v>
      </c>
      <c r="H200" s="26">
        <v>1.0</v>
      </c>
      <c r="I200" s="29"/>
      <c r="J200" s="30"/>
      <c r="K200" s="31" t="s">
        <v>33</v>
      </c>
      <c r="L200" s="32"/>
      <c r="M200" s="40" t="s">
        <v>1119</v>
      </c>
      <c r="N200" s="34" t="s">
        <v>1120</v>
      </c>
      <c r="O200" s="35" t="s">
        <v>1121</v>
      </c>
      <c r="P200" s="36" t="s">
        <v>47</v>
      </c>
      <c r="Q200" s="37"/>
      <c r="R200" s="37"/>
      <c r="S200" s="24" t="s">
        <v>344</v>
      </c>
      <c r="T200" s="32"/>
      <c r="U200" s="32"/>
      <c r="V200" s="32"/>
      <c r="W200" s="32"/>
      <c r="X200" s="32"/>
      <c r="Y200" s="32"/>
      <c r="Z200" s="32"/>
      <c r="AA200" s="32"/>
      <c r="AB200" s="32"/>
      <c r="AC200" s="38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 ht="15.75" customHeight="1">
      <c r="A201" s="23">
        <v>45973.0</v>
      </c>
      <c r="B201" s="66" t="s">
        <v>1122</v>
      </c>
      <c r="C201" s="25" t="s">
        <v>678</v>
      </c>
      <c r="D201" s="26" t="s">
        <v>211</v>
      </c>
      <c r="E201" s="89">
        <f t="shared" si="9"/>
        <v>45994</v>
      </c>
      <c r="F201" s="28">
        <v>45996.0</v>
      </c>
      <c r="G201" s="26" t="s">
        <v>55</v>
      </c>
      <c r="H201" s="26">
        <v>1.0</v>
      </c>
      <c r="I201" s="29"/>
      <c r="J201" s="30"/>
      <c r="K201" s="31" t="s">
        <v>157</v>
      </c>
      <c r="L201" s="32"/>
      <c r="M201" s="40" t="s">
        <v>1123</v>
      </c>
      <c r="N201" s="34" t="s">
        <v>1124</v>
      </c>
      <c r="O201" s="35" t="s">
        <v>1125</v>
      </c>
      <c r="P201" s="36" t="s">
        <v>275</v>
      </c>
      <c r="Q201" s="36" t="s">
        <v>173</v>
      </c>
      <c r="R201" s="36" t="s">
        <v>1126</v>
      </c>
      <c r="S201" s="24" t="s">
        <v>268</v>
      </c>
      <c r="T201" s="32"/>
      <c r="U201" s="32"/>
      <c r="V201" s="32"/>
      <c r="W201" s="32"/>
      <c r="X201" s="32"/>
      <c r="Y201" s="32"/>
      <c r="Z201" s="32"/>
      <c r="AA201" s="32"/>
      <c r="AB201" s="32"/>
      <c r="AC201" s="38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</row>
    <row r="202" ht="15.75" customHeight="1">
      <c r="A202" s="23">
        <v>45972.0</v>
      </c>
      <c r="B202" s="46" t="s">
        <v>1127</v>
      </c>
      <c r="C202" s="25" t="s">
        <v>175</v>
      </c>
      <c r="D202" s="26" t="s">
        <v>190</v>
      </c>
      <c r="E202" s="67">
        <f t="shared" si="9"/>
        <v>45993</v>
      </c>
      <c r="F202" s="28">
        <v>46001.0</v>
      </c>
      <c r="G202" s="26" t="s">
        <v>32</v>
      </c>
      <c r="H202" s="26">
        <v>1.0</v>
      </c>
      <c r="I202" s="29"/>
      <c r="J202" s="30"/>
      <c r="K202" s="31" t="s">
        <v>157</v>
      </c>
      <c r="L202" s="24" t="s">
        <v>1128</v>
      </c>
      <c r="M202" s="40" t="s">
        <v>1129</v>
      </c>
      <c r="N202" s="35" t="s">
        <v>1130</v>
      </c>
      <c r="O202" s="35" t="s">
        <v>1131</v>
      </c>
      <c r="P202" s="69" t="s">
        <v>78</v>
      </c>
      <c r="Q202" s="37"/>
      <c r="R202" s="37"/>
      <c r="S202" s="24" t="s">
        <v>376</v>
      </c>
      <c r="T202" s="24" t="s">
        <v>200</v>
      </c>
      <c r="U202" s="24" t="s">
        <v>155</v>
      </c>
      <c r="V202" s="32"/>
      <c r="W202" s="32"/>
      <c r="X202" s="24" t="s">
        <v>302</v>
      </c>
      <c r="Y202" s="32"/>
      <c r="Z202" s="32"/>
      <c r="AA202" s="32"/>
      <c r="AB202" s="32"/>
      <c r="AC202" s="38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</row>
    <row r="203" ht="15.75" customHeight="1">
      <c r="A203" s="23">
        <v>45972.0</v>
      </c>
      <c r="B203" s="66" t="s">
        <v>1132</v>
      </c>
      <c r="C203" s="25" t="s">
        <v>38</v>
      </c>
      <c r="D203" s="26" t="s">
        <v>211</v>
      </c>
      <c r="E203" s="67">
        <f t="shared" si="9"/>
        <v>45993</v>
      </c>
      <c r="F203" s="28">
        <v>45999.0</v>
      </c>
      <c r="G203" s="26" t="s">
        <v>39</v>
      </c>
      <c r="H203" s="26">
        <v>1.0</v>
      </c>
      <c r="I203" s="29"/>
      <c r="J203" s="30"/>
      <c r="K203" s="31" t="s">
        <v>157</v>
      </c>
      <c r="L203" s="32"/>
      <c r="M203" s="40" t="s">
        <v>1133</v>
      </c>
      <c r="N203" s="34" t="s">
        <v>1134</v>
      </c>
      <c r="O203" s="35" t="s">
        <v>1135</v>
      </c>
      <c r="P203" s="36" t="s">
        <v>281</v>
      </c>
      <c r="Q203" s="37"/>
      <c r="R203" s="37"/>
      <c r="S203" s="24" t="s">
        <v>1136</v>
      </c>
      <c r="T203" s="32"/>
      <c r="U203" s="32"/>
      <c r="V203" s="32"/>
      <c r="W203" s="32"/>
      <c r="X203" s="32"/>
      <c r="Y203" s="32"/>
      <c r="Z203" s="32"/>
      <c r="AA203" s="32"/>
      <c r="AB203" s="32"/>
      <c r="AC203" s="38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 ht="15.75" customHeight="1">
      <c r="A204" s="23">
        <v>45971.0</v>
      </c>
      <c r="B204" s="24" t="s">
        <v>1137</v>
      </c>
      <c r="C204" s="25" t="s">
        <v>44</v>
      </c>
      <c r="D204" s="26" t="s">
        <v>190</v>
      </c>
      <c r="E204" s="67">
        <f t="shared" si="9"/>
        <v>45992</v>
      </c>
      <c r="F204" s="28">
        <v>45999.0</v>
      </c>
      <c r="G204" s="26" t="s">
        <v>32</v>
      </c>
      <c r="H204" s="26">
        <v>2.0</v>
      </c>
      <c r="I204" s="29"/>
      <c r="J204" s="30"/>
      <c r="K204" s="31" t="s">
        <v>157</v>
      </c>
      <c r="L204" s="90" t="s">
        <v>1138</v>
      </c>
      <c r="M204" s="40" t="s">
        <v>1139</v>
      </c>
      <c r="N204" s="34" t="s">
        <v>1140</v>
      </c>
      <c r="O204" s="35" t="s">
        <v>1141</v>
      </c>
      <c r="P204" s="36" t="s">
        <v>220</v>
      </c>
      <c r="Q204" s="37"/>
      <c r="R204" s="37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8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</row>
    <row r="205" ht="15.75" customHeight="1">
      <c r="A205" s="23">
        <v>45971.0</v>
      </c>
      <c r="B205" s="46" t="s">
        <v>1142</v>
      </c>
      <c r="C205" s="29" t="s">
        <v>84</v>
      </c>
      <c r="D205" s="26" t="s">
        <v>190</v>
      </c>
      <c r="E205" s="27">
        <f t="shared" si="9"/>
        <v>45992</v>
      </c>
      <c r="F205" s="28">
        <v>45988.0</v>
      </c>
      <c r="G205" s="30" t="s">
        <v>39</v>
      </c>
      <c r="H205" s="26">
        <v>1.0</v>
      </c>
      <c r="I205" s="59"/>
      <c r="J205" s="50"/>
      <c r="K205" s="30" t="s">
        <v>33</v>
      </c>
      <c r="L205" s="54" t="s">
        <v>1143</v>
      </c>
      <c r="M205" s="40" t="s">
        <v>1144</v>
      </c>
      <c r="N205" s="52" t="s">
        <v>1145</v>
      </c>
      <c r="O205" s="61" t="s">
        <v>1146</v>
      </c>
      <c r="P205" s="52" t="s">
        <v>234</v>
      </c>
      <c r="Q205" s="53"/>
      <c r="R205" s="53"/>
      <c r="S205" s="24" t="s">
        <v>526</v>
      </c>
      <c r="T205" s="32"/>
      <c r="U205" s="32"/>
      <c r="V205" s="32"/>
      <c r="W205" s="32"/>
      <c r="X205" s="32"/>
      <c r="Y205" s="53"/>
      <c r="Z205" s="53"/>
      <c r="AA205" s="53"/>
      <c r="AB205" s="53"/>
      <c r="AC205" s="55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</row>
    <row r="206" ht="15.75" customHeight="1">
      <c r="A206" s="23">
        <v>45971.0</v>
      </c>
      <c r="B206" s="46" t="s">
        <v>1147</v>
      </c>
      <c r="C206" s="29" t="s">
        <v>84</v>
      </c>
      <c r="D206" s="26" t="s">
        <v>211</v>
      </c>
      <c r="E206" s="27">
        <f t="shared" si="9"/>
        <v>45992</v>
      </c>
      <c r="F206" s="58"/>
      <c r="G206" s="30" t="s">
        <v>39</v>
      </c>
      <c r="H206" s="26">
        <v>1.0</v>
      </c>
      <c r="I206" s="59"/>
      <c r="J206" s="50"/>
      <c r="K206" s="30" t="s">
        <v>33</v>
      </c>
      <c r="L206" s="54" t="s">
        <v>1148</v>
      </c>
      <c r="M206" s="40" t="s">
        <v>1149</v>
      </c>
      <c r="N206" s="52" t="s">
        <v>1145</v>
      </c>
      <c r="O206" s="61" t="s">
        <v>1146</v>
      </c>
      <c r="P206" s="52" t="s">
        <v>234</v>
      </c>
      <c r="Q206" s="53"/>
      <c r="R206" s="53"/>
      <c r="S206" s="24" t="s">
        <v>526</v>
      </c>
      <c r="T206" s="32"/>
      <c r="U206" s="32"/>
      <c r="V206" s="32"/>
      <c r="W206" s="32"/>
      <c r="X206" s="32"/>
      <c r="Y206" s="53"/>
      <c r="Z206" s="53"/>
      <c r="AA206" s="53"/>
      <c r="AB206" s="53"/>
      <c r="AC206" s="55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</row>
    <row r="207" ht="15.75" customHeight="1">
      <c r="A207" s="23">
        <v>45971.0</v>
      </c>
      <c r="B207" s="24" t="s">
        <v>1150</v>
      </c>
      <c r="C207" s="25" t="s">
        <v>54</v>
      </c>
      <c r="D207" s="26" t="s">
        <v>211</v>
      </c>
      <c r="E207" s="67">
        <f t="shared" si="9"/>
        <v>45992</v>
      </c>
      <c r="F207" s="28">
        <v>45994.0</v>
      </c>
      <c r="G207" s="26" t="s">
        <v>39</v>
      </c>
      <c r="H207" s="26">
        <v>1.0</v>
      </c>
      <c r="I207" s="29"/>
      <c r="J207" s="30"/>
      <c r="K207" s="31" t="s">
        <v>157</v>
      </c>
      <c r="L207" s="24" t="s">
        <v>1151</v>
      </c>
      <c r="M207" s="40" t="s">
        <v>1152</v>
      </c>
      <c r="N207" s="34" t="s">
        <v>1153</v>
      </c>
      <c r="O207" s="35" t="s">
        <v>1154</v>
      </c>
      <c r="P207" s="36" t="s">
        <v>166</v>
      </c>
      <c r="Q207" s="37"/>
      <c r="R207" s="37"/>
      <c r="S207" s="24" t="s">
        <v>244</v>
      </c>
      <c r="T207" s="32"/>
      <c r="U207" s="32"/>
      <c r="V207" s="32"/>
      <c r="W207" s="32"/>
      <c r="X207" s="24" t="s">
        <v>359</v>
      </c>
      <c r="Y207" s="32"/>
      <c r="Z207" s="32"/>
      <c r="AA207" s="32"/>
      <c r="AB207" s="32"/>
      <c r="AC207" s="38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</row>
    <row r="208" ht="15.75" customHeight="1">
      <c r="A208" s="23">
        <v>45970.0</v>
      </c>
      <c r="B208" s="24" t="s">
        <v>1155</v>
      </c>
      <c r="C208" s="25" t="s">
        <v>44</v>
      </c>
      <c r="D208" s="26" t="s">
        <v>211</v>
      </c>
      <c r="E208" s="67">
        <f t="shared" si="9"/>
        <v>45991</v>
      </c>
      <c r="F208" s="28">
        <v>45982.0</v>
      </c>
      <c r="G208" s="26" t="s">
        <v>32</v>
      </c>
      <c r="H208" s="26">
        <v>1.0</v>
      </c>
      <c r="I208" s="29"/>
      <c r="J208" s="30"/>
      <c r="K208" s="31" t="s">
        <v>33</v>
      </c>
      <c r="L208" s="32"/>
      <c r="M208" s="40" t="s">
        <v>1156</v>
      </c>
      <c r="N208" s="34" t="s">
        <v>1157</v>
      </c>
      <c r="O208" s="35" t="s">
        <v>1158</v>
      </c>
      <c r="P208" s="36" t="s">
        <v>36</v>
      </c>
      <c r="Q208" s="37"/>
      <c r="R208" s="37"/>
      <c r="S208" s="24" t="s">
        <v>149</v>
      </c>
      <c r="T208" s="32"/>
      <c r="U208" s="32"/>
      <c r="V208" s="32"/>
      <c r="W208" s="32"/>
      <c r="X208" s="24" t="s">
        <v>97</v>
      </c>
      <c r="Y208" s="32"/>
      <c r="Z208" s="32"/>
      <c r="AA208" s="32"/>
      <c r="AB208" s="32"/>
      <c r="AC208" s="38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</row>
    <row r="209" ht="15.75" customHeight="1">
      <c r="A209" s="23">
        <v>45967.0</v>
      </c>
      <c r="B209" s="44" t="s">
        <v>1159</v>
      </c>
      <c r="C209" s="25" t="s">
        <v>44</v>
      </c>
      <c r="D209" s="26" t="s">
        <v>190</v>
      </c>
      <c r="E209" s="86">
        <v>45973.0</v>
      </c>
      <c r="F209" s="28">
        <v>45973.0</v>
      </c>
      <c r="G209" s="26" t="s">
        <v>32</v>
      </c>
      <c r="H209" s="26">
        <v>1.0</v>
      </c>
      <c r="I209" s="29"/>
      <c r="J209" s="30"/>
      <c r="K209" s="31"/>
      <c r="L209" s="32"/>
      <c r="M209" s="40" t="s">
        <v>1160</v>
      </c>
      <c r="N209" s="34" t="s">
        <v>1161</v>
      </c>
      <c r="O209" s="32"/>
      <c r="P209" s="37"/>
      <c r="Q209" s="37"/>
      <c r="R209" s="37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8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</row>
    <row r="210" ht="15.75" customHeight="1">
      <c r="A210" s="23">
        <v>45967.0</v>
      </c>
      <c r="B210" s="24" t="s">
        <v>1162</v>
      </c>
      <c r="C210" s="25" t="s">
        <v>758</v>
      </c>
      <c r="D210" s="26" t="s">
        <v>190</v>
      </c>
      <c r="E210" s="67">
        <v>45979.0</v>
      </c>
      <c r="F210" s="28">
        <v>45989.0</v>
      </c>
      <c r="G210" s="26" t="s">
        <v>39</v>
      </c>
      <c r="H210" s="26">
        <v>1.0</v>
      </c>
      <c r="I210" s="29"/>
      <c r="J210" s="30"/>
      <c r="K210" s="31" t="s">
        <v>49</v>
      </c>
      <c r="L210" s="24" t="s">
        <v>1163</v>
      </c>
      <c r="M210" s="40" t="s">
        <v>1164</v>
      </c>
      <c r="N210" s="34" t="s">
        <v>1165</v>
      </c>
      <c r="O210" s="35" t="s">
        <v>1166</v>
      </c>
      <c r="P210" s="37"/>
      <c r="Q210" s="37"/>
      <c r="R210" s="37"/>
      <c r="S210" s="24" t="s">
        <v>373</v>
      </c>
      <c r="T210" s="32"/>
      <c r="U210" s="32"/>
      <c r="V210" s="32"/>
      <c r="W210" s="32"/>
      <c r="X210" s="24" t="s">
        <v>302</v>
      </c>
      <c r="Y210" s="32"/>
      <c r="Z210" s="32"/>
      <c r="AA210" s="32"/>
      <c r="AB210" s="32"/>
      <c r="AC210" s="38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</row>
    <row r="211" ht="15.75" customHeight="1">
      <c r="A211" s="23">
        <v>45967.0</v>
      </c>
      <c r="B211" s="24" t="s">
        <v>1167</v>
      </c>
      <c r="C211" s="25" t="s">
        <v>758</v>
      </c>
      <c r="D211" s="26" t="s">
        <v>190</v>
      </c>
      <c r="E211" s="67">
        <v>45979.0</v>
      </c>
      <c r="F211" s="28">
        <v>45989.0</v>
      </c>
      <c r="G211" s="26" t="s">
        <v>39</v>
      </c>
      <c r="H211" s="26">
        <v>1.0</v>
      </c>
      <c r="I211" s="29"/>
      <c r="J211" s="30"/>
      <c r="K211" s="31" t="s">
        <v>49</v>
      </c>
      <c r="L211" s="24" t="s">
        <v>1163</v>
      </c>
      <c r="M211" s="40" t="s">
        <v>1168</v>
      </c>
      <c r="N211" s="34" t="s">
        <v>1169</v>
      </c>
      <c r="O211" s="35" t="s">
        <v>1170</v>
      </c>
      <c r="P211" s="37"/>
      <c r="Q211" s="37"/>
      <c r="R211" s="37"/>
      <c r="S211" s="24" t="s">
        <v>763</v>
      </c>
      <c r="T211" s="32"/>
      <c r="U211" s="32"/>
      <c r="V211" s="32"/>
      <c r="W211" s="32"/>
      <c r="X211" s="32"/>
      <c r="Y211" s="32"/>
      <c r="Z211" s="32"/>
      <c r="AA211" s="32"/>
      <c r="AB211" s="32"/>
      <c r="AC211" s="38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</row>
    <row r="212" ht="15.75" customHeight="1">
      <c r="A212" s="23">
        <v>45967.0</v>
      </c>
      <c r="B212" s="24" t="s">
        <v>1171</v>
      </c>
      <c r="C212" s="25" t="s">
        <v>758</v>
      </c>
      <c r="D212" s="26" t="s">
        <v>190</v>
      </c>
      <c r="E212" s="67">
        <v>45979.0</v>
      </c>
      <c r="F212" s="28">
        <v>45980.0</v>
      </c>
      <c r="G212" s="26" t="s">
        <v>39</v>
      </c>
      <c r="H212" s="26">
        <v>1.0</v>
      </c>
      <c r="I212" s="29"/>
      <c r="J212" s="30"/>
      <c r="K212" s="31"/>
      <c r="L212" s="32"/>
      <c r="M212" s="40" t="s">
        <v>1172</v>
      </c>
      <c r="N212" s="35" t="s">
        <v>1173</v>
      </c>
      <c r="O212" s="32"/>
      <c r="P212" s="37"/>
      <c r="Q212" s="37"/>
      <c r="R212" s="37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8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</row>
    <row r="213" ht="15.75" customHeight="1">
      <c r="A213" s="23">
        <v>45967.0</v>
      </c>
      <c r="B213" s="24" t="s">
        <v>1174</v>
      </c>
      <c r="C213" s="25" t="s">
        <v>758</v>
      </c>
      <c r="D213" s="26" t="s">
        <v>190</v>
      </c>
      <c r="E213" s="67">
        <v>45979.0</v>
      </c>
      <c r="F213" s="28">
        <v>45980.0</v>
      </c>
      <c r="G213" s="26" t="s">
        <v>39</v>
      </c>
      <c r="H213" s="26">
        <v>1.0</v>
      </c>
      <c r="I213" s="29"/>
      <c r="J213" s="30"/>
      <c r="K213" s="31"/>
      <c r="L213" s="32"/>
      <c r="M213" s="40" t="s">
        <v>1175</v>
      </c>
      <c r="N213" s="35" t="s">
        <v>1173</v>
      </c>
      <c r="O213" s="32"/>
      <c r="P213" s="37"/>
      <c r="Q213" s="37"/>
      <c r="R213" s="37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8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</row>
    <row r="214" ht="15.75" customHeight="1">
      <c r="A214" s="23">
        <v>45967.0</v>
      </c>
      <c r="B214" s="24" t="s">
        <v>1176</v>
      </c>
      <c r="C214" s="25" t="s">
        <v>758</v>
      </c>
      <c r="D214" s="26" t="s">
        <v>190</v>
      </c>
      <c r="E214" s="86">
        <v>45973.0</v>
      </c>
      <c r="F214" s="28">
        <v>45974.0</v>
      </c>
      <c r="G214" s="26" t="s">
        <v>39</v>
      </c>
      <c r="H214" s="26">
        <v>1.0</v>
      </c>
      <c r="I214" s="29"/>
      <c r="J214" s="30"/>
      <c r="K214" s="31"/>
      <c r="L214" s="24"/>
      <c r="M214" s="40" t="s">
        <v>1177</v>
      </c>
      <c r="N214" s="34" t="s">
        <v>1173</v>
      </c>
      <c r="O214" s="32"/>
      <c r="P214" s="37"/>
      <c r="Q214" s="37"/>
      <c r="R214" s="37"/>
      <c r="S214" s="32"/>
      <c r="T214" s="32"/>
      <c r="U214" s="32"/>
      <c r="V214" s="32"/>
      <c r="W214" s="32"/>
      <c r="X214" s="43" t="s">
        <v>1178</v>
      </c>
      <c r="Y214" s="32"/>
      <c r="Z214" s="32"/>
      <c r="AA214" s="32"/>
      <c r="AB214" s="32"/>
      <c r="AC214" s="38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</row>
    <row r="215" ht="15.75" customHeight="1">
      <c r="A215" s="23">
        <v>45967.0</v>
      </c>
      <c r="B215" s="24" t="s">
        <v>1179</v>
      </c>
      <c r="C215" s="25" t="s">
        <v>210</v>
      </c>
      <c r="D215" s="26" t="s">
        <v>211</v>
      </c>
      <c r="E215" s="67">
        <f t="shared" ref="E215:E218" si="10">A215+21</f>
        <v>45988</v>
      </c>
      <c r="F215" s="28"/>
      <c r="G215" s="26" t="s">
        <v>55</v>
      </c>
      <c r="H215" s="26">
        <v>2.0</v>
      </c>
      <c r="I215" s="29"/>
      <c r="J215" s="30"/>
      <c r="K215" s="31" t="s">
        <v>33</v>
      </c>
      <c r="L215" s="70" t="s">
        <v>1180</v>
      </c>
      <c r="M215" s="40" t="s">
        <v>1181</v>
      </c>
      <c r="N215" s="34" t="s">
        <v>1182</v>
      </c>
      <c r="O215" s="35" t="s">
        <v>1183</v>
      </c>
      <c r="P215" s="36" t="s">
        <v>62</v>
      </c>
      <c r="Q215" s="37"/>
      <c r="R215" s="37"/>
      <c r="S215" s="32"/>
      <c r="T215" s="32"/>
      <c r="U215" s="32"/>
      <c r="V215" s="32"/>
      <c r="W215" s="32"/>
      <c r="X215" s="24" t="s">
        <v>161</v>
      </c>
      <c r="Y215" s="32"/>
      <c r="Z215" s="32"/>
      <c r="AA215" s="32"/>
      <c r="AB215" s="32"/>
      <c r="AC215" s="38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</row>
    <row r="216" ht="15.75" customHeight="1">
      <c r="A216" s="23">
        <v>45967.0</v>
      </c>
      <c r="B216" s="24" t="s">
        <v>1184</v>
      </c>
      <c r="C216" s="25" t="s">
        <v>38</v>
      </c>
      <c r="D216" s="26" t="s">
        <v>211</v>
      </c>
      <c r="E216" s="67">
        <f t="shared" si="10"/>
        <v>45988</v>
      </c>
      <c r="F216" s="28">
        <v>45996.0</v>
      </c>
      <c r="G216" s="26" t="s">
        <v>39</v>
      </c>
      <c r="H216" s="26">
        <v>1.0</v>
      </c>
      <c r="I216" s="29"/>
      <c r="J216" s="30"/>
      <c r="K216" s="31" t="s">
        <v>33</v>
      </c>
      <c r="L216" s="24" t="s">
        <v>1185</v>
      </c>
      <c r="M216" s="40" t="s">
        <v>1186</v>
      </c>
      <c r="N216" s="34" t="s">
        <v>1187</v>
      </c>
      <c r="O216" s="35" t="s">
        <v>1188</v>
      </c>
      <c r="P216" s="36" t="s">
        <v>47</v>
      </c>
      <c r="Q216" s="37"/>
      <c r="R216" s="37"/>
      <c r="S216" s="24" t="s">
        <v>351</v>
      </c>
      <c r="T216" s="24" t="s">
        <v>1189</v>
      </c>
      <c r="U216" s="32"/>
      <c r="V216" s="32"/>
      <c r="W216" s="32"/>
      <c r="X216" s="24" t="s">
        <v>121</v>
      </c>
      <c r="Y216" s="32"/>
      <c r="Z216" s="32"/>
      <c r="AA216" s="32"/>
      <c r="AB216" s="32"/>
      <c r="AC216" s="38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</row>
    <row r="217" ht="15.75" customHeight="1">
      <c r="A217" s="23">
        <v>45967.0</v>
      </c>
      <c r="B217" s="24" t="s">
        <v>1190</v>
      </c>
      <c r="C217" s="25" t="s">
        <v>54</v>
      </c>
      <c r="D217" s="26" t="s">
        <v>211</v>
      </c>
      <c r="E217" s="67">
        <f t="shared" si="10"/>
        <v>45988</v>
      </c>
      <c r="F217" s="28">
        <v>45999.0</v>
      </c>
      <c r="G217" s="26" t="s">
        <v>39</v>
      </c>
      <c r="H217" s="26">
        <v>1.0</v>
      </c>
      <c r="I217" s="29"/>
      <c r="J217" s="30"/>
      <c r="K217" s="31" t="s">
        <v>33</v>
      </c>
      <c r="L217" s="32"/>
      <c r="M217" s="40" t="s">
        <v>1191</v>
      </c>
      <c r="N217" s="34" t="s">
        <v>1192</v>
      </c>
      <c r="O217" s="35" t="s">
        <v>1193</v>
      </c>
      <c r="P217" s="36" t="s">
        <v>62</v>
      </c>
      <c r="Q217" s="37"/>
      <c r="R217" s="37"/>
      <c r="S217" s="24" t="s">
        <v>1136</v>
      </c>
      <c r="T217" s="32"/>
      <c r="U217" s="32"/>
      <c r="V217" s="32"/>
      <c r="W217" s="32"/>
      <c r="X217" s="24" t="s">
        <v>302</v>
      </c>
      <c r="Y217" s="65" t="s">
        <v>556</v>
      </c>
      <c r="Z217" s="24" t="s">
        <v>161</v>
      </c>
      <c r="AA217" s="32"/>
      <c r="AB217" s="32"/>
      <c r="AC217" s="38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</row>
    <row r="218" ht="15.75" customHeight="1">
      <c r="A218" s="23">
        <v>45966.0</v>
      </c>
      <c r="B218" s="24" t="s">
        <v>1194</v>
      </c>
      <c r="C218" s="25" t="s">
        <v>252</v>
      </c>
      <c r="D218" s="26" t="s">
        <v>211</v>
      </c>
      <c r="E218" s="67">
        <f t="shared" si="10"/>
        <v>45987</v>
      </c>
      <c r="F218" s="28">
        <v>45978.0</v>
      </c>
      <c r="G218" s="26" t="s">
        <v>55</v>
      </c>
      <c r="H218" s="26">
        <v>1.0</v>
      </c>
      <c r="I218" s="29"/>
      <c r="J218" s="30"/>
      <c r="K218" s="31" t="s">
        <v>33</v>
      </c>
      <c r="L218" s="47" t="s">
        <v>145</v>
      </c>
      <c r="M218" s="40" t="s">
        <v>1195</v>
      </c>
      <c r="N218" s="35" t="s">
        <v>1196</v>
      </c>
      <c r="O218" s="35" t="s">
        <v>1197</v>
      </c>
      <c r="P218" s="36" t="s">
        <v>1198</v>
      </c>
      <c r="Q218" s="37"/>
      <c r="R218" s="37"/>
      <c r="S218" s="24" t="s">
        <v>1199</v>
      </c>
      <c r="T218" s="24" t="s">
        <v>149</v>
      </c>
      <c r="U218" s="32"/>
      <c r="V218" s="32"/>
      <c r="W218" s="32"/>
      <c r="X218" s="32"/>
      <c r="Y218" s="32"/>
      <c r="Z218" s="32"/>
      <c r="AA218" s="32"/>
      <c r="AB218" s="32"/>
      <c r="AC218" s="38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 ht="15.75" customHeight="1">
      <c r="A219" s="23">
        <v>45966.0</v>
      </c>
      <c r="B219" s="24" t="s">
        <v>1200</v>
      </c>
      <c r="C219" s="25" t="s">
        <v>678</v>
      </c>
      <c r="D219" s="26" t="s">
        <v>211</v>
      </c>
      <c r="E219" s="86">
        <v>45985.0</v>
      </c>
      <c r="F219" s="28">
        <v>45985.0</v>
      </c>
      <c r="G219" s="26" t="s">
        <v>55</v>
      </c>
      <c r="H219" s="26">
        <v>1.0</v>
      </c>
      <c r="I219" s="29"/>
      <c r="J219" s="30"/>
      <c r="K219" s="31" t="s">
        <v>157</v>
      </c>
      <c r="L219" s="32"/>
      <c r="M219" s="40" t="s">
        <v>1201</v>
      </c>
      <c r="N219" s="34" t="s">
        <v>1202</v>
      </c>
      <c r="O219" s="35" t="s">
        <v>1203</v>
      </c>
      <c r="P219" s="36" t="s">
        <v>62</v>
      </c>
      <c r="Q219" s="36" t="s">
        <v>1204</v>
      </c>
      <c r="R219" s="36" t="s">
        <v>1100</v>
      </c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8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 ht="15.75" customHeight="1">
      <c r="A220" s="23">
        <v>45966.0</v>
      </c>
      <c r="B220" s="66" t="s">
        <v>1205</v>
      </c>
      <c r="C220" s="25" t="s">
        <v>210</v>
      </c>
      <c r="D220" s="26" t="s">
        <v>211</v>
      </c>
      <c r="E220" s="67">
        <f>A220+21</f>
        <v>45987</v>
      </c>
      <c r="F220" s="28">
        <v>45994.0</v>
      </c>
      <c r="G220" s="26" t="s">
        <v>55</v>
      </c>
      <c r="H220" s="26">
        <v>1.0</v>
      </c>
      <c r="I220" s="29"/>
      <c r="J220" s="30"/>
      <c r="K220" s="31" t="s">
        <v>33</v>
      </c>
      <c r="L220" s="32"/>
      <c r="M220" s="40" t="s">
        <v>1206</v>
      </c>
      <c r="N220" s="34" t="s">
        <v>1207</v>
      </c>
      <c r="O220" s="35" t="s">
        <v>1208</v>
      </c>
      <c r="P220" s="36" t="s">
        <v>62</v>
      </c>
      <c r="Q220" s="36" t="s">
        <v>63</v>
      </c>
      <c r="R220" s="36" t="s">
        <v>1100</v>
      </c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8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 ht="15.75" customHeight="1">
      <c r="A221" s="23">
        <v>45966.0</v>
      </c>
      <c r="B221" s="24" t="s">
        <v>1209</v>
      </c>
      <c r="C221" s="25" t="s">
        <v>54</v>
      </c>
      <c r="D221" s="26" t="s">
        <v>211</v>
      </c>
      <c r="E221" s="67">
        <v>45974.0</v>
      </c>
      <c r="F221" s="28">
        <v>45974.0</v>
      </c>
      <c r="G221" s="26" t="s">
        <v>32</v>
      </c>
      <c r="H221" s="26">
        <v>1.0</v>
      </c>
      <c r="I221" s="29"/>
      <c r="J221" s="30"/>
      <c r="K221" s="31"/>
      <c r="L221" s="47" t="s">
        <v>145</v>
      </c>
      <c r="M221" s="40" t="s">
        <v>1210</v>
      </c>
      <c r="N221" s="34" t="s">
        <v>1211</v>
      </c>
      <c r="O221" s="32"/>
      <c r="P221" s="37"/>
      <c r="Q221" s="37"/>
      <c r="R221" s="37"/>
      <c r="S221" s="24" t="s">
        <v>942</v>
      </c>
      <c r="T221" s="32"/>
      <c r="U221" s="32"/>
      <c r="V221" s="32"/>
      <c r="W221" s="32"/>
      <c r="X221" s="24" t="s">
        <v>942</v>
      </c>
      <c r="Y221" s="24" t="s">
        <v>853</v>
      </c>
      <c r="Z221" s="32"/>
      <c r="AA221" s="32"/>
      <c r="AB221" s="32"/>
      <c r="AC221" s="38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</row>
    <row r="222" ht="15.75" customHeight="1">
      <c r="A222" s="23">
        <v>45965.0</v>
      </c>
      <c r="B222" s="24" t="s">
        <v>1212</v>
      </c>
      <c r="C222" s="25" t="s">
        <v>44</v>
      </c>
      <c r="D222" s="26" t="s">
        <v>211</v>
      </c>
      <c r="E222" s="67">
        <f t="shared" ref="E222:E223" si="11">A222+21</f>
        <v>45986</v>
      </c>
      <c r="F222" s="28">
        <v>45979.0</v>
      </c>
      <c r="G222" s="26" t="s">
        <v>32</v>
      </c>
      <c r="H222" s="26">
        <v>1.0</v>
      </c>
      <c r="I222" s="29"/>
      <c r="J222" s="30"/>
      <c r="K222" s="31" t="s">
        <v>33</v>
      </c>
      <c r="L222" s="24" t="s">
        <v>1213</v>
      </c>
      <c r="M222" s="40" t="s">
        <v>1214</v>
      </c>
      <c r="N222" s="34" t="s">
        <v>1215</v>
      </c>
      <c r="O222" s="35" t="s">
        <v>1216</v>
      </c>
      <c r="P222" s="36" t="s">
        <v>62</v>
      </c>
      <c r="Q222" s="37"/>
      <c r="R222" s="37"/>
      <c r="S222" s="24" t="s">
        <v>149</v>
      </c>
      <c r="T222" s="24" t="s">
        <v>154</v>
      </c>
      <c r="U222" s="24" t="s">
        <v>155</v>
      </c>
      <c r="V222" s="24" t="s">
        <v>666</v>
      </c>
      <c r="W222" s="32"/>
      <c r="X222" s="24" t="s">
        <v>149</v>
      </c>
      <c r="Y222" s="24" t="s">
        <v>302</v>
      </c>
      <c r="Z222" s="32"/>
      <c r="AA222" s="32"/>
      <c r="AB222" s="32"/>
      <c r="AC222" s="38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</row>
    <row r="223" ht="15.75" customHeight="1">
      <c r="A223" s="23">
        <v>45965.0</v>
      </c>
      <c r="B223" s="91" t="s">
        <v>1217</v>
      </c>
      <c r="C223" s="25" t="s">
        <v>84</v>
      </c>
      <c r="D223" s="26" t="s">
        <v>85</v>
      </c>
      <c r="E223" s="67">
        <f t="shared" si="11"/>
        <v>45986</v>
      </c>
      <c r="F223" s="28">
        <v>45994.0</v>
      </c>
      <c r="G223" s="26" t="s">
        <v>39</v>
      </c>
      <c r="H223" s="26">
        <v>1.0</v>
      </c>
      <c r="I223" s="29"/>
      <c r="J223" s="30"/>
      <c r="K223" s="31" t="s">
        <v>49</v>
      </c>
      <c r="L223" s="24" t="s">
        <v>1218</v>
      </c>
      <c r="M223" s="40" t="s">
        <v>1219</v>
      </c>
      <c r="N223" s="34" t="s">
        <v>1220</v>
      </c>
      <c r="O223" s="35" t="s">
        <v>1221</v>
      </c>
      <c r="P223" s="69" t="s">
        <v>229</v>
      </c>
      <c r="Q223" s="37"/>
      <c r="R223" s="37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8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</row>
    <row r="224" ht="15.75" customHeight="1">
      <c r="A224" s="23">
        <v>45965.0</v>
      </c>
      <c r="B224" s="24" t="s">
        <v>1222</v>
      </c>
      <c r="C224" s="25" t="s">
        <v>175</v>
      </c>
      <c r="D224" s="26" t="s">
        <v>190</v>
      </c>
      <c r="E224" s="92">
        <v>45965.0</v>
      </c>
      <c r="F224" s="28">
        <v>45965.0</v>
      </c>
      <c r="G224" s="26" t="s">
        <v>32</v>
      </c>
      <c r="H224" s="26">
        <v>1.0</v>
      </c>
      <c r="I224" s="29"/>
      <c r="J224" s="30"/>
      <c r="K224" s="31"/>
      <c r="L224" s="47"/>
      <c r="M224" s="81" t="s">
        <v>1223</v>
      </c>
      <c r="N224" s="34" t="s">
        <v>1224</v>
      </c>
      <c r="O224" s="24"/>
      <c r="P224" s="79"/>
      <c r="Q224" s="37"/>
      <c r="R224" s="37"/>
      <c r="S224" s="24"/>
      <c r="T224" s="24"/>
      <c r="U224" s="32"/>
      <c r="V224" s="32"/>
      <c r="W224" s="32"/>
      <c r="X224" s="24"/>
      <c r="Y224" s="32"/>
      <c r="Z224" s="32"/>
      <c r="AA224" s="32"/>
      <c r="AB224" s="32"/>
      <c r="AC224" s="38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</row>
    <row r="225" ht="15.75" customHeight="1">
      <c r="A225" s="23">
        <v>45964.0</v>
      </c>
      <c r="B225" s="24" t="s">
        <v>1225</v>
      </c>
      <c r="C225" s="25" t="s">
        <v>1226</v>
      </c>
      <c r="D225" s="26" t="s">
        <v>211</v>
      </c>
      <c r="E225" s="67">
        <f t="shared" ref="E225:E226" si="12">A225+21</f>
        <v>45985</v>
      </c>
      <c r="F225" s="28">
        <v>45981.0</v>
      </c>
      <c r="G225" s="26" t="s">
        <v>39</v>
      </c>
      <c r="H225" s="26">
        <v>1.0</v>
      </c>
      <c r="I225" s="29"/>
      <c r="J225" s="30"/>
      <c r="K225" s="31" t="s">
        <v>49</v>
      </c>
      <c r="L225" s="47" t="s">
        <v>1227</v>
      </c>
      <c r="M225" s="40" t="s">
        <v>1228</v>
      </c>
      <c r="N225" s="35" t="s">
        <v>1229</v>
      </c>
      <c r="O225" s="35" t="s">
        <v>1230</v>
      </c>
      <c r="P225" s="36" t="s">
        <v>166</v>
      </c>
      <c r="Q225" s="37"/>
      <c r="R225" s="37"/>
      <c r="S225" s="24" t="s">
        <v>526</v>
      </c>
      <c r="T225" s="32"/>
      <c r="U225" s="32"/>
      <c r="V225" s="32"/>
      <c r="W225" s="32"/>
      <c r="X225" s="32"/>
      <c r="Y225" s="32"/>
      <c r="Z225" s="32"/>
      <c r="AA225" s="32"/>
      <c r="AB225" s="32"/>
      <c r="AC225" s="38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</row>
    <row r="226" ht="15.75" customHeight="1">
      <c r="A226" s="23">
        <v>45964.0</v>
      </c>
      <c r="B226" s="24" t="s">
        <v>1231</v>
      </c>
      <c r="C226" s="25" t="s">
        <v>38</v>
      </c>
      <c r="D226" s="26" t="s">
        <v>211</v>
      </c>
      <c r="E226" s="67">
        <f t="shared" si="12"/>
        <v>45985</v>
      </c>
      <c r="F226" s="28">
        <v>45996.0</v>
      </c>
      <c r="G226" s="26" t="s">
        <v>39</v>
      </c>
      <c r="H226" s="26">
        <v>1.0</v>
      </c>
      <c r="I226" s="29"/>
      <c r="J226" s="30"/>
      <c r="K226" s="31" t="s">
        <v>33</v>
      </c>
      <c r="L226" s="32"/>
      <c r="M226" s="40" t="s">
        <v>1232</v>
      </c>
      <c r="N226" s="34" t="s">
        <v>1233</v>
      </c>
      <c r="O226" s="35" t="s">
        <v>1234</v>
      </c>
      <c r="P226" s="36" t="s">
        <v>307</v>
      </c>
      <c r="Q226" s="37"/>
      <c r="R226" s="37"/>
      <c r="S226" s="24" t="s">
        <v>1235</v>
      </c>
      <c r="T226" s="32"/>
      <c r="U226" s="32"/>
      <c r="V226" s="32"/>
      <c r="W226" s="32"/>
      <c r="X226" s="24" t="s">
        <v>121</v>
      </c>
      <c r="Y226" s="32"/>
      <c r="Z226" s="32"/>
      <c r="AA226" s="32"/>
      <c r="AB226" s="32"/>
      <c r="AC226" s="38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</row>
    <row r="227" ht="15.75" customHeight="1">
      <c r="A227" s="23">
        <v>45961.0</v>
      </c>
      <c r="B227" s="24" t="s">
        <v>1236</v>
      </c>
      <c r="C227" s="25" t="s">
        <v>210</v>
      </c>
      <c r="D227" s="26" t="s">
        <v>211</v>
      </c>
      <c r="E227" s="67">
        <v>45980.0</v>
      </c>
      <c r="F227" s="28">
        <v>45975.0</v>
      </c>
      <c r="G227" s="26" t="s">
        <v>55</v>
      </c>
      <c r="H227" s="26">
        <v>1.0</v>
      </c>
      <c r="I227" s="29"/>
      <c r="J227" s="30"/>
      <c r="K227" s="31" t="s">
        <v>33</v>
      </c>
      <c r="L227" s="47"/>
      <c r="M227" s="40" t="s">
        <v>1237</v>
      </c>
      <c r="N227" s="34" t="s">
        <v>1238</v>
      </c>
      <c r="O227" s="35" t="s">
        <v>1239</v>
      </c>
      <c r="P227" s="36" t="s">
        <v>1240</v>
      </c>
      <c r="Q227" s="37"/>
      <c r="R227" s="37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8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 ht="15.75" customHeight="1">
      <c r="A228" s="23">
        <v>45961.0</v>
      </c>
      <c r="B228" s="24" t="s">
        <v>1241</v>
      </c>
      <c r="C228" s="25" t="s">
        <v>38</v>
      </c>
      <c r="D228" s="26" t="s">
        <v>190</v>
      </c>
      <c r="E228" s="67">
        <f t="shared" ref="E228:E244" si="13">A228+21</f>
        <v>45982</v>
      </c>
      <c r="F228" s="28">
        <v>45979.0</v>
      </c>
      <c r="G228" s="26" t="s">
        <v>39</v>
      </c>
      <c r="H228" s="26">
        <v>1.0</v>
      </c>
      <c r="I228" s="29"/>
      <c r="J228" s="30"/>
      <c r="K228" s="31" t="s">
        <v>33</v>
      </c>
      <c r="L228" s="32"/>
      <c r="M228" s="40" t="s">
        <v>1242</v>
      </c>
      <c r="N228" s="34" t="s">
        <v>1243</v>
      </c>
      <c r="O228" s="35" t="s">
        <v>1244</v>
      </c>
      <c r="P228" s="36" t="s">
        <v>281</v>
      </c>
      <c r="Q228" s="37"/>
      <c r="R228" s="37"/>
      <c r="S228" s="32"/>
      <c r="T228" s="32"/>
      <c r="U228" s="32"/>
      <c r="V228" s="32"/>
      <c r="W228" s="32"/>
      <c r="X228" s="24" t="s">
        <v>1245</v>
      </c>
      <c r="Y228" s="32"/>
      <c r="Z228" s="32"/>
      <c r="AA228" s="32"/>
      <c r="AB228" s="32"/>
      <c r="AC228" s="38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</row>
    <row r="229" ht="15.75" customHeight="1">
      <c r="A229" s="23">
        <v>45959.0</v>
      </c>
      <c r="B229" s="66" t="s">
        <v>1246</v>
      </c>
      <c r="C229" s="25" t="s">
        <v>38</v>
      </c>
      <c r="D229" s="26" t="s">
        <v>211</v>
      </c>
      <c r="E229" s="67">
        <f t="shared" si="13"/>
        <v>45980</v>
      </c>
      <c r="F229" s="28">
        <v>45979.0</v>
      </c>
      <c r="G229" s="26" t="s">
        <v>39</v>
      </c>
      <c r="H229" s="26">
        <v>1.0</v>
      </c>
      <c r="I229" s="29"/>
      <c r="J229" s="30"/>
      <c r="K229" s="31" t="s">
        <v>33</v>
      </c>
      <c r="L229" s="32"/>
      <c r="M229" s="26" t="s">
        <v>1247</v>
      </c>
      <c r="N229" s="34" t="s">
        <v>1248</v>
      </c>
      <c r="O229" s="35" t="s">
        <v>1249</v>
      </c>
      <c r="P229" s="36" t="s">
        <v>68</v>
      </c>
      <c r="Q229" s="37"/>
      <c r="R229" s="37"/>
      <c r="S229" s="32"/>
      <c r="T229" s="32"/>
      <c r="U229" s="32"/>
      <c r="V229" s="32"/>
      <c r="W229" s="32"/>
      <c r="X229" s="24" t="s">
        <v>1250</v>
      </c>
      <c r="Y229" s="32"/>
      <c r="Z229" s="32"/>
      <c r="AA229" s="32"/>
      <c r="AB229" s="32"/>
      <c r="AC229" s="38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 ht="15.75" customHeight="1">
      <c r="A230" s="23">
        <v>45957.0</v>
      </c>
      <c r="B230" s="24" t="s">
        <v>1251</v>
      </c>
      <c r="C230" s="25" t="s">
        <v>38</v>
      </c>
      <c r="D230" s="26" t="s">
        <v>211</v>
      </c>
      <c r="E230" s="67">
        <f t="shared" si="13"/>
        <v>45978</v>
      </c>
      <c r="F230" s="28">
        <v>45980.0</v>
      </c>
      <c r="G230" s="26" t="s">
        <v>39</v>
      </c>
      <c r="H230" s="26">
        <v>1.0</v>
      </c>
      <c r="I230" s="29"/>
      <c r="J230" s="30"/>
      <c r="K230" s="31" t="s">
        <v>33</v>
      </c>
      <c r="L230" s="32"/>
      <c r="M230" s="40" t="s">
        <v>1252</v>
      </c>
      <c r="N230" s="34" t="s">
        <v>1253</v>
      </c>
      <c r="O230" s="35" t="s">
        <v>1254</v>
      </c>
      <c r="P230" s="36" t="s">
        <v>78</v>
      </c>
      <c r="Q230" s="36" t="s">
        <v>194</v>
      </c>
      <c r="R230" s="37"/>
      <c r="S230" s="32"/>
      <c r="T230" s="32"/>
      <c r="U230" s="32"/>
      <c r="V230" s="32"/>
      <c r="W230" s="32"/>
      <c r="X230" s="24" t="s">
        <v>302</v>
      </c>
      <c r="Y230" s="32"/>
      <c r="Z230" s="32"/>
      <c r="AA230" s="32"/>
      <c r="AB230" s="32"/>
      <c r="AC230" s="38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</row>
    <row r="231" ht="15.75" customHeight="1">
      <c r="A231" s="23">
        <v>45954.0</v>
      </c>
      <c r="B231" s="24" t="s">
        <v>1255</v>
      </c>
      <c r="C231" s="25" t="s">
        <v>54</v>
      </c>
      <c r="D231" s="26" t="s">
        <v>211</v>
      </c>
      <c r="E231" s="27">
        <f t="shared" si="13"/>
        <v>45975</v>
      </c>
      <c r="F231" s="28">
        <v>45993.0</v>
      </c>
      <c r="G231" s="26" t="s">
        <v>39</v>
      </c>
      <c r="H231" s="26">
        <v>3.0</v>
      </c>
      <c r="I231" s="29"/>
      <c r="J231" s="30"/>
      <c r="K231" s="31" t="s">
        <v>49</v>
      </c>
      <c r="L231" s="47" t="s">
        <v>1256</v>
      </c>
      <c r="M231" s="40" t="s">
        <v>1257</v>
      </c>
      <c r="N231" s="35" t="s">
        <v>1258</v>
      </c>
      <c r="O231" s="35" t="s">
        <v>1259</v>
      </c>
      <c r="P231" s="36" t="s">
        <v>78</v>
      </c>
      <c r="Q231" s="37"/>
      <c r="R231" s="37"/>
      <c r="S231" s="24" t="s">
        <v>555</v>
      </c>
      <c r="T231" s="32"/>
      <c r="U231" s="32"/>
      <c r="V231" s="32"/>
      <c r="W231" s="32"/>
      <c r="X231" s="32"/>
      <c r="Y231" s="32"/>
      <c r="Z231" s="32"/>
      <c r="AA231" s="32"/>
      <c r="AB231" s="32"/>
      <c r="AC231" s="38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 ht="15.75" customHeight="1">
      <c r="A232" s="23">
        <v>45954.0</v>
      </c>
      <c r="B232" s="24" t="s">
        <v>1260</v>
      </c>
      <c r="C232" s="25" t="s">
        <v>54</v>
      </c>
      <c r="D232" s="26" t="s">
        <v>211</v>
      </c>
      <c r="E232" s="27">
        <f t="shared" si="13"/>
        <v>45975</v>
      </c>
      <c r="F232" s="28">
        <v>45993.0</v>
      </c>
      <c r="G232" s="26" t="s">
        <v>39</v>
      </c>
      <c r="H232" s="26">
        <v>2.0</v>
      </c>
      <c r="I232" s="29"/>
      <c r="J232" s="30"/>
      <c r="K232" s="31" t="s">
        <v>49</v>
      </c>
      <c r="L232" s="47" t="s">
        <v>298</v>
      </c>
      <c r="M232" s="40" t="s">
        <v>1261</v>
      </c>
      <c r="N232" s="35" t="s">
        <v>1258</v>
      </c>
      <c r="O232" s="35" t="s">
        <v>1262</v>
      </c>
      <c r="P232" s="36" t="s">
        <v>78</v>
      </c>
      <c r="Q232" s="37"/>
      <c r="R232" s="37"/>
      <c r="S232" s="24" t="s">
        <v>155</v>
      </c>
      <c r="T232" s="32"/>
      <c r="U232" s="32"/>
      <c r="V232" s="32"/>
      <c r="W232" s="32"/>
      <c r="X232" s="32"/>
      <c r="Y232" s="32"/>
      <c r="Z232" s="32"/>
      <c r="AA232" s="32"/>
      <c r="AB232" s="32"/>
      <c r="AC232" s="38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</row>
    <row r="233" ht="15.75" customHeight="1">
      <c r="A233" s="23">
        <v>45954.0</v>
      </c>
      <c r="B233" s="24" t="s">
        <v>1263</v>
      </c>
      <c r="C233" s="25" t="s">
        <v>1068</v>
      </c>
      <c r="D233" s="26" t="s">
        <v>211</v>
      </c>
      <c r="E233" s="67">
        <f t="shared" si="13"/>
        <v>45975</v>
      </c>
      <c r="F233" s="28">
        <v>45975.0</v>
      </c>
      <c r="G233" s="26" t="s">
        <v>55</v>
      </c>
      <c r="H233" s="26">
        <v>1.0</v>
      </c>
      <c r="I233" s="29"/>
      <c r="J233" s="30"/>
      <c r="K233" s="31" t="s">
        <v>33</v>
      </c>
      <c r="L233" s="24" t="s">
        <v>1264</v>
      </c>
      <c r="M233" s="40" t="s">
        <v>1265</v>
      </c>
      <c r="N233" s="34" t="s">
        <v>1266</v>
      </c>
      <c r="O233" s="35" t="s">
        <v>1267</v>
      </c>
      <c r="P233" s="36" t="s">
        <v>1240</v>
      </c>
      <c r="Q233" s="37"/>
      <c r="R233" s="37"/>
      <c r="S233" s="24" t="s">
        <v>555</v>
      </c>
      <c r="T233" s="32"/>
      <c r="U233" s="32"/>
      <c r="V233" s="32"/>
      <c r="W233" s="32"/>
      <c r="X233" s="32"/>
      <c r="Y233" s="32"/>
      <c r="Z233" s="32"/>
      <c r="AA233" s="32"/>
      <c r="AB233" s="32"/>
      <c r="AC233" s="38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</row>
    <row r="234" ht="15.75" customHeight="1">
      <c r="A234" s="23">
        <v>45954.0</v>
      </c>
      <c r="B234" s="24" t="s">
        <v>1268</v>
      </c>
      <c r="C234" s="25" t="s">
        <v>1068</v>
      </c>
      <c r="D234" s="26" t="s">
        <v>211</v>
      </c>
      <c r="E234" s="67">
        <f t="shared" si="13"/>
        <v>45975</v>
      </c>
      <c r="F234" s="28">
        <v>45975.0</v>
      </c>
      <c r="G234" s="26" t="s">
        <v>39</v>
      </c>
      <c r="H234" s="26">
        <v>1.0</v>
      </c>
      <c r="I234" s="29"/>
      <c r="J234" s="30"/>
      <c r="K234" s="31" t="s">
        <v>33</v>
      </c>
      <c r="L234" s="24" t="s">
        <v>1269</v>
      </c>
      <c r="M234" s="40" t="s">
        <v>1270</v>
      </c>
      <c r="N234" s="34" t="s">
        <v>1271</v>
      </c>
      <c r="O234" s="35" t="s">
        <v>1272</v>
      </c>
      <c r="P234" s="36" t="s">
        <v>1240</v>
      </c>
      <c r="Q234" s="37"/>
      <c r="R234" s="37"/>
      <c r="S234" s="24" t="s">
        <v>1273</v>
      </c>
      <c r="T234" s="24" t="s">
        <v>555</v>
      </c>
      <c r="U234" s="32"/>
      <c r="V234" s="32"/>
      <c r="W234" s="32"/>
      <c r="X234" s="32"/>
      <c r="Y234" s="32"/>
      <c r="Z234" s="32"/>
      <c r="AA234" s="32"/>
      <c r="AB234" s="32"/>
      <c r="AC234" s="38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</row>
    <row r="235" ht="15.75" customHeight="1">
      <c r="A235" s="23">
        <v>45954.0</v>
      </c>
      <c r="B235" s="24" t="s">
        <v>1274</v>
      </c>
      <c r="C235" s="25" t="s">
        <v>38</v>
      </c>
      <c r="D235" s="26" t="s">
        <v>190</v>
      </c>
      <c r="E235" s="67">
        <f t="shared" si="13"/>
        <v>45975</v>
      </c>
      <c r="F235" s="28">
        <v>45974.0</v>
      </c>
      <c r="G235" s="26" t="s">
        <v>39</v>
      </c>
      <c r="H235" s="26">
        <v>1.0</v>
      </c>
      <c r="I235" s="29"/>
      <c r="J235" s="30"/>
      <c r="K235" s="31" t="s">
        <v>33</v>
      </c>
      <c r="L235" s="32"/>
      <c r="M235" s="40" t="s">
        <v>1275</v>
      </c>
      <c r="N235" s="34" t="s">
        <v>1276</v>
      </c>
      <c r="O235" s="35" t="s">
        <v>1277</v>
      </c>
      <c r="P235" s="36" t="s">
        <v>36</v>
      </c>
      <c r="Q235" s="37"/>
      <c r="R235" s="37"/>
      <c r="S235" s="24" t="s">
        <v>215</v>
      </c>
      <c r="T235" s="32"/>
      <c r="U235" s="32"/>
      <c r="V235" s="32"/>
      <c r="W235" s="32"/>
      <c r="X235" s="24" t="s">
        <v>1278</v>
      </c>
      <c r="Y235" s="32"/>
      <c r="Z235" s="32"/>
      <c r="AA235" s="32"/>
      <c r="AB235" s="32"/>
      <c r="AC235" s="38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</row>
    <row r="236" ht="15.75" customHeight="1">
      <c r="A236" s="23">
        <v>45954.0</v>
      </c>
      <c r="B236" s="24" t="s">
        <v>1279</v>
      </c>
      <c r="C236" s="25" t="s">
        <v>54</v>
      </c>
      <c r="D236" s="26" t="s">
        <v>211</v>
      </c>
      <c r="E236" s="27">
        <f t="shared" si="13"/>
        <v>45975</v>
      </c>
      <c r="F236" s="28">
        <v>45993.0</v>
      </c>
      <c r="G236" s="26" t="s">
        <v>39</v>
      </c>
      <c r="H236" s="26">
        <v>1.0</v>
      </c>
      <c r="I236" s="29"/>
      <c r="J236" s="30"/>
      <c r="K236" s="31" t="s">
        <v>49</v>
      </c>
      <c r="L236" s="47" t="s">
        <v>298</v>
      </c>
      <c r="M236" s="40" t="s">
        <v>1280</v>
      </c>
      <c r="N236" s="35" t="s">
        <v>1258</v>
      </c>
      <c r="O236" s="35" t="s">
        <v>1281</v>
      </c>
      <c r="P236" s="36" t="s">
        <v>78</v>
      </c>
      <c r="Q236" s="37"/>
      <c r="R236" s="37"/>
      <c r="S236" s="24" t="s">
        <v>327</v>
      </c>
      <c r="T236" s="24" t="s">
        <v>1282</v>
      </c>
      <c r="U236" s="24" t="s">
        <v>155</v>
      </c>
      <c r="V236" s="32"/>
      <c r="W236" s="32"/>
      <c r="X236" s="24" t="s">
        <v>1283</v>
      </c>
      <c r="Y236" s="32"/>
      <c r="Z236" s="32"/>
      <c r="AA236" s="32"/>
      <c r="AB236" s="32"/>
      <c r="AC236" s="38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 ht="15.75" customHeight="1">
      <c r="A237" s="23">
        <v>45953.0</v>
      </c>
      <c r="B237" s="24" t="s">
        <v>1284</v>
      </c>
      <c r="C237" s="25" t="s">
        <v>84</v>
      </c>
      <c r="D237" s="26" t="s">
        <v>211</v>
      </c>
      <c r="E237" s="67">
        <f t="shared" si="13"/>
        <v>45974</v>
      </c>
      <c r="F237" s="28">
        <v>45980.0</v>
      </c>
      <c r="G237" s="26" t="s">
        <v>39</v>
      </c>
      <c r="H237" s="26">
        <v>4.0</v>
      </c>
      <c r="I237" s="29"/>
      <c r="J237" s="30"/>
      <c r="K237" s="31" t="s">
        <v>157</v>
      </c>
      <c r="L237" s="24" t="s">
        <v>1285</v>
      </c>
      <c r="M237" s="40" t="s">
        <v>1286</v>
      </c>
      <c r="N237" s="35" t="s">
        <v>1287</v>
      </c>
      <c r="O237" s="35" t="s">
        <v>1288</v>
      </c>
      <c r="P237" s="36" t="s">
        <v>1240</v>
      </c>
      <c r="Q237" s="36" t="s">
        <v>1289</v>
      </c>
      <c r="R237" s="36" t="s">
        <v>64</v>
      </c>
      <c r="S237" s="24" t="s">
        <v>1290</v>
      </c>
      <c r="T237" s="32"/>
      <c r="U237" s="32"/>
      <c r="V237" s="32"/>
      <c r="W237" s="32"/>
      <c r="X237" s="32"/>
      <c r="Y237" s="32"/>
      <c r="Z237" s="32"/>
      <c r="AA237" s="32"/>
      <c r="AB237" s="32"/>
      <c r="AC237" s="38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 ht="15.75" customHeight="1">
      <c r="A238" s="23">
        <v>45953.0</v>
      </c>
      <c r="B238" s="66" t="s">
        <v>1291</v>
      </c>
      <c r="C238" s="25" t="s">
        <v>210</v>
      </c>
      <c r="D238" s="26" t="s">
        <v>211</v>
      </c>
      <c r="E238" s="67">
        <f t="shared" si="13"/>
        <v>45974</v>
      </c>
      <c r="F238" s="28">
        <v>45979.0</v>
      </c>
      <c r="G238" s="26" t="s">
        <v>55</v>
      </c>
      <c r="H238" s="26">
        <v>1.0</v>
      </c>
      <c r="I238" s="29"/>
      <c r="J238" s="30"/>
      <c r="K238" s="31" t="s">
        <v>33</v>
      </c>
      <c r="L238" s="32"/>
      <c r="M238" s="40" t="s">
        <v>1292</v>
      </c>
      <c r="N238" s="34" t="s">
        <v>1293</v>
      </c>
      <c r="O238" s="35" t="s">
        <v>1294</v>
      </c>
      <c r="P238" s="36" t="s">
        <v>47</v>
      </c>
      <c r="Q238" s="37"/>
      <c r="R238" s="37"/>
      <c r="S238" s="24" t="s">
        <v>154</v>
      </c>
      <c r="T238" s="32"/>
      <c r="U238" s="32"/>
      <c r="V238" s="32"/>
      <c r="W238" s="32"/>
      <c r="X238" s="24" t="s">
        <v>370</v>
      </c>
      <c r="Y238" s="24" t="s">
        <v>550</v>
      </c>
      <c r="Z238" s="24" t="s">
        <v>155</v>
      </c>
      <c r="AA238" s="24" t="s">
        <v>302</v>
      </c>
      <c r="AB238" s="32"/>
      <c r="AC238" s="38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 ht="15.75" customHeight="1">
      <c r="A239" s="23">
        <v>45953.0</v>
      </c>
      <c r="B239" s="66" t="s">
        <v>1295</v>
      </c>
      <c r="C239" s="25" t="s">
        <v>210</v>
      </c>
      <c r="D239" s="26" t="s">
        <v>211</v>
      </c>
      <c r="E239" s="67">
        <f t="shared" si="13"/>
        <v>45974</v>
      </c>
      <c r="F239" s="28">
        <v>45979.0</v>
      </c>
      <c r="G239" s="26" t="s">
        <v>55</v>
      </c>
      <c r="H239" s="26">
        <v>1.0</v>
      </c>
      <c r="I239" s="29"/>
      <c r="J239" s="30"/>
      <c r="K239" s="31" t="s">
        <v>33</v>
      </c>
      <c r="L239" s="32"/>
      <c r="M239" s="40" t="s">
        <v>1296</v>
      </c>
      <c r="N239" s="34" t="s">
        <v>1297</v>
      </c>
      <c r="O239" s="35" t="s">
        <v>1298</v>
      </c>
      <c r="P239" s="36" t="s">
        <v>1240</v>
      </c>
      <c r="Q239" s="37"/>
      <c r="R239" s="37"/>
      <c r="S239" s="32"/>
      <c r="T239" s="32"/>
      <c r="U239" s="32"/>
      <c r="V239" s="32"/>
      <c r="W239" s="32"/>
      <c r="X239" s="32"/>
      <c r="Y239" s="93"/>
      <c r="Z239" s="32"/>
      <c r="AA239" s="32"/>
      <c r="AB239" s="32"/>
      <c r="AC239" s="38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</row>
    <row r="240" ht="15.75" customHeight="1">
      <c r="A240" s="23">
        <v>45951.0</v>
      </c>
      <c r="B240" s="24" t="s">
        <v>1299</v>
      </c>
      <c r="C240" s="25" t="s">
        <v>270</v>
      </c>
      <c r="D240" s="26" t="s">
        <v>211</v>
      </c>
      <c r="E240" s="67">
        <f t="shared" si="13"/>
        <v>45972</v>
      </c>
      <c r="F240" s="28">
        <v>45958.0</v>
      </c>
      <c r="G240" s="26" t="s">
        <v>39</v>
      </c>
      <c r="H240" s="26">
        <v>2.0</v>
      </c>
      <c r="I240" s="29"/>
      <c r="J240" s="30"/>
      <c r="K240" s="31" t="s">
        <v>33</v>
      </c>
      <c r="L240" s="32"/>
      <c r="M240" s="40" t="s">
        <v>1300</v>
      </c>
      <c r="N240" s="34" t="s">
        <v>1301</v>
      </c>
      <c r="O240" s="35" t="s">
        <v>1302</v>
      </c>
      <c r="P240" s="36" t="s">
        <v>1050</v>
      </c>
      <c r="Q240" s="37"/>
      <c r="R240" s="37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8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</row>
    <row r="241" ht="15.75" customHeight="1">
      <c r="A241" s="23">
        <v>45950.0</v>
      </c>
      <c r="B241" s="66" t="s">
        <v>1303</v>
      </c>
      <c r="C241" s="25" t="s">
        <v>678</v>
      </c>
      <c r="D241" s="26" t="s">
        <v>211</v>
      </c>
      <c r="E241" s="67">
        <f t="shared" si="13"/>
        <v>45971</v>
      </c>
      <c r="F241" s="94">
        <v>45979.0</v>
      </c>
      <c r="G241" s="26" t="s">
        <v>55</v>
      </c>
      <c r="H241" s="26">
        <v>1.0</v>
      </c>
      <c r="I241" s="29"/>
      <c r="J241" s="30"/>
      <c r="K241" s="31" t="s">
        <v>33</v>
      </c>
      <c r="L241" s="32"/>
      <c r="M241" s="40" t="s">
        <v>1304</v>
      </c>
      <c r="N241" s="34" t="s">
        <v>1305</v>
      </c>
      <c r="O241" s="35" t="s">
        <v>1306</v>
      </c>
      <c r="P241" s="36" t="s">
        <v>1307</v>
      </c>
      <c r="Q241" s="37"/>
      <c r="R241" s="37"/>
      <c r="S241" s="24" t="s">
        <v>1308</v>
      </c>
      <c r="T241" s="32"/>
      <c r="U241" s="32"/>
      <c r="V241" s="32"/>
      <c r="W241" s="32"/>
      <c r="X241" s="24"/>
      <c r="Y241" s="32"/>
      <c r="Z241" s="32"/>
      <c r="AA241" s="32"/>
      <c r="AB241" s="32"/>
      <c r="AC241" s="38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 ht="15.75" customHeight="1">
      <c r="A242" s="23">
        <v>45950.0</v>
      </c>
      <c r="B242" s="24" t="s">
        <v>1309</v>
      </c>
      <c r="C242" s="25" t="s">
        <v>38</v>
      </c>
      <c r="D242" s="26" t="s">
        <v>211</v>
      </c>
      <c r="E242" s="67">
        <f t="shared" si="13"/>
        <v>45971</v>
      </c>
      <c r="F242" s="94">
        <v>45979.0</v>
      </c>
      <c r="G242" s="26" t="s">
        <v>39</v>
      </c>
      <c r="H242" s="26">
        <v>1.0</v>
      </c>
      <c r="I242" s="29"/>
      <c r="J242" s="30"/>
      <c r="K242" s="31" t="s">
        <v>33</v>
      </c>
      <c r="L242" s="44" t="s">
        <v>1310</v>
      </c>
      <c r="M242" s="40" t="s">
        <v>1311</v>
      </c>
      <c r="N242" s="34" t="s">
        <v>1312</v>
      </c>
      <c r="O242" s="35" t="s">
        <v>1313</v>
      </c>
      <c r="P242" s="36" t="s">
        <v>47</v>
      </c>
      <c r="Q242" s="37"/>
      <c r="R242" s="37"/>
      <c r="S242" s="24" t="s">
        <v>576</v>
      </c>
      <c r="T242" s="32"/>
      <c r="U242" s="32"/>
      <c r="V242" s="32"/>
      <c r="W242" s="32"/>
      <c r="X242" s="32"/>
      <c r="Y242" s="32"/>
      <c r="Z242" s="32"/>
      <c r="AA242" s="32"/>
      <c r="AB242" s="32"/>
      <c r="AC242" s="38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</row>
    <row r="243" ht="15.75" customHeight="1">
      <c r="A243" s="23">
        <v>45950.0</v>
      </c>
      <c r="B243" s="24" t="s">
        <v>1314</v>
      </c>
      <c r="C243" s="25" t="s">
        <v>54</v>
      </c>
      <c r="D243" s="26" t="s">
        <v>211</v>
      </c>
      <c r="E243" s="67">
        <f t="shared" si="13"/>
        <v>45971</v>
      </c>
      <c r="F243" s="94">
        <v>45979.0</v>
      </c>
      <c r="G243" s="26" t="s">
        <v>55</v>
      </c>
      <c r="H243" s="26">
        <v>1.0</v>
      </c>
      <c r="I243" s="29"/>
      <c r="J243" s="30"/>
      <c r="K243" s="31" t="s">
        <v>157</v>
      </c>
      <c r="L243" s="24" t="s">
        <v>1073</v>
      </c>
      <c r="M243" s="40" t="s">
        <v>1315</v>
      </c>
      <c r="N243" s="34" t="s">
        <v>1316</v>
      </c>
      <c r="O243" s="35" t="s">
        <v>1317</v>
      </c>
      <c r="P243" s="36" t="s">
        <v>166</v>
      </c>
      <c r="Q243" s="37"/>
      <c r="R243" s="36" t="s">
        <v>545</v>
      </c>
      <c r="S243" s="24" t="s">
        <v>215</v>
      </c>
      <c r="T243" s="32"/>
      <c r="U243" s="32"/>
      <c r="V243" s="32"/>
      <c r="W243" s="32"/>
      <c r="X243" s="24" t="s">
        <v>167</v>
      </c>
      <c r="Y243" s="32"/>
      <c r="Z243" s="32"/>
      <c r="AA243" s="32"/>
      <c r="AB243" s="32"/>
      <c r="AC243" s="38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</row>
    <row r="244" ht="15.75" customHeight="1">
      <c r="A244" s="23">
        <v>45950.0</v>
      </c>
      <c r="B244" s="41" t="s">
        <v>1318</v>
      </c>
      <c r="C244" s="25" t="s">
        <v>38</v>
      </c>
      <c r="D244" s="26" t="s">
        <v>211</v>
      </c>
      <c r="E244" s="67">
        <f t="shared" si="13"/>
        <v>45971</v>
      </c>
      <c r="F244" s="94">
        <v>45977.0</v>
      </c>
      <c r="G244" s="26" t="s">
        <v>39</v>
      </c>
      <c r="H244" s="26">
        <v>1.0</v>
      </c>
      <c r="I244" s="29"/>
      <c r="J244" s="30"/>
      <c r="K244" s="31" t="s">
        <v>33</v>
      </c>
      <c r="L244" s="24"/>
      <c r="M244" s="40" t="s">
        <v>1319</v>
      </c>
      <c r="N244" s="34" t="s">
        <v>1320</v>
      </c>
      <c r="O244" s="35" t="s">
        <v>1321</v>
      </c>
      <c r="P244" s="36" t="s">
        <v>47</v>
      </c>
      <c r="Q244" s="37"/>
      <c r="R244" s="37"/>
      <c r="S244" s="32"/>
      <c r="T244" s="32"/>
      <c r="U244" s="32"/>
      <c r="V244" s="32"/>
      <c r="W244" s="32"/>
      <c r="X244" s="85" t="s">
        <v>1322</v>
      </c>
      <c r="Y244" s="24" t="s">
        <v>1323</v>
      </c>
      <c r="Z244" s="32"/>
      <c r="AA244" s="32"/>
      <c r="AB244" s="32"/>
      <c r="AC244" s="38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</row>
    <row r="245" ht="15.75" customHeight="1">
      <c r="A245" s="23">
        <v>45949.0</v>
      </c>
      <c r="B245" s="24" t="s">
        <v>1324</v>
      </c>
      <c r="C245" s="25" t="s">
        <v>210</v>
      </c>
      <c r="D245" s="26" t="s">
        <v>211</v>
      </c>
      <c r="E245" s="92">
        <v>45722.0</v>
      </c>
      <c r="F245" s="28"/>
      <c r="G245" s="26" t="s">
        <v>32</v>
      </c>
      <c r="H245" s="26">
        <v>1.0</v>
      </c>
      <c r="I245" s="29"/>
      <c r="J245" s="30"/>
      <c r="K245" s="31" t="s">
        <v>157</v>
      </c>
      <c r="L245" s="47" t="s">
        <v>298</v>
      </c>
      <c r="M245" s="40" t="s">
        <v>1325</v>
      </c>
      <c r="N245" s="34" t="s">
        <v>1326</v>
      </c>
      <c r="O245" s="35" t="s">
        <v>1327</v>
      </c>
      <c r="P245" s="36" t="s">
        <v>47</v>
      </c>
      <c r="Q245" s="37"/>
      <c r="R245" s="37"/>
      <c r="S245" s="24" t="s">
        <v>1328</v>
      </c>
      <c r="T245" s="24" t="s">
        <v>344</v>
      </c>
      <c r="U245" s="32"/>
      <c r="V245" s="32"/>
      <c r="W245" s="32"/>
      <c r="X245" s="24" t="s">
        <v>1329</v>
      </c>
      <c r="Y245" s="32"/>
      <c r="Z245" s="32"/>
      <c r="AA245" s="32"/>
      <c r="AB245" s="32"/>
      <c r="AC245" s="38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</row>
    <row r="246" ht="15.75" customHeight="1">
      <c r="A246" s="23">
        <v>45947.0</v>
      </c>
      <c r="B246" s="41" t="s">
        <v>1330</v>
      </c>
      <c r="C246" s="25" t="s">
        <v>84</v>
      </c>
      <c r="D246" s="26" t="s">
        <v>85</v>
      </c>
      <c r="E246" s="67">
        <f t="shared" ref="E246:E266" si="14">A246+21</f>
        <v>45968</v>
      </c>
      <c r="F246" s="28"/>
      <c r="G246" s="26" t="s">
        <v>39</v>
      </c>
      <c r="H246" s="26">
        <v>1.0</v>
      </c>
      <c r="I246" s="29"/>
      <c r="J246" s="30"/>
      <c r="K246" s="31" t="s">
        <v>33</v>
      </c>
      <c r="L246" s="24" t="s">
        <v>1331</v>
      </c>
      <c r="M246" s="40" t="s">
        <v>1332</v>
      </c>
      <c r="N246" s="34" t="s">
        <v>1333</v>
      </c>
      <c r="O246" s="35" t="s">
        <v>1334</v>
      </c>
      <c r="P246" s="36" t="s">
        <v>78</v>
      </c>
      <c r="Q246" s="36" t="s">
        <v>194</v>
      </c>
      <c r="R246" s="37"/>
      <c r="S246" s="32"/>
      <c r="T246" s="32"/>
      <c r="U246" s="32"/>
      <c r="V246" s="32"/>
      <c r="W246" s="32"/>
      <c r="X246" s="24" t="s">
        <v>302</v>
      </c>
      <c r="Y246" s="24" t="s">
        <v>155</v>
      </c>
      <c r="Z246" s="32"/>
      <c r="AA246" s="32"/>
      <c r="AB246" s="32"/>
      <c r="AC246" s="38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 ht="15.75" customHeight="1">
      <c r="A247" s="23">
        <v>45947.0</v>
      </c>
      <c r="B247" s="46" t="s">
        <v>1335</v>
      </c>
      <c r="C247" s="25" t="s">
        <v>44</v>
      </c>
      <c r="D247" s="26" t="s">
        <v>190</v>
      </c>
      <c r="E247" s="67">
        <f t="shared" si="14"/>
        <v>45968</v>
      </c>
      <c r="F247" s="94">
        <v>45961.0</v>
      </c>
      <c r="G247" s="26" t="s">
        <v>32</v>
      </c>
      <c r="H247" s="26">
        <v>1.0</v>
      </c>
      <c r="I247" s="29"/>
      <c r="J247" s="30"/>
      <c r="K247" s="31" t="s">
        <v>33</v>
      </c>
      <c r="L247" s="24"/>
      <c r="M247" s="40" t="s">
        <v>1336</v>
      </c>
      <c r="N247" s="35" t="s">
        <v>1337</v>
      </c>
      <c r="O247" s="35" t="s">
        <v>1338</v>
      </c>
      <c r="P247" s="36" t="s">
        <v>1240</v>
      </c>
      <c r="Q247" s="36" t="s">
        <v>1289</v>
      </c>
      <c r="R247" s="36" t="s">
        <v>64</v>
      </c>
      <c r="S247" s="24" t="s">
        <v>154</v>
      </c>
      <c r="T247" s="24" t="s">
        <v>155</v>
      </c>
      <c r="U247" s="32"/>
      <c r="V247" s="32"/>
      <c r="W247" s="32"/>
      <c r="X247" s="24" t="s">
        <v>302</v>
      </c>
      <c r="Y247" s="24" t="s">
        <v>370</v>
      </c>
      <c r="Z247" s="32"/>
      <c r="AA247" s="32"/>
      <c r="AB247" s="32"/>
      <c r="AC247" s="38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 ht="15.75" customHeight="1">
      <c r="A248" s="23">
        <v>45947.0</v>
      </c>
      <c r="B248" s="46" t="s">
        <v>1339</v>
      </c>
      <c r="C248" s="25" t="s">
        <v>44</v>
      </c>
      <c r="D248" s="26" t="s">
        <v>190</v>
      </c>
      <c r="E248" s="67">
        <f t="shared" si="14"/>
        <v>45968</v>
      </c>
      <c r="F248" s="94">
        <v>45961.0</v>
      </c>
      <c r="G248" s="26" t="s">
        <v>32</v>
      </c>
      <c r="H248" s="26">
        <v>2.0</v>
      </c>
      <c r="I248" s="29"/>
      <c r="J248" s="30"/>
      <c r="K248" s="31" t="s">
        <v>33</v>
      </c>
      <c r="L248" s="47" t="s">
        <v>1340</v>
      </c>
      <c r="M248" s="40" t="s">
        <v>1341</v>
      </c>
      <c r="N248" s="35" t="s">
        <v>1337</v>
      </c>
      <c r="O248" s="35" t="s">
        <v>1338</v>
      </c>
      <c r="P248" s="36" t="s">
        <v>1240</v>
      </c>
      <c r="Q248" s="36" t="s">
        <v>1289</v>
      </c>
      <c r="R248" s="36" t="s">
        <v>64</v>
      </c>
      <c r="S248" s="24" t="s">
        <v>555</v>
      </c>
      <c r="T248" s="32"/>
      <c r="U248" s="32"/>
      <c r="V248" s="32"/>
      <c r="W248" s="32"/>
      <c r="X248" s="24" t="s">
        <v>1342</v>
      </c>
      <c r="Y248" s="24" t="s">
        <v>1343</v>
      </c>
      <c r="Z248" s="24" t="s">
        <v>1344</v>
      </c>
      <c r="AA248" s="32"/>
      <c r="AB248" s="32"/>
      <c r="AC248" s="38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 ht="15.75" customHeight="1">
      <c r="A249" s="23">
        <v>45947.0</v>
      </c>
      <c r="B249" s="46" t="s">
        <v>1345</v>
      </c>
      <c r="C249" s="25" t="s">
        <v>44</v>
      </c>
      <c r="D249" s="26" t="s">
        <v>190</v>
      </c>
      <c r="E249" s="67">
        <f t="shared" si="14"/>
        <v>45968</v>
      </c>
      <c r="F249" s="94">
        <v>45961.0</v>
      </c>
      <c r="G249" s="26" t="s">
        <v>32</v>
      </c>
      <c r="H249" s="26">
        <v>6.0</v>
      </c>
      <c r="I249" s="29"/>
      <c r="J249" s="30"/>
      <c r="K249" s="31" t="s">
        <v>33</v>
      </c>
      <c r="L249" s="95" t="s">
        <v>1346</v>
      </c>
      <c r="M249" s="40" t="s">
        <v>1347</v>
      </c>
      <c r="N249" s="35" t="s">
        <v>1337</v>
      </c>
      <c r="O249" s="35" t="s">
        <v>1338</v>
      </c>
      <c r="P249" s="36" t="s">
        <v>1240</v>
      </c>
      <c r="Q249" s="36" t="s">
        <v>63</v>
      </c>
      <c r="R249" s="36" t="s">
        <v>64</v>
      </c>
      <c r="S249" s="24" t="s">
        <v>154</v>
      </c>
      <c r="T249" s="24" t="s">
        <v>155</v>
      </c>
      <c r="U249" s="32"/>
      <c r="V249" s="32"/>
      <c r="W249" s="32"/>
      <c r="X249" s="24" t="s">
        <v>1348</v>
      </c>
      <c r="Y249" s="24" t="s">
        <v>1349</v>
      </c>
      <c r="Z249" s="24" t="s">
        <v>1350</v>
      </c>
      <c r="AA249" s="24" t="s">
        <v>1351</v>
      </c>
      <c r="AB249" s="24" t="s">
        <v>1352</v>
      </c>
      <c r="AC249" s="38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</row>
    <row r="250" ht="15.75" customHeight="1">
      <c r="A250" s="23">
        <v>45947.0</v>
      </c>
      <c r="B250" s="46" t="s">
        <v>1353</v>
      </c>
      <c r="C250" s="25" t="s">
        <v>44</v>
      </c>
      <c r="D250" s="26" t="s">
        <v>211</v>
      </c>
      <c r="E250" s="67">
        <f t="shared" si="14"/>
        <v>45968</v>
      </c>
      <c r="F250" s="94">
        <v>45961.0</v>
      </c>
      <c r="G250" s="26" t="s">
        <v>32</v>
      </c>
      <c r="H250" s="26">
        <v>1.0</v>
      </c>
      <c r="I250" s="29"/>
      <c r="J250" s="30"/>
      <c r="K250" s="31" t="s">
        <v>33</v>
      </c>
      <c r="L250" s="24" t="s">
        <v>1354</v>
      </c>
      <c r="M250" s="40" t="s">
        <v>1355</v>
      </c>
      <c r="N250" s="35" t="s">
        <v>1337</v>
      </c>
      <c r="O250" s="35" t="s">
        <v>1338</v>
      </c>
      <c r="P250" s="36" t="s">
        <v>1240</v>
      </c>
      <c r="Q250" s="36" t="s">
        <v>1289</v>
      </c>
      <c r="R250" s="36" t="s">
        <v>64</v>
      </c>
      <c r="S250" s="24" t="s">
        <v>154</v>
      </c>
      <c r="T250" s="24" t="s">
        <v>155</v>
      </c>
      <c r="U250" s="24" t="s">
        <v>913</v>
      </c>
      <c r="V250" s="24" t="s">
        <v>667</v>
      </c>
      <c r="W250" s="32"/>
      <c r="X250" s="24" t="s">
        <v>955</v>
      </c>
      <c r="Y250" s="24" t="s">
        <v>614</v>
      </c>
      <c r="Z250" s="65" t="s">
        <v>1356</v>
      </c>
      <c r="AA250" s="24" t="s">
        <v>1357</v>
      </c>
      <c r="AB250" s="32"/>
      <c r="AC250" s="38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 ht="15.75" customHeight="1">
      <c r="A251" s="23">
        <v>45947.0</v>
      </c>
      <c r="B251" s="46" t="s">
        <v>1358</v>
      </c>
      <c r="C251" s="25" t="s">
        <v>44</v>
      </c>
      <c r="D251" s="26" t="s">
        <v>190</v>
      </c>
      <c r="E251" s="67">
        <f t="shared" si="14"/>
        <v>45968</v>
      </c>
      <c r="F251" s="94">
        <v>45961.0</v>
      </c>
      <c r="G251" s="26" t="s">
        <v>32</v>
      </c>
      <c r="H251" s="26">
        <v>2.0</v>
      </c>
      <c r="I251" s="29"/>
      <c r="J251" s="30"/>
      <c r="K251" s="31" t="s">
        <v>33</v>
      </c>
      <c r="L251" s="24"/>
      <c r="M251" s="40" t="s">
        <v>1359</v>
      </c>
      <c r="N251" s="35" t="s">
        <v>1337</v>
      </c>
      <c r="O251" s="35" t="s">
        <v>1338</v>
      </c>
      <c r="P251" s="36" t="s">
        <v>1240</v>
      </c>
      <c r="Q251" s="36" t="s">
        <v>1289</v>
      </c>
      <c r="R251" s="36" t="s">
        <v>64</v>
      </c>
      <c r="S251" s="24" t="s">
        <v>154</v>
      </c>
      <c r="T251" s="32"/>
      <c r="U251" s="32"/>
      <c r="V251" s="32"/>
      <c r="W251" s="32"/>
      <c r="X251" s="24" t="s">
        <v>1360</v>
      </c>
      <c r="Y251" s="32"/>
      <c r="Z251" s="32"/>
      <c r="AA251" s="32"/>
      <c r="AB251" s="32"/>
      <c r="AC251" s="38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</row>
    <row r="252" ht="15.75" customHeight="1">
      <c r="A252" s="23">
        <v>45947.0</v>
      </c>
      <c r="B252" s="46" t="s">
        <v>1361</v>
      </c>
      <c r="C252" s="25" t="s">
        <v>44</v>
      </c>
      <c r="D252" s="26" t="s">
        <v>211</v>
      </c>
      <c r="E252" s="67">
        <f t="shared" si="14"/>
        <v>45968</v>
      </c>
      <c r="F252" s="94">
        <v>45975.0</v>
      </c>
      <c r="G252" s="26" t="s">
        <v>32</v>
      </c>
      <c r="H252" s="26">
        <v>2.0</v>
      </c>
      <c r="I252" s="29"/>
      <c r="J252" s="30"/>
      <c r="K252" s="31" t="s">
        <v>33</v>
      </c>
      <c r="L252" s="24" t="s">
        <v>1362</v>
      </c>
      <c r="M252" s="40" t="s">
        <v>1363</v>
      </c>
      <c r="N252" s="35" t="s">
        <v>1337</v>
      </c>
      <c r="O252" s="35" t="s">
        <v>1338</v>
      </c>
      <c r="P252" s="36" t="s">
        <v>1240</v>
      </c>
      <c r="Q252" s="36" t="s">
        <v>1289</v>
      </c>
      <c r="R252" s="36" t="s">
        <v>64</v>
      </c>
      <c r="S252" s="24" t="s">
        <v>200</v>
      </c>
      <c r="T252" s="32"/>
      <c r="U252" s="32"/>
      <c r="V252" s="32"/>
      <c r="W252" s="32"/>
      <c r="X252" s="24" t="s">
        <v>1364</v>
      </c>
      <c r="Y252" s="24" t="s">
        <v>1365</v>
      </c>
      <c r="Z252" s="24" t="s">
        <v>1366</v>
      </c>
      <c r="AA252" s="24" t="s">
        <v>1367</v>
      </c>
      <c r="AB252" s="24" t="s">
        <v>1368</v>
      </c>
      <c r="AC252" s="84" t="s">
        <v>1369</v>
      </c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 ht="15.75" customHeight="1">
      <c r="A253" s="23">
        <v>45947.0</v>
      </c>
      <c r="B253" s="24" t="s">
        <v>1370</v>
      </c>
      <c r="C253" s="25" t="s">
        <v>84</v>
      </c>
      <c r="D253" s="26" t="s">
        <v>211</v>
      </c>
      <c r="E253" s="67">
        <f t="shared" si="14"/>
        <v>45968</v>
      </c>
      <c r="F253" s="94">
        <v>45971.0</v>
      </c>
      <c r="G253" s="26" t="s">
        <v>39</v>
      </c>
      <c r="H253" s="26">
        <v>3.0</v>
      </c>
      <c r="I253" s="29"/>
      <c r="J253" s="30"/>
      <c r="K253" s="31" t="s">
        <v>157</v>
      </c>
      <c r="L253" s="96" t="s">
        <v>1371</v>
      </c>
      <c r="M253" s="40" t="s">
        <v>1372</v>
      </c>
      <c r="N253" s="34" t="s">
        <v>1373</v>
      </c>
      <c r="O253" s="35" t="s">
        <v>1374</v>
      </c>
      <c r="P253" s="36" t="s">
        <v>1375</v>
      </c>
      <c r="Q253" s="36" t="s">
        <v>1376</v>
      </c>
      <c r="R253" s="37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8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 ht="15.75" customHeight="1">
      <c r="A254" s="23">
        <v>45947.0</v>
      </c>
      <c r="B254" s="24" t="s">
        <v>1377</v>
      </c>
      <c r="C254" s="25" t="s">
        <v>84</v>
      </c>
      <c r="D254" s="26" t="s">
        <v>211</v>
      </c>
      <c r="E254" s="67">
        <f t="shared" si="14"/>
        <v>45968</v>
      </c>
      <c r="F254" s="94">
        <v>45994.0</v>
      </c>
      <c r="G254" s="26" t="s">
        <v>39</v>
      </c>
      <c r="H254" s="26">
        <v>1.0</v>
      </c>
      <c r="I254" s="29"/>
      <c r="J254" s="30"/>
      <c r="K254" s="31" t="s">
        <v>33</v>
      </c>
      <c r="L254" s="24"/>
      <c r="M254" s="40" t="s">
        <v>1378</v>
      </c>
      <c r="N254" s="34" t="s">
        <v>1379</v>
      </c>
      <c r="O254" s="35" t="s">
        <v>1380</v>
      </c>
      <c r="P254" s="36" t="s">
        <v>281</v>
      </c>
      <c r="Q254" s="37"/>
      <c r="R254" s="37"/>
      <c r="S254" s="32"/>
      <c r="T254" s="32"/>
      <c r="U254" s="32"/>
      <c r="V254" s="32"/>
      <c r="W254" s="32"/>
      <c r="X254" s="24" t="s">
        <v>1381</v>
      </c>
      <c r="Y254" s="32"/>
      <c r="Z254" s="32"/>
      <c r="AA254" s="32"/>
      <c r="AB254" s="32"/>
      <c r="AC254" s="38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 ht="15.75" customHeight="1">
      <c r="A255" s="23">
        <v>45947.0</v>
      </c>
      <c r="B255" s="24" t="s">
        <v>1382</v>
      </c>
      <c r="C255" s="25" t="s">
        <v>84</v>
      </c>
      <c r="D255" s="26" t="s">
        <v>211</v>
      </c>
      <c r="E255" s="67">
        <f t="shared" si="14"/>
        <v>45968</v>
      </c>
      <c r="F255" s="94">
        <v>45994.0</v>
      </c>
      <c r="G255" s="26" t="s">
        <v>39</v>
      </c>
      <c r="H255" s="26">
        <v>1.0</v>
      </c>
      <c r="I255" s="29"/>
      <c r="J255" s="30"/>
      <c r="K255" s="31" t="s">
        <v>33</v>
      </c>
      <c r="L255" s="24"/>
      <c r="M255" s="40" t="s">
        <v>1383</v>
      </c>
      <c r="N255" s="34" t="s">
        <v>1384</v>
      </c>
      <c r="O255" s="35" t="s">
        <v>1385</v>
      </c>
      <c r="P255" s="36" t="s">
        <v>281</v>
      </c>
      <c r="Q255" s="37"/>
      <c r="R255" s="37"/>
      <c r="S255" s="32"/>
      <c r="T255" s="32"/>
      <c r="U255" s="32"/>
      <c r="V255" s="32"/>
      <c r="W255" s="32"/>
      <c r="X255" s="24" t="s">
        <v>1381</v>
      </c>
      <c r="Y255" s="32"/>
      <c r="Z255" s="32"/>
      <c r="AA255" s="32"/>
      <c r="AB255" s="32"/>
      <c r="AC255" s="38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 ht="15.75" customHeight="1">
      <c r="A256" s="23">
        <v>45947.0</v>
      </c>
      <c r="B256" s="46" t="s">
        <v>1386</v>
      </c>
      <c r="C256" s="25" t="s">
        <v>44</v>
      </c>
      <c r="D256" s="26" t="s">
        <v>211</v>
      </c>
      <c r="E256" s="67">
        <f t="shared" si="14"/>
        <v>45968</v>
      </c>
      <c r="F256" s="94">
        <v>45961.0</v>
      </c>
      <c r="G256" s="26" t="s">
        <v>32</v>
      </c>
      <c r="H256" s="26">
        <v>2.0</v>
      </c>
      <c r="I256" s="29"/>
      <c r="J256" s="30"/>
      <c r="K256" s="31" t="s">
        <v>33</v>
      </c>
      <c r="L256" s="47" t="s">
        <v>1387</v>
      </c>
      <c r="M256" s="40" t="s">
        <v>1388</v>
      </c>
      <c r="N256" s="35" t="s">
        <v>1337</v>
      </c>
      <c r="O256" s="35" t="s">
        <v>1338</v>
      </c>
      <c r="P256" s="36" t="s">
        <v>1240</v>
      </c>
      <c r="Q256" s="36" t="s">
        <v>1289</v>
      </c>
      <c r="R256" s="36" t="s">
        <v>64</v>
      </c>
      <c r="S256" s="24" t="s">
        <v>200</v>
      </c>
      <c r="T256" s="24" t="s">
        <v>155</v>
      </c>
      <c r="U256" s="32"/>
      <c r="V256" s="32"/>
      <c r="W256" s="32"/>
      <c r="X256" s="24" t="s">
        <v>370</v>
      </c>
      <c r="Y256" s="24" t="s">
        <v>791</v>
      </c>
      <c r="Z256" s="24" t="s">
        <v>1389</v>
      </c>
      <c r="AA256" s="24" t="s">
        <v>1390</v>
      </c>
      <c r="AB256" s="32"/>
      <c r="AC256" s="38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</row>
    <row r="257" ht="15.75" customHeight="1">
      <c r="A257" s="23">
        <v>45947.0</v>
      </c>
      <c r="B257" s="24" t="s">
        <v>1391</v>
      </c>
      <c r="C257" s="25" t="s">
        <v>54</v>
      </c>
      <c r="D257" s="26" t="s">
        <v>211</v>
      </c>
      <c r="E257" s="67">
        <f t="shared" si="14"/>
        <v>45968</v>
      </c>
      <c r="F257" s="94">
        <v>45988.0</v>
      </c>
      <c r="G257" s="26" t="s">
        <v>55</v>
      </c>
      <c r="H257" s="26">
        <v>1.0</v>
      </c>
      <c r="I257" s="29"/>
      <c r="J257" s="30"/>
      <c r="K257" s="31" t="s">
        <v>33</v>
      </c>
      <c r="L257" s="24" t="s">
        <v>1392</v>
      </c>
      <c r="M257" s="40" t="s">
        <v>1393</v>
      </c>
      <c r="N257" s="35" t="s">
        <v>1394</v>
      </c>
      <c r="O257" s="35" t="s">
        <v>1395</v>
      </c>
      <c r="P257" s="36" t="s">
        <v>47</v>
      </c>
      <c r="Q257" s="37"/>
      <c r="R257" s="37"/>
      <c r="S257" s="24" t="s">
        <v>1396</v>
      </c>
      <c r="T257" s="32"/>
      <c r="U257" s="32"/>
      <c r="V257" s="32"/>
      <c r="W257" s="32"/>
      <c r="X257" s="24" t="s">
        <v>121</v>
      </c>
      <c r="Y257" s="32"/>
      <c r="Z257" s="32"/>
      <c r="AA257" s="32"/>
      <c r="AB257" s="32"/>
      <c r="AC257" s="38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 ht="15.75" customHeight="1">
      <c r="A258" s="23">
        <v>45947.0</v>
      </c>
      <c r="B258" s="46" t="s">
        <v>1397</v>
      </c>
      <c r="C258" s="25" t="s">
        <v>44</v>
      </c>
      <c r="D258" s="26" t="s">
        <v>211</v>
      </c>
      <c r="E258" s="67">
        <f t="shared" si="14"/>
        <v>45968</v>
      </c>
      <c r="F258" s="97">
        <v>46009.0</v>
      </c>
      <c r="G258" s="26" t="s">
        <v>32</v>
      </c>
      <c r="H258" s="26">
        <v>7.0</v>
      </c>
      <c r="I258" s="29"/>
      <c r="J258" s="30"/>
      <c r="K258" s="31" t="s">
        <v>33</v>
      </c>
      <c r="L258" s="98" t="s">
        <v>1398</v>
      </c>
      <c r="M258" s="40" t="s">
        <v>1399</v>
      </c>
      <c r="N258" s="35" t="s">
        <v>1400</v>
      </c>
      <c r="O258" s="35" t="s">
        <v>1401</v>
      </c>
      <c r="P258" s="36" t="s">
        <v>1240</v>
      </c>
      <c r="Q258" s="36" t="s">
        <v>1289</v>
      </c>
      <c r="R258" s="36" t="s">
        <v>64</v>
      </c>
      <c r="S258" s="24" t="s">
        <v>155</v>
      </c>
      <c r="T258" s="24" t="s">
        <v>333</v>
      </c>
      <c r="U258" s="24" t="s">
        <v>1356</v>
      </c>
      <c r="V258" s="32"/>
      <c r="W258" s="32"/>
      <c r="X258" s="24" t="s">
        <v>1402</v>
      </c>
      <c r="Y258" s="24" t="s">
        <v>371</v>
      </c>
      <c r="Z258" s="24" t="s">
        <v>914</v>
      </c>
      <c r="AA258" s="24" t="s">
        <v>1403</v>
      </c>
      <c r="AB258" s="24" t="s">
        <v>1404</v>
      </c>
      <c r="AC258" s="24" t="s">
        <v>1405</v>
      </c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 ht="15.75" customHeight="1">
      <c r="A259" s="23">
        <v>45946.0</v>
      </c>
      <c r="B259" s="24" t="s">
        <v>1406</v>
      </c>
      <c r="C259" s="25" t="s">
        <v>210</v>
      </c>
      <c r="D259" s="26" t="s">
        <v>190</v>
      </c>
      <c r="E259" s="67">
        <f t="shared" si="14"/>
        <v>45967</v>
      </c>
      <c r="F259" s="28">
        <v>45974.0</v>
      </c>
      <c r="G259" s="26" t="s">
        <v>55</v>
      </c>
      <c r="H259" s="26">
        <v>1.0</v>
      </c>
      <c r="I259" s="29"/>
      <c r="J259" s="30"/>
      <c r="K259" s="31" t="s">
        <v>33</v>
      </c>
      <c r="L259" s="32"/>
      <c r="M259" s="40" t="s">
        <v>1407</v>
      </c>
      <c r="N259" s="34" t="s">
        <v>1408</v>
      </c>
      <c r="O259" s="35" t="s">
        <v>1409</v>
      </c>
      <c r="P259" s="36" t="s">
        <v>47</v>
      </c>
      <c r="Q259" s="37"/>
      <c r="R259" s="37"/>
      <c r="S259" s="32"/>
      <c r="T259" s="32"/>
      <c r="U259" s="32"/>
      <c r="V259" s="32"/>
      <c r="W259" s="32"/>
      <c r="X259" s="65" t="s">
        <v>619</v>
      </c>
      <c r="Y259" s="32"/>
      <c r="Z259" s="32"/>
      <c r="AA259" s="32"/>
      <c r="AB259" s="32"/>
      <c r="AC259" s="38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 ht="15.75" customHeight="1">
      <c r="A260" s="23">
        <v>45946.0</v>
      </c>
      <c r="B260" s="24" t="s">
        <v>1410</v>
      </c>
      <c r="C260" s="25" t="s">
        <v>54</v>
      </c>
      <c r="D260" s="26" t="s">
        <v>211</v>
      </c>
      <c r="E260" s="67">
        <f t="shared" si="14"/>
        <v>45967</v>
      </c>
      <c r="F260" s="94">
        <v>45966.0</v>
      </c>
      <c r="G260" s="26" t="s">
        <v>55</v>
      </c>
      <c r="H260" s="26">
        <v>1.0</v>
      </c>
      <c r="I260" s="29"/>
      <c r="J260" s="30"/>
      <c r="K260" s="31" t="s">
        <v>33</v>
      </c>
      <c r="L260" s="32"/>
      <c r="M260" s="40" t="s">
        <v>1411</v>
      </c>
      <c r="N260" s="35" t="s">
        <v>1412</v>
      </c>
      <c r="O260" s="35" t="s">
        <v>1413</v>
      </c>
      <c r="P260" s="36" t="s">
        <v>36</v>
      </c>
      <c r="Q260" s="37"/>
      <c r="R260" s="37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8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 ht="15.75" customHeight="1">
      <c r="A261" s="23">
        <v>45946.0</v>
      </c>
      <c r="B261" s="24" t="s">
        <v>1414</v>
      </c>
      <c r="C261" s="25" t="s">
        <v>54</v>
      </c>
      <c r="D261" s="26" t="s">
        <v>211</v>
      </c>
      <c r="E261" s="67">
        <f t="shared" si="14"/>
        <v>45967</v>
      </c>
      <c r="F261" s="94">
        <v>45966.0</v>
      </c>
      <c r="G261" s="26" t="s">
        <v>55</v>
      </c>
      <c r="H261" s="26">
        <v>1.0</v>
      </c>
      <c r="I261" s="29"/>
      <c r="J261" s="30"/>
      <c r="K261" s="31" t="s">
        <v>33</v>
      </c>
      <c r="L261" s="32"/>
      <c r="M261" s="40" t="s">
        <v>1415</v>
      </c>
      <c r="N261" s="35" t="s">
        <v>1412</v>
      </c>
      <c r="O261" s="35" t="s">
        <v>1416</v>
      </c>
      <c r="P261" s="36" t="s">
        <v>36</v>
      </c>
      <c r="Q261" s="37"/>
      <c r="R261" s="37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8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 ht="15.75" customHeight="1">
      <c r="A262" s="23">
        <v>45946.0</v>
      </c>
      <c r="B262" s="24" t="s">
        <v>1417</v>
      </c>
      <c r="C262" s="25" t="s">
        <v>54</v>
      </c>
      <c r="D262" s="26" t="s">
        <v>211</v>
      </c>
      <c r="E262" s="67">
        <f t="shared" si="14"/>
        <v>45967</v>
      </c>
      <c r="F262" s="94">
        <v>45966.0</v>
      </c>
      <c r="G262" s="26" t="s">
        <v>55</v>
      </c>
      <c r="H262" s="26">
        <v>1.0</v>
      </c>
      <c r="I262" s="29"/>
      <c r="J262" s="30"/>
      <c r="K262" s="31" t="s">
        <v>49</v>
      </c>
      <c r="L262" s="32"/>
      <c r="M262" s="40" t="s">
        <v>1418</v>
      </c>
      <c r="N262" s="35" t="s">
        <v>1412</v>
      </c>
      <c r="O262" s="35" t="s">
        <v>1419</v>
      </c>
      <c r="P262" s="36" t="s">
        <v>52</v>
      </c>
      <c r="Q262" s="37"/>
      <c r="R262" s="37"/>
      <c r="S262" s="32"/>
      <c r="T262" s="32"/>
      <c r="U262" s="32"/>
      <c r="V262" s="32"/>
      <c r="W262" s="32"/>
      <c r="X262" s="24" t="s">
        <v>134</v>
      </c>
      <c r="Y262" s="32"/>
      <c r="Z262" s="32"/>
      <c r="AA262" s="32"/>
      <c r="AB262" s="32"/>
      <c r="AC262" s="38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 ht="15.75" customHeight="1">
      <c r="A263" s="23">
        <v>45946.0</v>
      </c>
      <c r="B263" s="24" t="s">
        <v>1420</v>
      </c>
      <c r="C263" s="25" t="s">
        <v>54</v>
      </c>
      <c r="D263" s="26" t="s">
        <v>211</v>
      </c>
      <c r="E263" s="67">
        <f t="shared" si="14"/>
        <v>45967</v>
      </c>
      <c r="F263" s="94">
        <v>45966.0</v>
      </c>
      <c r="G263" s="26" t="s">
        <v>55</v>
      </c>
      <c r="H263" s="26">
        <v>1.0</v>
      </c>
      <c r="I263" s="29"/>
      <c r="J263" s="30"/>
      <c r="K263" s="31" t="s">
        <v>33</v>
      </c>
      <c r="L263" s="32"/>
      <c r="M263" s="40" t="s">
        <v>1421</v>
      </c>
      <c r="N263" s="35" t="s">
        <v>1412</v>
      </c>
      <c r="O263" s="35" t="s">
        <v>1422</v>
      </c>
      <c r="P263" s="36" t="s">
        <v>52</v>
      </c>
      <c r="Q263" s="37"/>
      <c r="R263" s="37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8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 ht="15.75" customHeight="1">
      <c r="A264" s="23">
        <v>45946.0</v>
      </c>
      <c r="B264" s="24" t="s">
        <v>1423</v>
      </c>
      <c r="C264" s="25" t="s">
        <v>54</v>
      </c>
      <c r="D264" s="26" t="s">
        <v>211</v>
      </c>
      <c r="E264" s="67">
        <f t="shared" si="14"/>
        <v>45967</v>
      </c>
      <c r="F264" s="94">
        <v>45966.0</v>
      </c>
      <c r="G264" s="26" t="s">
        <v>55</v>
      </c>
      <c r="H264" s="26">
        <v>1.0</v>
      </c>
      <c r="I264" s="29"/>
      <c r="J264" s="30"/>
      <c r="K264" s="31" t="s">
        <v>33</v>
      </c>
      <c r="L264" s="32"/>
      <c r="M264" s="40" t="s">
        <v>1424</v>
      </c>
      <c r="N264" s="35" t="s">
        <v>1412</v>
      </c>
      <c r="O264" s="35" t="s">
        <v>1425</v>
      </c>
      <c r="P264" s="36" t="s">
        <v>68</v>
      </c>
      <c r="Q264" s="36" t="s">
        <v>69</v>
      </c>
      <c r="R264" s="37"/>
      <c r="S264" s="24" t="s">
        <v>555</v>
      </c>
      <c r="T264" s="32"/>
      <c r="U264" s="32"/>
      <c r="V264" s="32"/>
      <c r="W264" s="32"/>
      <c r="X264" s="24" t="s">
        <v>102</v>
      </c>
      <c r="Y264" s="32"/>
      <c r="Z264" s="32"/>
      <c r="AA264" s="32"/>
      <c r="AB264" s="32"/>
      <c r="AC264" s="38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 ht="15.75" customHeight="1">
      <c r="A265" s="23">
        <v>45946.0</v>
      </c>
      <c r="B265" s="24" t="s">
        <v>1426</v>
      </c>
      <c r="C265" s="25" t="s">
        <v>54</v>
      </c>
      <c r="D265" s="26" t="s">
        <v>211</v>
      </c>
      <c r="E265" s="67">
        <f t="shared" si="14"/>
        <v>45967</v>
      </c>
      <c r="F265" s="94">
        <v>45966.0</v>
      </c>
      <c r="G265" s="26" t="s">
        <v>55</v>
      </c>
      <c r="H265" s="26">
        <v>1.0</v>
      </c>
      <c r="I265" s="29"/>
      <c r="J265" s="30"/>
      <c r="K265" s="31" t="s">
        <v>33</v>
      </c>
      <c r="L265" s="32"/>
      <c r="M265" s="40" t="s">
        <v>1427</v>
      </c>
      <c r="N265" s="35" t="s">
        <v>1412</v>
      </c>
      <c r="O265" s="35" t="s">
        <v>1428</v>
      </c>
      <c r="P265" s="36" t="s">
        <v>68</v>
      </c>
      <c r="Q265" s="36" t="s">
        <v>69</v>
      </c>
      <c r="R265" s="37"/>
      <c r="S265" s="32"/>
      <c r="T265" s="32"/>
      <c r="U265" s="32"/>
      <c r="V265" s="32"/>
      <c r="W265" s="32"/>
      <c r="X265" s="24" t="s">
        <v>102</v>
      </c>
      <c r="Y265" s="32"/>
      <c r="Z265" s="32"/>
      <c r="AA265" s="32"/>
      <c r="AB265" s="32"/>
      <c r="AC265" s="38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</row>
    <row r="266" ht="15.75" customHeight="1">
      <c r="A266" s="23">
        <v>45946.0</v>
      </c>
      <c r="B266" s="24" t="s">
        <v>1429</v>
      </c>
      <c r="C266" s="25" t="s">
        <v>54</v>
      </c>
      <c r="D266" s="26" t="s">
        <v>211</v>
      </c>
      <c r="E266" s="67">
        <f t="shared" si="14"/>
        <v>45967</v>
      </c>
      <c r="F266" s="94">
        <v>45966.0</v>
      </c>
      <c r="G266" s="26" t="s">
        <v>55</v>
      </c>
      <c r="H266" s="26">
        <v>1.0</v>
      </c>
      <c r="I266" s="29"/>
      <c r="J266" s="30"/>
      <c r="K266" s="31" t="s">
        <v>33</v>
      </c>
      <c r="L266" s="32"/>
      <c r="M266" s="40" t="s">
        <v>1430</v>
      </c>
      <c r="N266" s="35" t="s">
        <v>1412</v>
      </c>
      <c r="O266" s="35" t="s">
        <v>1431</v>
      </c>
      <c r="P266" s="36" t="s">
        <v>68</v>
      </c>
      <c r="Q266" s="36" t="s">
        <v>69</v>
      </c>
      <c r="R266" s="37"/>
      <c r="S266" s="24" t="s">
        <v>154</v>
      </c>
      <c r="T266" s="32"/>
      <c r="U266" s="32"/>
      <c r="V266" s="32"/>
      <c r="W266" s="32"/>
      <c r="X266" s="32"/>
      <c r="Y266" s="32"/>
      <c r="Z266" s="32"/>
      <c r="AA266" s="32"/>
      <c r="AB266" s="32"/>
      <c r="AC266" s="38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</row>
    <row r="267" ht="15.75" customHeight="1">
      <c r="A267" s="23">
        <v>45945.0</v>
      </c>
      <c r="B267" s="24" t="s">
        <v>1432</v>
      </c>
      <c r="C267" s="25" t="s">
        <v>44</v>
      </c>
      <c r="D267" s="26" t="s">
        <v>211</v>
      </c>
      <c r="E267" s="67">
        <v>45960.0</v>
      </c>
      <c r="F267" s="28">
        <v>45954.0</v>
      </c>
      <c r="G267" s="26" t="s">
        <v>32</v>
      </c>
      <c r="H267" s="26">
        <v>2.0</v>
      </c>
      <c r="I267" s="29"/>
      <c r="J267" s="30"/>
      <c r="K267" s="31" t="s">
        <v>33</v>
      </c>
      <c r="L267" s="32"/>
      <c r="M267" s="40" t="s">
        <v>1433</v>
      </c>
      <c r="N267" s="34" t="s">
        <v>1434</v>
      </c>
      <c r="O267" s="35" t="s">
        <v>1435</v>
      </c>
      <c r="P267" s="36" t="s">
        <v>78</v>
      </c>
      <c r="Q267" s="36" t="s">
        <v>194</v>
      </c>
      <c r="R267" s="37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8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</row>
    <row r="268" ht="15.75" customHeight="1">
      <c r="A268" s="23">
        <v>45945.0</v>
      </c>
      <c r="B268" s="41" t="s">
        <v>1436</v>
      </c>
      <c r="C268" s="25" t="s">
        <v>210</v>
      </c>
      <c r="D268" s="26" t="s">
        <v>85</v>
      </c>
      <c r="E268" s="67">
        <f t="shared" ref="E268:E300" si="15">A268+21</f>
        <v>45966</v>
      </c>
      <c r="F268" s="28"/>
      <c r="G268" s="26" t="s">
        <v>55</v>
      </c>
      <c r="H268" s="26">
        <v>1.0</v>
      </c>
      <c r="I268" s="29"/>
      <c r="J268" s="30"/>
      <c r="K268" s="31" t="s">
        <v>33</v>
      </c>
      <c r="L268" s="24" t="s">
        <v>1437</v>
      </c>
      <c r="M268" s="40" t="s">
        <v>1438</v>
      </c>
      <c r="N268" s="34" t="s">
        <v>1439</v>
      </c>
      <c r="O268" s="35" t="s">
        <v>1440</v>
      </c>
      <c r="P268" s="36" t="s">
        <v>47</v>
      </c>
      <c r="Q268" s="37"/>
      <c r="R268" s="37"/>
      <c r="S268" s="32"/>
      <c r="T268" s="32"/>
      <c r="U268" s="32"/>
      <c r="V268" s="32"/>
      <c r="W268" s="32"/>
      <c r="X268" s="24" t="s">
        <v>619</v>
      </c>
      <c r="Y268" s="32"/>
      <c r="Z268" s="32"/>
      <c r="AA268" s="32"/>
      <c r="AB268" s="32"/>
      <c r="AC268" s="38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</row>
    <row r="269" ht="15.0" customHeight="1">
      <c r="A269" s="23">
        <v>45945.0</v>
      </c>
      <c r="B269" s="24" t="s">
        <v>1441</v>
      </c>
      <c r="C269" s="25" t="s">
        <v>38</v>
      </c>
      <c r="D269" s="26" t="s">
        <v>85</v>
      </c>
      <c r="E269" s="67">
        <f t="shared" si="15"/>
        <v>45966</v>
      </c>
      <c r="F269" s="28">
        <v>46080.0</v>
      </c>
      <c r="G269" s="26" t="s">
        <v>39</v>
      </c>
      <c r="H269" s="26">
        <v>1.0</v>
      </c>
      <c r="I269" s="29"/>
      <c r="J269" s="30"/>
      <c r="K269" s="31" t="s">
        <v>33</v>
      </c>
      <c r="L269" s="24" t="s">
        <v>1442</v>
      </c>
      <c r="M269" s="40" t="s">
        <v>1443</v>
      </c>
      <c r="N269" s="34" t="s">
        <v>1444</v>
      </c>
      <c r="O269" s="35" t="s">
        <v>1445</v>
      </c>
      <c r="P269" s="36" t="s">
        <v>47</v>
      </c>
      <c r="Q269" s="37"/>
      <c r="R269" s="37"/>
      <c r="S269" s="24" t="s">
        <v>154</v>
      </c>
      <c r="T269" s="24" t="s">
        <v>195</v>
      </c>
      <c r="U269" s="32"/>
      <c r="V269" s="32"/>
      <c r="W269" s="32"/>
      <c r="X269" s="24" t="s">
        <v>556</v>
      </c>
      <c r="Y269" s="32"/>
      <c r="Z269" s="32"/>
      <c r="AA269" s="32"/>
      <c r="AB269" s="32"/>
      <c r="AC269" s="38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 ht="15.0" customHeight="1">
      <c r="A270" s="23">
        <v>45945.0</v>
      </c>
      <c r="B270" s="46" t="s">
        <v>1446</v>
      </c>
      <c r="C270" s="25" t="s">
        <v>44</v>
      </c>
      <c r="D270" s="26" t="s">
        <v>211</v>
      </c>
      <c r="E270" s="67">
        <f t="shared" si="15"/>
        <v>45966</v>
      </c>
      <c r="F270" s="94">
        <v>45961.0</v>
      </c>
      <c r="G270" s="26" t="s">
        <v>32</v>
      </c>
      <c r="H270" s="26">
        <v>1.0</v>
      </c>
      <c r="I270" s="29"/>
      <c r="J270" s="30"/>
      <c r="K270" s="31" t="s">
        <v>157</v>
      </c>
      <c r="L270" s="32"/>
      <c r="M270" s="40" t="s">
        <v>1447</v>
      </c>
      <c r="N270" s="35" t="s">
        <v>1448</v>
      </c>
      <c r="O270" s="35" t="s">
        <v>1449</v>
      </c>
      <c r="P270" s="36" t="s">
        <v>1240</v>
      </c>
      <c r="Q270" s="36" t="s">
        <v>1289</v>
      </c>
      <c r="R270" s="36" t="s">
        <v>64</v>
      </c>
      <c r="S270" s="32"/>
      <c r="T270" s="32"/>
      <c r="U270" s="32"/>
      <c r="V270" s="32"/>
      <c r="W270" s="32"/>
      <c r="X270" s="24" t="s">
        <v>302</v>
      </c>
      <c r="Y270" s="32"/>
      <c r="Z270" s="32"/>
      <c r="AA270" s="32"/>
      <c r="AB270" s="32"/>
      <c r="AC270" s="38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</row>
    <row r="271" ht="15.75" customHeight="1">
      <c r="A271" s="23">
        <v>45945.0</v>
      </c>
      <c r="B271" s="46" t="s">
        <v>1450</v>
      </c>
      <c r="C271" s="25" t="s">
        <v>44</v>
      </c>
      <c r="D271" s="26" t="s">
        <v>211</v>
      </c>
      <c r="E271" s="67">
        <f t="shared" si="15"/>
        <v>45966</v>
      </c>
      <c r="F271" s="94">
        <v>45961.0</v>
      </c>
      <c r="G271" s="26" t="s">
        <v>32</v>
      </c>
      <c r="H271" s="26">
        <v>1.0</v>
      </c>
      <c r="I271" s="29"/>
      <c r="J271" s="30"/>
      <c r="K271" s="31" t="s">
        <v>33</v>
      </c>
      <c r="L271" s="32"/>
      <c r="M271" s="40" t="s">
        <v>1451</v>
      </c>
      <c r="N271" s="35" t="s">
        <v>1452</v>
      </c>
      <c r="O271" s="35" t="s">
        <v>1453</v>
      </c>
      <c r="P271" s="36" t="s">
        <v>1240</v>
      </c>
      <c r="Q271" s="36" t="s">
        <v>1289</v>
      </c>
      <c r="R271" s="36" t="s">
        <v>64</v>
      </c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8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 ht="15.75" customHeight="1">
      <c r="A272" s="23">
        <v>45945.0</v>
      </c>
      <c r="B272" s="24" t="s">
        <v>1454</v>
      </c>
      <c r="C272" s="25" t="s">
        <v>678</v>
      </c>
      <c r="D272" s="26" t="s">
        <v>190</v>
      </c>
      <c r="E272" s="67">
        <f t="shared" si="15"/>
        <v>45966</v>
      </c>
      <c r="F272" s="94">
        <v>45964.0</v>
      </c>
      <c r="G272" s="26" t="s">
        <v>39</v>
      </c>
      <c r="H272" s="26">
        <v>1.0</v>
      </c>
      <c r="I272" s="29"/>
      <c r="J272" s="30"/>
      <c r="K272" s="31" t="s">
        <v>33</v>
      </c>
      <c r="L272" s="32"/>
      <c r="M272" s="40" t="s">
        <v>1455</v>
      </c>
      <c r="N272" s="35" t="s">
        <v>1456</v>
      </c>
      <c r="O272" s="35" t="s">
        <v>1457</v>
      </c>
      <c r="P272" s="36" t="s">
        <v>250</v>
      </c>
      <c r="Q272" s="37"/>
      <c r="R272" s="37"/>
      <c r="S272" s="24" t="s">
        <v>526</v>
      </c>
      <c r="T272" s="32"/>
      <c r="U272" s="32"/>
      <c r="V272" s="32"/>
      <c r="W272" s="32"/>
      <c r="X272" s="32"/>
      <c r="Y272" s="32"/>
      <c r="Z272" s="32"/>
      <c r="AA272" s="32"/>
      <c r="AB272" s="32"/>
      <c r="AC272" s="38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</row>
    <row r="273" ht="15.75" customHeight="1">
      <c r="A273" s="23">
        <v>45945.0</v>
      </c>
      <c r="B273" s="24" t="s">
        <v>1458</v>
      </c>
      <c r="C273" s="25" t="s">
        <v>678</v>
      </c>
      <c r="D273" s="26" t="s">
        <v>211</v>
      </c>
      <c r="E273" s="67">
        <f t="shared" si="15"/>
        <v>45966</v>
      </c>
      <c r="F273" s="94">
        <v>45966.0</v>
      </c>
      <c r="G273" s="26" t="s">
        <v>55</v>
      </c>
      <c r="H273" s="26">
        <v>1.0</v>
      </c>
      <c r="I273" s="29"/>
      <c r="J273" s="30"/>
      <c r="K273" s="31" t="s">
        <v>33</v>
      </c>
      <c r="L273" s="32"/>
      <c r="M273" s="40" t="s">
        <v>1459</v>
      </c>
      <c r="N273" s="35" t="s">
        <v>1456</v>
      </c>
      <c r="O273" s="35" t="s">
        <v>1460</v>
      </c>
      <c r="P273" s="36" t="s">
        <v>52</v>
      </c>
      <c r="Q273" s="37"/>
      <c r="R273" s="37"/>
      <c r="S273" s="24" t="s">
        <v>243</v>
      </c>
      <c r="T273" s="32"/>
      <c r="U273" s="32"/>
      <c r="V273" s="32"/>
      <c r="W273" s="32"/>
      <c r="X273" s="24" t="s">
        <v>1461</v>
      </c>
      <c r="Y273" s="32"/>
      <c r="Z273" s="32"/>
      <c r="AA273" s="32"/>
      <c r="AB273" s="32"/>
      <c r="AC273" s="38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 ht="15.75" customHeight="1">
      <c r="A274" s="23">
        <v>45945.0</v>
      </c>
      <c r="B274" s="24" t="s">
        <v>1462</v>
      </c>
      <c r="C274" s="25" t="s">
        <v>38</v>
      </c>
      <c r="D274" s="26" t="s">
        <v>190</v>
      </c>
      <c r="E274" s="67">
        <f t="shared" si="15"/>
        <v>45966</v>
      </c>
      <c r="F274" s="94">
        <v>45966.0</v>
      </c>
      <c r="G274" s="26" t="s">
        <v>39</v>
      </c>
      <c r="H274" s="26">
        <v>1.0</v>
      </c>
      <c r="I274" s="29"/>
      <c r="J274" s="30"/>
      <c r="K274" s="31" t="s">
        <v>33</v>
      </c>
      <c r="L274" s="32"/>
      <c r="M274" s="40" t="s">
        <v>1463</v>
      </c>
      <c r="N274" s="34" t="s">
        <v>1464</v>
      </c>
      <c r="O274" s="35" t="s">
        <v>1465</v>
      </c>
      <c r="P274" s="36" t="s">
        <v>281</v>
      </c>
      <c r="Q274" s="37"/>
      <c r="R274" s="37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8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</row>
    <row r="275" ht="15.75" customHeight="1">
      <c r="A275" s="48">
        <v>45944.0</v>
      </c>
      <c r="B275" s="46" t="s">
        <v>1466</v>
      </c>
      <c r="C275" s="29" t="s">
        <v>44</v>
      </c>
      <c r="D275" s="26" t="s">
        <v>211</v>
      </c>
      <c r="E275" s="27">
        <f t="shared" si="15"/>
        <v>45965</v>
      </c>
      <c r="F275" s="99">
        <v>46009.0</v>
      </c>
      <c r="G275" s="30" t="s">
        <v>32</v>
      </c>
      <c r="H275" s="26">
        <v>2.0</v>
      </c>
      <c r="I275" s="59"/>
      <c r="J275" s="50"/>
      <c r="K275" s="30" t="s">
        <v>33</v>
      </c>
      <c r="L275" s="53"/>
      <c r="M275" s="100" t="s">
        <v>1399</v>
      </c>
      <c r="N275" s="52" t="s">
        <v>1400</v>
      </c>
      <c r="O275" s="52" t="s">
        <v>1401</v>
      </c>
      <c r="P275" s="52" t="s">
        <v>1240</v>
      </c>
      <c r="Q275" s="52" t="s">
        <v>1289</v>
      </c>
      <c r="R275" s="52" t="s">
        <v>64</v>
      </c>
      <c r="S275" s="32" t="s">
        <v>155</v>
      </c>
      <c r="T275" s="32" t="s">
        <v>333</v>
      </c>
      <c r="U275" s="32" t="s">
        <v>1356</v>
      </c>
      <c r="V275" s="53"/>
      <c r="W275" s="53"/>
      <c r="X275" s="32" t="s">
        <v>370</v>
      </c>
      <c r="Y275" s="32" t="s">
        <v>371</v>
      </c>
      <c r="Z275" s="32" t="s">
        <v>914</v>
      </c>
      <c r="AA275" s="32" t="s">
        <v>1403</v>
      </c>
      <c r="AB275" s="32" t="s">
        <v>1404</v>
      </c>
      <c r="AC275" s="32" t="s">
        <v>1405</v>
      </c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</row>
    <row r="276" ht="15.75" customHeight="1">
      <c r="A276" s="23">
        <v>45944.0</v>
      </c>
      <c r="B276" s="46" t="s">
        <v>1467</v>
      </c>
      <c r="C276" s="25" t="s">
        <v>44</v>
      </c>
      <c r="D276" s="26" t="s">
        <v>190</v>
      </c>
      <c r="E276" s="67">
        <f t="shared" si="15"/>
        <v>45965</v>
      </c>
      <c r="F276" s="94">
        <v>45982.0</v>
      </c>
      <c r="G276" s="26" t="s">
        <v>32</v>
      </c>
      <c r="H276" s="26">
        <v>14.0</v>
      </c>
      <c r="I276" s="29"/>
      <c r="J276" s="30"/>
      <c r="K276" s="31" t="s">
        <v>33</v>
      </c>
      <c r="L276" s="24" t="s">
        <v>1468</v>
      </c>
      <c r="M276" s="40" t="s">
        <v>1469</v>
      </c>
      <c r="N276" s="35" t="s">
        <v>1400</v>
      </c>
      <c r="O276" s="35" t="s">
        <v>1401</v>
      </c>
      <c r="P276" s="36" t="s">
        <v>1240</v>
      </c>
      <c r="Q276" s="36" t="s">
        <v>1289</v>
      </c>
      <c r="R276" s="36" t="s">
        <v>64</v>
      </c>
      <c r="S276" s="24" t="s">
        <v>1470</v>
      </c>
      <c r="T276" s="24" t="s">
        <v>155</v>
      </c>
      <c r="U276" s="24" t="s">
        <v>333</v>
      </c>
      <c r="V276" s="24" t="s">
        <v>1471</v>
      </c>
      <c r="W276" s="32"/>
      <c r="X276" s="24" t="s">
        <v>1472</v>
      </c>
      <c r="Y276" s="24" t="s">
        <v>1390</v>
      </c>
      <c r="Z276" s="24" t="s">
        <v>791</v>
      </c>
      <c r="AA276" s="32"/>
      <c r="AB276" s="32"/>
      <c r="AC276" s="38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</row>
    <row r="277" ht="15.75" customHeight="1">
      <c r="A277" s="23">
        <v>45944.0</v>
      </c>
      <c r="B277" s="101" t="s">
        <v>1473</v>
      </c>
      <c r="C277" s="25" t="s">
        <v>44</v>
      </c>
      <c r="D277" s="26" t="s">
        <v>85</v>
      </c>
      <c r="E277" s="67">
        <f t="shared" si="15"/>
        <v>45965</v>
      </c>
      <c r="F277" s="28"/>
      <c r="G277" s="26" t="s">
        <v>32</v>
      </c>
      <c r="H277" s="26">
        <v>12.0</v>
      </c>
      <c r="I277" s="29"/>
      <c r="J277" s="30"/>
      <c r="K277" s="31" t="s">
        <v>33</v>
      </c>
      <c r="L277" s="24" t="s">
        <v>1474</v>
      </c>
      <c r="M277" s="40" t="s">
        <v>1475</v>
      </c>
      <c r="N277" s="34" t="s">
        <v>1476</v>
      </c>
      <c r="O277" s="35" t="s">
        <v>1477</v>
      </c>
      <c r="P277" s="36" t="s">
        <v>1240</v>
      </c>
      <c r="Q277" s="36" t="s">
        <v>1289</v>
      </c>
      <c r="R277" s="36" t="s">
        <v>64</v>
      </c>
      <c r="S277" s="24" t="s">
        <v>200</v>
      </c>
      <c r="T277" s="24" t="s">
        <v>149</v>
      </c>
      <c r="U277" s="24" t="s">
        <v>1478</v>
      </c>
      <c r="V277" s="24" t="s">
        <v>155</v>
      </c>
      <c r="W277" s="24" t="s">
        <v>1479</v>
      </c>
      <c r="X277" s="24" t="s">
        <v>1472</v>
      </c>
      <c r="Y277" s="24" t="s">
        <v>1390</v>
      </c>
      <c r="Z277" s="24" t="s">
        <v>791</v>
      </c>
      <c r="AA277" s="32"/>
      <c r="AB277" s="32"/>
      <c r="AC277" s="38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</row>
    <row r="278" ht="15.75" customHeight="1">
      <c r="A278" s="23">
        <v>45944.0</v>
      </c>
      <c r="B278" s="46" t="s">
        <v>1480</v>
      </c>
      <c r="C278" s="25" t="s">
        <v>44</v>
      </c>
      <c r="D278" s="26" t="s">
        <v>211</v>
      </c>
      <c r="E278" s="67">
        <f t="shared" si="15"/>
        <v>45965</v>
      </c>
      <c r="F278" s="94"/>
      <c r="G278" s="26" t="s">
        <v>32</v>
      </c>
      <c r="H278" s="26">
        <v>3.0</v>
      </c>
      <c r="I278" s="29"/>
      <c r="J278" s="30"/>
      <c r="K278" s="31" t="s">
        <v>33</v>
      </c>
      <c r="L278" s="70" t="s">
        <v>1481</v>
      </c>
      <c r="M278" s="40" t="s">
        <v>1482</v>
      </c>
      <c r="N278" s="35" t="s">
        <v>1400</v>
      </c>
      <c r="O278" s="35" t="s">
        <v>1401</v>
      </c>
      <c r="P278" s="36" t="s">
        <v>1240</v>
      </c>
      <c r="Q278" s="36" t="s">
        <v>1289</v>
      </c>
      <c r="R278" s="36" t="s">
        <v>64</v>
      </c>
      <c r="S278" s="24" t="s">
        <v>1356</v>
      </c>
      <c r="T278" s="32"/>
      <c r="U278" s="32"/>
      <c r="V278" s="32"/>
      <c r="W278" s="32"/>
      <c r="X278" s="24" t="s">
        <v>1483</v>
      </c>
      <c r="Y278" s="24" t="s">
        <v>1484</v>
      </c>
      <c r="Z278" s="24" t="s">
        <v>1390</v>
      </c>
      <c r="AA278" s="32"/>
      <c r="AB278" s="32"/>
      <c r="AC278" s="38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</row>
    <row r="279" ht="15.75" customHeight="1">
      <c r="A279" s="23">
        <v>45944.0</v>
      </c>
      <c r="B279" s="46" t="s">
        <v>1485</v>
      </c>
      <c r="C279" s="25" t="s">
        <v>44</v>
      </c>
      <c r="D279" s="26" t="s">
        <v>211</v>
      </c>
      <c r="E279" s="67">
        <f t="shared" si="15"/>
        <v>45965</v>
      </c>
      <c r="F279" s="94"/>
      <c r="G279" s="26" t="s">
        <v>32</v>
      </c>
      <c r="H279" s="26">
        <v>3.0</v>
      </c>
      <c r="I279" s="29"/>
      <c r="J279" s="30"/>
      <c r="K279" s="31" t="s">
        <v>33</v>
      </c>
      <c r="L279" s="32"/>
      <c r="M279" s="40" t="s">
        <v>1486</v>
      </c>
      <c r="N279" s="35" t="s">
        <v>1400</v>
      </c>
      <c r="O279" s="35" t="s">
        <v>1401</v>
      </c>
      <c r="P279" s="36" t="s">
        <v>1240</v>
      </c>
      <c r="Q279" s="36" t="s">
        <v>1289</v>
      </c>
      <c r="R279" s="36" t="s">
        <v>64</v>
      </c>
      <c r="S279" s="24" t="s">
        <v>1487</v>
      </c>
      <c r="T279" s="24" t="s">
        <v>1471</v>
      </c>
      <c r="U279" s="24" t="s">
        <v>1356</v>
      </c>
      <c r="V279" s="32"/>
      <c r="W279" s="32"/>
      <c r="X279" s="24" t="s">
        <v>1488</v>
      </c>
      <c r="Y279" s="24" t="s">
        <v>1489</v>
      </c>
      <c r="Z279" s="32"/>
      <c r="AA279" s="32"/>
      <c r="AB279" s="32"/>
      <c r="AC279" s="38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</row>
    <row r="280" ht="15.75" customHeight="1">
      <c r="A280" s="23">
        <v>45944.0</v>
      </c>
      <c r="B280" s="46" t="s">
        <v>1490</v>
      </c>
      <c r="C280" s="25" t="s">
        <v>44</v>
      </c>
      <c r="D280" s="26" t="s">
        <v>211</v>
      </c>
      <c r="E280" s="67">
        <f t="shared" si="15"/>
        <v>45965</v>
      </c>
      <c r="F280" s="102"/>
      <c r="G280" s="26" t="s">
        <v>32</v>
      </c>
      <c r="H280" s="26">
        <v>1.0</v>
      </c>
      <c r="I280" s="29"/>
      <c r="J280" s="30"/>
      <c r="K280" s="31" t="s">
        <v>33</v>
      </c>
      <c r="L280" s="88" t="s">
        <v>1491</v>
      </c>
      <c r="M280" s="40" t="s">
        <v>1492</v>
      </c>
      <c r="N280" s="35" t="s">
        <v>1400</v>
      </c>
      <c r="O280" s="35" t="s">
        <v>1401</v>
      </c>
      <c r="P280" s="36" t="s">
        <v>1240</v>
      </c>
      <c r="Q280" s="36" t="s">
        <v>1289</v>
      </c>
      <c r="R280" s="36" t="s">
        <v>64</v>
      </c>
      <c r="S280" s="24" t="s">
        <v>200</v>
      </c>
      <c r="T280" s="24" t="s">
        <v>1493</v>
      </c>
      <c r="U280" s="24" t="s">
        <v>1494</v>
      </c>
      <c r="V280" s="24" t="s">
        <v>155</v>
      </c>
      <c r="W280" s="24" t="s">
        <v>398</v>
      </c>
      <c r="X280" s="65" t="s">
        <v>1495</v>
      </c>
      <c r="Y280" s="32"/>
      <c r="Z280" s="32"/>
      <c r="AA280" s="32"/>
      <c r="AB280" s="32"/>
      <c r="AC280" s="38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 ht="15.75" customHeight="1">
      <c r="A281" s="23">
        <v>45944.0</v>
      </c>
      <c r="B281" s="46" t="s">
        <v>1496</v>
      </c>
      <c r="C281" s="25" t="s">
        <v>44</v>
      </c>
      <c r="D281" s="26" t="s">
        <v>211</v>
      </c>
      <c r="E281" s="67">
        <f t="shared" si="15"/>
        <v>45965</v>
      </c>
      <c r="F281" s="94">
        <v>46009.0</v>
      </c>
      <c r="G281" s="26" t="s">
        <v>32</v>
      </c>
      <c r="H281" s="26">
        <v>3.0</v>
      </c>
      <c r="I281" s="29"/>
      <c r="J281" s="30"/>
      <c r="K281" s="31" t="s">
        <v>33</v>
      </c>
      <c r="L281" s="70" t="s">
        <v>1497</v>
      </c>
      <c r="M281" s="40" t="s">
        <v>1498</v>
      </c>
      <c r="N281" s="35" t="s">
        <v>1400</v>
      </c>
      <c r="O281" s="35" t="s">
        <v>1401</v>
      </c>
      <c r="P281" s="36" t="s">
        <v>1240</v>
      </c>
      <c r="Q281" s="36" t="s">
        <v>1289</v>
      </c>
      <c r="R281" s="36" t="s">
        <v>64</v>
      </c>
      <c r="S281" s="24" t="s">
        <v>1356</v>
      </c>
      <c r="T281" s="32"/>
      <c r="U281" s="32"/>
      <c r="V281" s="32"/>
      <c r="W281" s="32"/>
      <c r="X281" s="24" t="s">
        <v>1499</v>
      </c>
      <c r="Y281" s="24" t="s">
        <v>1500</v>
      </c>
      <c r="Z281" s="24" t="s">
        <v>1390</v>
      </c>
      <c r="AA281" s="32"/>
      <c r="AB281" s="32"/>
      <c r="AC281" s="38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 ht="15.75" customHeight="1">
      <c r="A282" s="23">
        <v>45944.0</v>
      </c>
      <c r="B282" s="46" t="s">
        <v>1501</v>
      </c>
      <c r="C282" s="25" t="s">
        <v>44</v>
      </c>
      <c r="D282" s="26" t="s">
        <v>211</v>
      </c>
      <c r="E282" s="67">
        <f t="shared" si="15"/>
        <v>45965</v>
      </c>
      <c r="F282" s="94">
        <v>46009.0</v>
      </c>
      <c r="G282" s="26" t="s">
        <v>32</v>
      </c>
      <c r="H282" s="26">
        <v>2.0</v>
      </c>
      <c r="I282" s="29"/>
      <c r="J282" s="30"/>
      <c r="K282" s="31" t="s">
        <v>33</v>
      </c>
      <c r="L282" s="88" t="s">
        <v>1502</v>
      </c>
      <c r="M282" s="40" t="s">
        <v>1503</v>
      </c>
      <c r="N282" s="35" t="s">
        <v>1400</v>
      </c>
      <c r="O282" s="35" t="s">
        <v>1401</v>
      </c>
      <c r="P282" s="36" t="s">
        <v>1240</v>
      </c>
      <c r="Q282" s="36" t="s">
        <v>1289</v>
      </c>
      <c r="R282" s="36" t="s">
        <v>64</v>
      </c>
      <c r="S282" s="24" t="s">
        <v>1356</v>
      </c>
      <c r="T282" s="24" t="s">
        <v>1470</v>
      </c>
      <c r="U282" s="24" t="s">
        <v>155</v>
      </c>
      <c r="V282" s="24" t="s">
        <v>333</v>
      </c>
      <c r="W282" s="32"/>
      <c r="X282" s="24" t="s">
        <v>1504</v>
      </c>
      <c r="Y282" s="24" t="s">
        <v>1390</v>
      </c>
      <c r="Z282" s="32"/>
      <c r="AA282" s="32"/>
      <c r="AB282" s="32"/>
      <c r="AC282" s="38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 ht="15.75" customHeight="1">
      <c r="A283" s="23">
        <v>45944.0</v>
      </c>
      <c r="B283" s="46" t="s">
        <v>1505</v>
      </c>
      <c r="C283" s="25" t="s">
        <v>44</v>
      </c>
      <c r="D283" s="26" t="s">
        <v>211</v>
      </c>
      <c r="E283" s="67">
        <f t="shared" si="15"/>
        <v>45965</v>
      </c>
      <c r="F283" s="102"/>
      <c r="G283" s="26" t="s">
        <v>32</v>
      </c>
      <c r="H283" s="26">
        <v>3.0</v>
      </c>
      <c r="I283" s="29"/>
      <c r="J283" s="30"/>
      <c r="K283" s="31" t="s">
        <v>33</v>
      </c>
      <c r="L283" s="88" t="s">
        <v>1491</v>
      </c>
      <c r="M283" s="40" t="s">
        <v>1506</v>
      </c>
      <c r="N283" s="35" t="s">
        <v>1400</v>
      </c>
      <c r="O283" s="35" t="s">
        <v>1401</v>
      </c>
      <c r="P283" s="36" t="s">
        <v>1240</v>
      </c>
      <c r="Q283" s="36" t="s">
        <v>1289</v>
      </c>
      <c r="R283" s="36" t="s">
        <v>64</v>
      </c>
      <c r="S283" s="24" t="s">
        <v>817</v>
      </c>
      <c r="T283" s="24" t="s">
        <v>200</v>
      </c>
      <c r="U283" s="24" t="s">
        <v>1495</v>
      </c>
      <c r="V283" s="24" t="s">
        <v>149</v>
      </c>
      <c r="W283" s="24" t="s">
        <v>1507</v>
      </c>
      <c r="X283" s="65" t="s">
        <v>1508</v>
      </c>
      <c r="Y283" s="24" t="s">
        <v>1509</v>
      </c>
      <c r="Z283" s="65" t="s">
        <v>1510</v>
      </c>
      <c r="AA283" s="24" t="s">
        <v>1511</v>
      </c>
      <c r="AB283" s="24" t="s">
        <v>1390</v>
      </c>
      <c r="AC283" s="38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</row>
    <row r="284" ht="15.75" customHeight="1">
      <c r="A284" s="23">
        <v>45944.0</v>
      </c>
      <c r="B284" s="46" t="s">
        <v>1512</v>
      </c>
      <c r="C284" s="25" t="s">
        <v>44</v>
      </c>
      <c r="D284" s="26" t="s">
        <v>211</v>
      </c>
      <c r="E284" s="67">
        <f t="shared" si="15"/>
        <v>45965</v>
      </c>
      <c r="F284" s="102"/>
      <c r="G284" s="26" t="s">
        <v>32</v>
      </c>
      <c r="H284" s="26">
        <v>3.0</v>
      </c>
      <c r="I284" s="29"/>
      <c r="J284" s="30"/>
      <c r="K284" s="31" t="s">
        <v>33</v>
      </c>
      <c r="L284" s="88" t="s">
        <v>1491</v>
      </c>
      <c r="M284" s="40" t="s">
        <v>1513</v>
      </c>
      <c r="N284" s="35" t="s">
        <v>1400</v>
      </c>
      <c r="O284" s="35" t="s">
        <v>1401</v>
      </c>
      <c r="P284" s="36" t="s">
        <v>1240</v>
      </c>
      <c r="Q284" s="36" t="s">
        <v>1289</v>
      </c>
      <c r="R284" s="36" t="s">
        <v>64</v>
      </c>
      <c r="S284" s="24" t="s">
        <v>817</v>
      </c>
      <c r="T284" s="24" t="s">
        <v>200</v>
      </c>
      <c r="U284" s="24" t="s">
        <v>1514</v>
      </c>
      <c r="V284" s="24" t="s">
        <v>155</v>
      </c>
      <c r="W284" s="24" t="s">
        <v>398</v>
      </c>
      <c r="X284" s="24" t="s">
        <v>1515</v>
      </c>
      <c r="Y284" s="24" t="s">
        <v>1516</v>
      </c>
      <c r="Z284" s="24" t="s">
        <v>1517</v>
      </c>
      <c r="AA284" s="24" t="s">
        <v>1390</v>
      </c>
      <c r="AB284" s="32"/>
      <c r="AC284" s="38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</row>
    <row r="285" ht="15.75" customHeight="1">
      <c r="A285" s="23">
        <v>45944.0</v>
      </c>
      <c r="B285" s="24" t="s">
        <v>1518</v>
      </c>
      <c r="C285" s="25" t="s">
        <v>84</v>
      </c>
      <c r="D285" s="26" t="s">
        <v>190</v>
      </c>
      <c r="E285" s="67">
        <f t="shared" si="15"/>
        <v>45965</v>
      </c>
      <c r="F285" s="94">
        <v>45966.0</v>
      </c>
      <c r="G285" s="26" t="s">
        <v>39</v>
      </c>
      <c r="H285" s="26">
        <v>4.0</v>
      </c>
      <c r="I285" s="29"/>
      <c r="J285" s="30"/>
      <c r="K285" s="31" t="s">
        <v>33</v>
      </c>
      <c r="L285" s="24"/>
      <c r="M285" s="40" t="s">
        <v>1519</v>
      </c>
      <c r="N285" s="34" t="s">
        <v>1520</v>
      </c>
      <c r="O285" s="35" t="s">
        <v>1521</v>
      </c>
      <c r="P285" s="36" t="s">
        <v>234</v>
      </c>
      <c r="Q285" s="37"/>
      <c r="R285" s="37"/>
      <c r="S285" s="24" t="s">
        <v>526</v>
      </c>
      <c r="T285" s="32"/>
      <c r="U285" s="32"/>
      <c r="V285" s="32"/>
      <c r="W285" s="32"/>
      <c r="X285" s="32"/>
      <c r="Y285" s="32"/>
      <c r="Z285" s="32"/>
      <c r="AA285" s="32"/>
      <c r="AB285" s="32"/>
      <c r="AC285" s="38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</row>
    <row r="286" ht="15.75" customHeight="1">
      <c r="A286" s="23">
        <v>45944.0</v>
      </c>
      <c r="B286" s="44" t="s">
        <v>1522</v>
      </c>
      <c r="C286" s="25" t="s">
        <v>210</v>
      </c>
      <c r="D286" s="26" t="s">
        <v>211</v>
      </c>
      <c r="E286" s="67">
        <f t="shared" si="15"/>
        <v>45965</v>
      </c>
      <c r="F286" s="28">
        <v>45958.0</v>
      </c>
      <c r="G286" s="26" t="s">
        <v>39</v>
      </c>
      <c r="H286" s="26">
        <v>1.0</v>
      </c>
      <c r="I286" s="29"/>
      <c r="J286" s="30"/>
      <c r="K286" s="31" t="s">
        <v>157</v>
      </c>
      <c r="L286" s="88" t="s">
        <v>1523</v>
      </c>
      <c r="M286" s="40" t="s">
        <v>1115</v>
      </c>
      <c r="N286" s="34" t="s">
        <v>1116</v>
      </c>
      <c r="O286" s="35" t="s">
        <v>1117</v>
      </c>
      <c r="P286" s="36" t="s">
        <v>47</v>
      </c>
      <c r="Q286" s="37"/>
      <c r="R286" s="37"/>
      <c r="S286" s="24" t="s">
        <v>344</v>
      </c>
      <c r="T286" s="32"/>
      <c r="U286" s="32"/>
      <c r="V286" s="32"/>
      <c r="W286" s="32"/>
      <c r="X286" s="24" t="s">
        <v>376</v>
      </c>
      <c r="Y286" s="43" t="s">
        <v>161</v>
      </c>
      <c r="Z286" s="32"/>
      <c r="AA286" s="32"/>
      <c r="AB286" s="32"/>
      <c r="AC286" s="38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 ht="15.75" customHeight="1">
      <c r="A287" s="23">
        <v>45944.0</v>
      </c>
      <c r="B287" s="24" t="s">
        <v>1524</v>
      </c>
      <c r="C287" s="25" t="s">
        <v>84</v>
      </c>
      <c r="D287" s="26" t="s">
        <v>211</v>
      </c>
      <c r="E287" s="67">
        <f t="shared" si="15"/>
        <v>45965</v>
      </c>
      <c r="F287" s="94">
        <v>45966.0</v>
      </c>
      <c r="G287" s="26" t="s">
        <v>39</v>
      </c>
      <c r="H287" s="26">
        <v>2.0</v>
      </c>
      <c r="I287" s="29"/>
      <c r="J287" s="30"/>
      <c r="K287" s="31" t="s">
        <v>33</v>
      </c>
      <c r="L287" s="32"/>
      <c r="M287" s="40" t="s">
        <v>1525</v>
      </c>
      <c r="N287" s="34" t="s">
        <v>1526</v>
      </c>
      <c r="O287" s="35" t="s">
        <v>1527</v>
      </c>
      <c r="P287" s="36" t="s">
        <v>229</v>
      </c>
      <c r="Q287" s="37"/>
      <c r="R287" s="37"/>
      <c r="S287" s="24" t="s">
        <v>89</v>
      </c>
      <c r="T287" s="32"/>
      <c r="U287" s="32"/>
      <c r="V287" s="32"/>
      <c r="W287" s="32"/>
      <c r="X287" s="24" t="s">
        <v>1528</v>
      </c>
      <c r="Y287" s="32"/>
      <c r="Z287" s="32"/>
      <c r="AA287" s="32"/>
      <c r="AB287" s="32"/>
      <c r="AC287" s="38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</row>
    <row r="288" ht="15.75" customHeight="1">
      <c r="A288" s="23">
        <v>45944.0</v>
      </c>
      <c r="B288" s="46" t="s">
        <v>1529</v>
      </c>
      <c r="C288" s="25" t="s">
        <v>84</v>
      </c>
      <c r="D288" s="26" t="s">
        <v>211</v>
      </c>
      <c r="E288" s="67">
        <f t="shared" si="15"/>
        <v>45965</v>
      </c>
      <c r="F288" s="28">
        <v>45960.0</v>
      </c>
      <c r="G288" s="26" t="s">
        <v>39</v>
      </c>
      <c r="H288" s="26">
        <v>2.0</v>
      </c>
      <c r="I288" s="29"/>
      <c r="J288" s="30"/>
      <c r="K288" s="31" t="s">
        <v>33</v>
      </c>
      <c r="L288" s="32"/>
      <c r="M288" s="40" t="s">
        <v>1530</v>
      </c>
      <c r="N288" s="34" t="s">
        <v>1145</v>
      </c>
      <c r="O288" s="35" t="s">
        <v>1531</v>
      </c>
      <c r="P288" s="36" t="s">
        <v>234</v>
      </c>
      <c r="Q288" s="37"/>
      <c r="R288" s="37"/>
      <c r="S288" s="24" t="s">
        <v>526</v>
      </c>
      <c r="T288" s="32"/>
      <c r="U288" s="32"/>
      <c r="V288" s="32"/>
      <c r="W288" s="32"/>
      <c r="X288" s="24" t="s">
        <v>1532</v>
      </c>
      <c r="Y288" s="32"/>
      <c r="Z288" s="32"/>
      <c r="AA288" s="32"/>
      <c r="AB288" s="32"/>
      <c r="AC288" s="38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 ht="15.75" customHeight="1">
      <c r="A289" s="23">
        <v>45944.0</v>
      </c>
      <c r="B289" s="46" t="s">
        <v>1533</v>
      </c>
      <c r="C289" s="25" t="s">
        <v>84</v>
      </c>
      <c r="D289" s="26" t="s">
        <v>211</v>
      </c>
      <c r="E289" s="67">
        <f t="shared" si="15"/>
        <v>45965</v>
      </c>
      <c r="F289" s="28">
        <v>45960.0</v>
      </c>
      <c r="G289" s="26" t="s">
        <v>39</v>
      </c>
      <c r="H289" s="26">
        <v>1.0</v>
      </c>
      <c r="I289" s="29"/>
      <c r="J289" s="30"/>
      <c r="K289" s="31" t="s">
        <v>33</v>
      </c>
      <c r="L289" s="47" t="s">
        <v>1534</v>
      </c>
      <c r="M289" s="40" t="s">
        <v>1535</v>
      </c>
      <c r="N289" s="35" t="s">
        <v>1145</v>
      </c>
      <c r="O289" s="35" t="s">
        <v>1536</v>
      </c>
      <c r="P289" s="36" t="s">
        <v>234</v>
      </c>
      <c r="Q289" s="37"/>
      <c r="R289" s="37"/>
      <c r="S289" s="24" t="s">
        <v>526</v>
      </c>
      <c r="T289" s="32"/>
      <c r="U289" s="32"/>
      <c r="V289" s="32"/>
      <c r="W289" s="32"/>
      <c r="X289" s="32"/>
      <c r="Y289" s="32"/>
      <c r="Z289" s="32"/>
      <c r="AA289" s="32"/>
      <c r="AB289" s="32"/>
      <c r="AC289" s="38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 ht="15.75" customHeight="1">
      <c r="A290" s="23">
        <v>45944.0</v>
      </c>
      <c r="B290" s="46" t="s">
        <v>1537</v>
      </c>
      <c r="C290" s="25" t="s">
        <v>84</v>
      </c>
      <c r="D290" s="26" t="s">
        <v>211</v>
      </c>
      <c r="E290" s="67">
        <f t="shared" si="15"/>
        <v>45965</v>
      </c>
      <c r="F290" s="28">
        <v>45960.0</v>
      </c>
      <c r="G290" s="26" t="s">
        <v>39</v>
      </c>
      <c r="H290" s="26">
        <v>6.0</v>
      </c>
      <c r="I290" s="29"/>
      <c r="J290" s="30"/>
      <c r="K290" s="31" t="s">
        <v>33</v>
      </c>
      <c r="L290" s="70" t="s">
        <v>1538</v>
      </c>
      <c r="M290" s="40" t="s">
        <v>1539</v>
      </c>
      <c r="N290" s="35" t="s">
        <v>1145</v>
      </c>
      <c r="O290" s="35" t="s">
        <v>1540</v>
      </c>
      <c r="P290" s="36" t="s">
        <v>234</v>
      </c>
      <c r="Q290" s="37"/>
      <c r="R290" s="37"/>
      <c r="S290" s="24" t="s">
        <v>526</v>
      </c>
      <c r="T290" s="32"/>
      <c r="U290" s="32"/>
      <c r="V290" s="32"/>
      <c r="W290" s="32"/>
      <c r="X290" s="32"/>
      <c r="Y290" s="32"/>
      <c r="Z290" s="32"/>
      <c r="AA290" s="32"/>
      <c r="AB290" s="32"/>
      <c r="AC290" s="38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</row>
    <row r="291" ht="15.75" customHeight="1">
      <c r="A291" s="23">
        <v>45944.0</v>
      </c>
      <c r="B291" s="46" t="s">
        <v>1541</v>
      </c>
      <c r="C291" s="25" t="s">
        <v>84</v>
      </c>
      <c r="D291" s="26" t="s">
        <v>211</v>
      </c>
      <c r="E291" s="67">
        <f t="shared" si="15"/>
        <v>45965</v>
      </c>
      <c r="F291" s="28">
        <v>45960.0</v>
      </c>
      <c r="G291" s="26" t="s">
        <v>39</v>
      </c>
      <c r="H291" s="26">
        <v>3.0</v>
      </c>
      <c r="I291" s="29"/>
      <c r="J291" s="30"/>
      <c r="K291" s="31" t="s">
        <v>33</v>
      </c>
      <c r="L291" s="103" t="s">
        <v>1542</v>
      </c>
      <c r="M291" s="40" t="s">
        <v>1543</v>
      </c>
      <c r="N291" s="35" t="s">
        <v>1145</v>
      </c>
      <c r="O291" s="35" t="s">
        <v>1544</v>
      </c>
      <c r="P291" s="36" t="s">
        <v>234</v>
      </c>
      <c r="Q291" s="37"/>
      <c r="R291" s="37"/>
      <c r="S291" s="24" t="s">
        <v>526</v>
      </c>
      <c r="T291" s="32"/>
      <c r="U291" s="32"/>
      <c r="V291" s="32"/>
      <c r="W291" s="32"/>
      <c r="X291" s="24" t="s">
        <v>302</v>
      </c>
      <c r="Y291" s="32"/>
      <c r="Z291" s="32"/>
      <c r="AA291" s="32"/>
      <c r="AB291" s="32"/>
      <c r="AC291" s="38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</row>
    <row r="292" ht="15.75" customHeight="1">
      <c r="A292" s="23">
        <v>45944.0</v>
      </c>
      <c r="B292" s="46" t="s">
        <v>1545</v>
      </c>
      <c r="C292" s="25" t="s">
        <v>84</v>
      </c>
      <c r="D292" s="26" t="s">
        <v>211</v>
      </c>
      <c r="E292" s="67">
        <f t="shared" si="15"/>
        <v>45965</v>
      </c>
      <c r="F292" s="28">
        <v>45960.0</v>
      </c>
      <c r="G292" s="26" t="s">
        <v>39</v>
      </c>
      <c r="H292" s="26">
        <v>3.0</v>
      </c>
      <c r="I292" s="29"/>
      <c r="J292" s="30"/>
      <c r="K292" s="31" t="s">
        <v>33</v>
      </c>
      <c r="L292" s="70" t="s">
        <v>1546</v>
      </c>
      <c r="M292" s="40" t="s">
        <v>1547</v>
      </c>
      <c r="N292" s="35" t="s">
        <v>1145</v>
      </c>
      <c r="O292" s="35" t="s">
        <v>1548</v>
      </c>
      <c r="P292" s="36" t="s">
        <v>234</v>
      </c>
      <c r="Q292" s="37"/>
      <c r="R292" s="37"/>
      <c r="S292" s="24" t="s">
        <v>526</v>
      </c>
      <c r="T292" s="32"/>
      <c r="U292" s="32"/>
      <c r="V292" s="32"/>
      <c r="W292" s="32"/>
      <c r="X292" s="32"/>
      <c r="Y292" s="32"/>
      <c r="Z292" s="32"/>
      <c r="AA292" s="32"/>
      <c r="AB292" s="32"/>
      <c r="AC292" s="38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</row>
    <row r="293" ht="15.75" customHeight="1">
      <c r="A293" s="48">
        <v>45944.0</v>
      </c>
      <c r="B293" s="24" t="s">
        <v>1549</v>
      </c>
      <c r="C293" s="29" t="s">
        <v>84</v>
      </c>
      <c r="D293" s="26" t="s">
        <v>211</v>
      </c>
      <c r="E293" s="27">
        <f t="shared" si="15"/>
        <v>45965</v>
      </c>
      <c r="F293" s="104">
        <v>45966.0</v>
      </c>
      <c r="G293" s="30" t="s">
        <v>39</v>
      </c>
      <c r="H293" s="26">
        <v>1.0</v>
      </c>
      <c r="I293" s="59"/>
      <c r="J293" s="50"/>
      <c r="K293" s="30" t="s">
        <v>33</v>
      </c>
      <c r="L293" s="24" t="s">
        <v>1550</v>
      </c>
      <c r="M293" s="40" t="s">
        <v>1551</v>
      </c>
      <c r="N293" s="34" t="s">
        <v>1552</v>
      </c>
      <c r="O293" s="61" t="s">
        <v>1553</v>
      </c>
      <c r="P293" s="52" t="s">
        <v>234</v>
      </c>
      <c r="Q293" s="53"/>
      <c r="R293" s="53"/>
      <c r="S293" s="32" t="s">
        <v>526</v>
      </c>
      <c r="T293" s="53"/>
      <c r="U293" s="53"/>
      <c r="V293" s="53"/>
      <c r="W293" s="53"/>
      <c r="X293" s="53"/>
      <c r="Y293" s="53"/>
      <c r="Z293" s="53"/>
      <c r="AA293" s="53"/>
      <c r="AB293" s="53"/>
      <c r="AC293" s="55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</row>
    <row r="294" ht="15.75" customHeight="1">
      <c r="A294" s="23">
        <v>45944.0</v>
      </c>
      <c r="B294" s="24" t="s">
        <v>1554</v>
      </c>
      <c r="C294" s="25" t="s">
        <v>54</v>
      </c>
      <c r="D294" s="26" t="s">
        <v>211</v>
      </c>
      <c r="E294" s="67">
        <f t="shared" si="15"/>
        <v>45965</v>
      </c>
      <c r="F294" s="28">
        <v>45960.0</v>
      </c>
      <c r="G294" s="26" t="s">
        <v>32</v>
      </c>
      <c r="H294" s="26">
        <v>1.0</v>
      </c>
      <c r="I294" s="29"/>
      <c r="J294" s="30"/>
      <c r="K294" s="31" t="s">
        <v>33</v>
      </c>
      <c r="L294" s="32"/>
      <c r="M294" s="40" t="s">
        <v>1555</v>
      </c>
      <c r="N294" s="105" t="s">
        <v>1556</v>
      </c>
      <c r="O294" s="35" t="s">
        <v>1557</v>
      </c>
      <c r="P294" s="36" t="s">
        <v>234</v>
      </c>
      <c r="Q294" s="37"/>
      <c r="R294" s="37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8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</row>
    <row r="295" ht="15.75" customHeight="1">
      <c r="A295" s="23">
        <v>45944.0</v>
      </c>
      <c r="B295" s="24" t="s">
        <v>1558</v>
      </c>
      <c r="C295" s="25" t="s">
        <v>54</v>
      </c>
      <c r="D295" s="26" t="s">
        <v>211</v>
      </c>
      <c r="E295" s="67">
        <f t="shared" si="15"/>
        <v>45965</v>
      </c>
      <c r="F295" s="28">
        <v>45960.0</v>
      </c>
      <c r="G295" s="26" t="s">
        <v>32</v>
      </c>
      <c r="H295" s="26">
        <v>1.0</v>
      </c>
      <c r="I295" s="25"/>
      <c r="J295" s="26"/>
      <c r="K295" s="31" t="s">
        <v>33</v>
      </c>
      <c r="L295" s="106"/>
      <c r="M295" s="40" t="s">
        <v>1559</v>
      </c>
      <c r="N295" s="34" t="s">
        <v>1560</v>
      </c>
      <c r="O295" s="35" t="s">
        <v>1561</v>
      </c>
      <c r="P295" s="36" t="s">
        <v>166</v>
      </c>
      <c r="Q295" s="37"/>
      <c r="R295" s="79"/>
      <c r="S295" s="32"/>
      <c r="T295" s="32"/>
      <c r="U295" s="32"/>
      <c r="V295" s="32"/>
      <c r="W295" s="32"/>
      <c r="X295" s="24" t="s">
        <v>1562</v>
      </c>
      <c r="Y295" s="32"/>
      <c r="Z295" s="32"/>
      <c r="AA295" s="32"/>
      <c r="AB295" s="32"/>
      <c r="AC295" s="38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</row>
    <row r="296" ht="15.75" customHeight="1">
      <c r="A296" s="23">
        <v>45944.0</v>
      </c>
      <c r="B296" s="24" t="s">
        <v>1563</v>
      </c>
      <c r="C296" s="25" t="s">
        <v>54</v>
      </c>
      <c r="D296" s="26" t="s">
        <v>211</v>
      </c>
      <c r="E296" s="67">
        <f t="shared" si="15"/>
        <v>45965</v>
      </c>
      <c r="F296" s="28">
        <v>45960.0</v>
      </c>
      <c r="G296" s="26" t="s">
        <v>32</v>
      </c>
      <c r="H296" s="26">
        <v>1.0</v>
      </c>
      <c r="I296" s="25"/>
      <c r="J296" s="26"/>
      <c r="K296" s="31" t="s">
        <v>33</v>
      </c>
      <c r="L296" s="106"/>
      <c r="M296" s="40" t="s">
        <v>1564</v>
      </c>
      <c r="N296" s="34" t="s">
        <v>1565</v>
      </c>
      <c r="O296" s="35" t="s">
        <v>1566</v>
      </c>
      <c r="P296" s="36" t="s">
        <v>166</v>
      </c>
      <c r="Q296" s="37"/>
      <c r="R296" s="79"/>
      <c r="S296" s="32"/>
      <c r="T296" s="32"/>
      <c r="U296" s="32"/>
      <c r="V296" s="32"/>
      <c r="W296" s="32"/>
      <c r="X296" s="24" t="s">
        <v>1562</v>
      </c>
      <c r="Y296" s="24" t="s">
        <v>359</v>
      </c>
      <c r="Z296" s="32"/>
      <c r="AA296" s="32"/>
      <c r="AB296" s="32"/>
      <c r="AC296" s="38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</row>
    <row r="297" ht="15.75" customHeight="1">
      <c r="A297" s="23">
        <v>45944.0</v>
      </c>
      <c r="B297" s="24" t="s">
        <v>1567</v>
      </c>
      <c r="C297" s="25" t="s">
        <v>54</v>
      </c>
      <c r="D297" s="26" t="s">
        <v>211</v>
      </c>
      <c r="E297" s="67">
        <f t="shared" si="15"/>
        <v>45965</v>
      </c>
      <c r="F297" s="28">
        <v>45960.0</v>
      </c>
      <c r="G297" s="26" t="s">
        <v>39</v>
      </c>
      <c r="H297" s="26">
        <v>2.0</v>
      </c>
      <c r="I297" s="25"/>
      <c r="J297" s="26"/>
      <c r="K297" s="31" t="s">
        <v>33</v>
      </c>
      <c r="L297" s="88" t="s">
        <v>1568</v>
      </c>
      <c r="M297" s="40" t="s">
        <v>1569</v>
      </c>
      <c r="N297" s="34" t="s">
        <v>1570</v>
      </c>
      <c r="O297" s="35" t="s">
        <v>1571</v>
      </c>
      <c r="P297" s="36" t="s">
        <v>166</v>
      </c>
      <c r="Q297" s="37"/>
      <c r="R297" s="79"/>
      <c r="S297" s="32"/>
      <c r="T297" s="32"/>
      <c r="U297" s="32"/>
      <c r="V297" s="32"/>
      <c r="W297" s="32"/>
      <c r="X297" s="24" t="s">
        <v>1562</v>
      </c>
      <c r="Y297" s="24" t="s">
        <v>1572</v>
      </c>
      <c r="Z297" s="32"/>
      <c r="AA297" s="32"/>
      <c r="AB297" s="32"/>
      <c r="AC297" s="38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</row>
    <row r="298" ht="15.75" customHeight="1">
      <c r="A298" s="23">
        <v>45943.0</v>
      </c>
      <c r="B298" s="24" t="s">
        <v>1573</v>
      </c>
      <c r="C298" s="25" t="s">
        <v>44</v>
      </c>
      <c r="D298" s="26" t="s">
        <v>211</v>
      </c>
      <c r="E298" s="67">
        <f t="shared" si="15"/>
        <v>45964</v>
      </c>
      <c r="F298" s="28">
        <v>45958.0</v>
      </c>
      <c r="G298" s="26" t="s">
        <v>32</v>
      </c>
      <c r="H298" s="26">
        <v>1.0</v>
      </c>
      <c r="I298" s="29"/>
      <c r="J298" s="30"/>
      <c r="K298" s="31" t="s">
        <v>49</v>
      </c>
      <c r="L298" s="24" t="s">
        <v>1574</v>
      </c>
      <c r="M298" s="40" t="s">
        <v>1575</v>
      </c>
      <c r="N298" s="34" t="s">
        <v>1576</v>
      </c>
      <c r="O298" s="35" t="s">
        <v>1577</v>
      </c>
      <c r="P298" s="36" t="s">
        <v>1578</v>
      </c>
      <c r="Q298" s="80" t="s">
        <v>1579</v>
      </c>
      <c r="R298" s="80" t="s">
        <v>638</v>
      </c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8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</row>
    <row r="299" ht="15.75" customHeight="1">
      <c r="A299" s="23">
        <v>45943.0</v>
      </c>
      <c r="B299" s="66" t="s">
        <v>1580</v>
      </c>
      <c r="C299" s="25" t="s">
        <v>72</v>
      </c>
      <c r="D299" s="26" t="s">
        <v>211</v>
      </c>
      <c r="E299" s="67">
        <f t="shared" si="15"/>
        <v>45964</v>
      </c>
      <c r="F299" s="28">
        <v>45951.0</v>
      </c>
      <c r="G299" s="26" t="s">
        <v>55</v>
      </c>
      <c r="H299" s="26">
        <v>1.0</v>
      </c>
      <c r="I299" s="29"/>
      <c r="J299" s="30"/>
      <c r="K299" s="31" t="s">
        <v>33</v>
      </c>
      <c r="L299" s="32"/>
      <c r="M299" s="40" t="s">
        <v>1581</v>
      </c>
      <c r="N299" s="34" t="s">
        <v>1582</v>
      </c>
      <c r="O299" s="35" t="s">
        <v>1583</v>
      </c>
      <c r="P299" s="36" t="s">
        <v>1584</v>
      </c>
      <c r="Q299" s="37"/>
      <c r="R299" s="37"/>
      <c r="S299" s="32"/>
      <c r="T299" s="32"/>
      <c r="U299" s="32"/>
      <c r="V299" s="32"/>
      <c r="W299" s="32"/>
      <c r="X299" s="24" t="s">
        <v>1585</v>
      </c>
      <c r="Y299" s="32"/>
      <c r="Z299" s="32"/>
      <c r="AA299" s="32"/>
      <c r="AB299" s="32"/>
      <c r="AC299" s="38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</row>
    <row r="300" ht="15.75" customHeight="1">
      <c r="A300" s="23">
        <v>45943.0</v>
      </c>
      <c r="B300" s="24" t="s">
        <v>1586</v>
      </c>
      <c r="C300" s="25" t="s">
        <v>38</v>
      </c>
      <c r="D300" s="26" t="s">
        <v>211</v>
      </c>
      <c r="E300" s="67">
        <f t="shared" si="15"/>
        <v>45964</v>
      </c>
      <c r="F300" s="28">
        <v>45958.0</v>
      </c>
      <c r="G300" s="26" t="s">
        <v>39</v>
      </c>
      <c r="H300" s="26">
        <v>1.0</v>
      </c>
      <c r="I300" s="29"/>
      <c r="J300" s="30"/>
      <c r="K300" s="31" t="s">
        <v>157</v>
      </c>
      <c r="L300" s="24" t="s">
        <v>1059</v>
      </c>
      <c r="M300" s="40" t="s">
        <v>1587</v>
      </c>
      <c r="N300" s="34" t="s">
        <v>1588</v>
      </c>
      <c r="O300" s="35" t="s">
        <v>1589</v>
      </c>
      <c r="P300" s="36" t="s">
        <v>1240</v>
      </c>
      <c r="Q300" s="36" t="s">
        <v>1289</v>
      </c>
      <c r="R300" s="36" t="s">
        <v>64</v>
      </c>
      <c r="S300" s="24" t="s">
        <v>1590</v>
      </c>
      <c r="T300" s="24" t="s">
        <v>819</v>
      </c>
      <c r="U300" s="24" t="s">
        <v>150</v>
      </c>
      <c r="V300" s="32"/>
      <c r="W300" s="32"/>
      <c r="X300" s="43" t="s">
        <v>150</v>
      </c>
      <c r="Y300" s="32"/>
      <c r="Z300" s="32"/>
      <c r="AA300" s="32"/>
      <c r="AB300" s="32"/>
      <c r="AC300" s="38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</row>
    <row r="301" ht="15.75" customHeight="1">
      <c r="A301" s="23">
        <v>45943.0</v>
      </c>
      <c r="B301" s="24" t="s">
        <v>1591</v>
      </c>
      <c r="C301" s="25" t="s">
        <v>54</v>
      </c>
      <c r="D301" s="26" t="s">
        <v>211</v>
      </c>
      <c r="E301" s="86">
        <v>45950.0</v>
      </c>
      <c r="F301" s="28">
        <v>45951.0</v>
      </c>
      <c r="G301" s="26" t="s">
        <v>39</v>
      </c>
      <c r="H301" s="26">
        <v>2.0</v>
      </c>
      <c r="I301" s="29"/>
      <c r="J301" s="30"/>
      <c r="K301" s="31" t="s">
        <v>49</v>
      </c>
      <c r="L301" s="70" t="s">
        <v>1592</v>
      </c>
      <c r="M301" s="40" t="s">
        <v>1593</v>
      </c>
      <c r="N301" s="35" t="s">
        <v>1594</v>
      </c>
      <c r="O301" s="35" t="s">
        <v>1595</v>
      </c>
      <c r="P301" s="36" t="s">
        <v>52</v>
      </c>
      <c r="Q301" s="37"/>
      <c r="R301" s="37"/>
      <c r="S301" s="24" t="s">
        <v>89</v>
      </c>
      <c r="T301" s="32"/>
      <c r="U301" s="32"/>
      <c r="V301" s="32"/>
      <c r="W301" s="32"/>
      <c r="X301" s="24" t="s">
        <v>791</v>
      </c>
      <c r="Y301" s="24" t="s">
        <v>853</v>
      </c>
      <c r="Z301" s="24" t="s">
        <v>715</v>
      </c>
      <c r="AA301" s="32"/>
      <c r="AB301" s="32"/>
      <c r="AC301" s="38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</row>
    <row r="302" ht="15.75" customHeight="1">
      <c r="A302" s="23">
        <v>45940.0</v>
      </c>
      <c r="B302" s="24" t="s">
        <v>1596</v>
      </c>
      <c r="C302" s="25" t="s">
        <v>44</v>
      </c>
      <c r="D302" s="26" t="s">
        <v>190</v>
      </c>
      <c r="E302" s="67">
        <f t="shared" ref="E302:E309" si="16">A302+21</f>
        <v>45961</v>
      </c>
      <c r="F302" s="28">
        <v>45982.0</v>
      </c>
      <c r="G302" s="26" t="s">
        <v>32</v>
      </c>
      <c r="H302" s="26">
        <v>1.0</v>
      </c>
      <c r="I302" s="29"/>
      <c r="J302" s="30"/>
      <c r="K302" s="31" t="s">
        <v>33</v>
      </c>
      <c r="L302" s="47" t="s">
        <v>145</v>
      </c>
      <c r="M302" s="40" t="s">
        <v>1597</v>
      </c>
      <c r="N302" s="34" t="s">
        <v>1598</v>
      </c>
      <c r="O302" s="35" t="s">
        <v>1599</v>
      </c>
      <c r="P302" s="36" t="s">
        <v>78</v>
      </c>
      <c r="Q302" s="37"/>
      <c r="R302" s="37"/>
      <c r="S302" s="24" t="s">
        <v>154</v>
      </c>
      <c r="T302" s="24" t="s">
        <v>149</v>
      </c>
      <c r="U302" s="24" t="s">
        <v>155</v>
      </c>
      <c r="V302" s="32"/>
      <c r="W302" s="32"/>
      <c r="X302" s="32"/>
      <c r="Y302" s="32"/>
      <c r="Z302" s="32"/>
      <c r="AA302" s="32"/>
      <c r="AB302" s="32"/>
      <c r="AC302" s="38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</row>
    <row r="303" ht="15.75" customHeight="1">
      <c r="A303" s="23">
        <v>45940.0</v>
      </c>
      <c r="B303" s="66" t="s">
        <v>1600</v>
      </c>
      <c r="C303" s="25" t="s">
        <v>72</v>
      </c>
      <c r="D303" s="26" t="s">
        <v>110</v>
      </c>
      <c r="E303" s="67">
        <f t="shared" si="16"/>
        <v>45961</v>
      </c>
      <c r="F303" s="28"/>
      <c r="G303" s="26" t="s">
        <v>55</v>
      </c>
      <c r="H303" s="26">
        <v>1.0</v>
      </c>
      <c r="I303" s="29"/>
      <c r="J303" s="30"/>
      <c r="K303" s="31" t="s">
        <v>157</v>
      </c>
      <c r="L303" s="32"/>
      <c r="M303" s="40" t="s">
        <v>1601</v>
      </c>
      <c r="N303" s="34" t="s">
        <v>1602</v>
      </c>
      <c r="O303" s="35" t="s">
        <v>1603</v>
      </c>
      <c r="P303" s="36" t="s">
        <v>1307</v>
      </c>
      <c r="Q303" s="37"/>
      <c r="R303" s="37"/>
      <c r="S303" s="24" t="s">
        <v>376</v>
      </c>
      <c r="T303" s="24" t="s">
        <v>1308</v>
      </c>
      <c r="U303" s="32"/>
      <c r="V303" s="32"/>
      <c r="W303" s="32"/>
      <c r="X303" s="43" t="s">
        <v>1604</v>
      </c>
      <c r="Y303" s="32"/>
      <c r="Z303" s="32"/>
      <c r="AA303" s="32"/>
      <c r="AB303" s="32"/>
      <c r="AC303" s="38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</row>
    <row r="304" ht="15.75" customHeight="1">
      <c r="A304" s="23">
        <v>45940.0</v>
      </c>
      <c r="B304" s="24" t="s">
        <v>1605</v>
      </c>
      <c r="C304" s="25" t="s">
        <v>84</v>
      </c>
      <c r="D304" s="26" t="s">
        <v>190</v>
      </c>
      <c r="E304" s="67">
        <f t="shared" si="16"/>
        <v>45961</v>
      </c>
      <c r="F304" s="28">
        <v>45960.0</v>
      </c>
      <c r="G304" s="26" t="s">
        <v>39</v>
      </c>
      <c r="H304" s="26">
        <v>4.0</v>
      </c>
      <c r="I304" s="29"/>
      <c r="J304" s="30"/>
      <c r="K304" s="31" t="s">
        <v>33</v>
      </c>
      <c r="L304" s="24" t="s">
        <v>1606</v>
      </c>
      <c r="M304" s="40" t="s">
        <v>1607</v>
      </c>
      <c r="N304" s="35" t="s">
        <v>1608</v>
      </c>
      <c r="O304" s="35" t="s">
        <v>1609</v>
      </c>
      <c r="P304" s="36" t="s">
        <v>281</v>
      </c>
      <c r="Q304" s="37"/>
      <c r="R304" s="37"/>
      <c r="S304" s="32"/>
      <c r="T304" s="32"/>
      <c r="U304" s="32"/>
      <c r="V304" s="32"/>
      <c r="W304" s="32"/>
      <c r="X304" s="24" t="s">
        <v>108</v>
      </c>
      <c r="Y304" s="32"/>
      <c r="Z304" s="32"/>
      <c r="AA304" s="32"/>
      <c r="AB304" s="32"/>
      <c r="AC304" s="38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</row>
    <row r="305" ht="15.75" customHeight="1">
      <c r="A305" s="23">
        <v>45940.0</v>
      </c>
      <c r="B305" s="24" t="s">
        <v>1610</v>
      </c>
      <c r="C305" s="25" t="s">
        <v>84</v>
      </c>
      <c r="D305" s="26" t="s">
        <v>110</v>
      </c>
      <c r="E305" s="67">
        <f t="shared" si="16"/>
        <v>45961</v>
      </c>
      <c r="F305" s="28"/>
      <c r="G305" s="26" t="s">
        <v>39</v>
      </c>
      <c r="H305" s="26">
        <v>1.0</v>
      </c>
      <c r="I305" s="29"/>
      <c r="J305" s="30"/>
      <c r="K305" s="31" t="s">
        <v>33</v>
      </c>
      <c r="L305" s="32"/>
      <c r="M305" s="40" t="s">
        <v>1611</v>
      </c>
      <c r="N305" s="34" t="s">
        <v>1612</v>
      </c>
      <c r="O305" s="35" t="s">
        <v>1613</v>
      </c>
      <c r="P305" s="36" t="s">
        <v>78</v>
      </c>
      <c r="Q305" s="36" t="s">
        <v>194</v>
      </c>
      <c r="R305" s="37"/>
      <c r="S305" s="24" t="s">
        <v>1514</v>
      </c>
      <c r="T305" s="32"/>
      <c r="U305" s="32"/>
      <c r="V305" s="32"/>
      <c r="W305" s="32"/>
      <c r="X305" s="24" t="s">
        <v>149</v>
      </c>
      <c r="Y305" s="32"/>
      <c r="Z305" s="32"/>
      <c r="AA305" s="32"/>
      <c r="AB305" s="32"/>
      <c r="AC305" s="38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</row>
    <row r="306" ht="15.75" customHeight="1">
      <c r="A306" s="23">
        <v>45940.0</v>
      </c>
      <c r="B306" s="66" t="s">
        <v>1614</v>
      </c>
      <c r="C306" s="25" t="s">
        <v>84</v>
      </c>
      <c r="D306" s="26" t="s">
        <v>211</v>
      </c>
      <c r="E306" s="67">
        <f t="shared" si="16"/>
        <v>45961</v>
      </c>
      <c r="F306" s="28">
        <v>45951.0</v>
      </c>
      <c r="G306" s="26" t="s">
        <v>39</v>
      </c>
      <c r="H306" s="26">
        <v>2.0</v>
      </c>
      <c r="I306" s="29"/>
      <c r="J306" s="30"/>
      <c r="K306" s="31" t="s">
        <v>33</v>
      </c>
      <c r="L306" s="24"/>
      <c r="M306" s="40" t="s">
        <v>1615</v>
      </c>
      <c r="N306" s="34" t="s">
        <v>1616</v>
      </c>
      <c r="O306" s="35" t="s">
        <v>1617</v>
      </c>
      <c r="P306" s="36" t="s">
        <v>281</v>
      </c>
      <c r="Q306" s="36" t="s">
        <v>207</v>
      </c>
      <c r="R306" s="37"/>
      <c r="S306" s="32"/>
      <c r="T306" s="32"/>
      <c r="U306" s="32"/>
      <c r="V306" s="32"/>
      <c r="W306" s="32"/>
      <c r="X306" s="24" t="s">
        <v>108</v>
      </c>
      <c r="Y306" s="32"/>
      <c r="Z306" s="32"/>
      <c r="AA306" s="32"/>
      <c r="AB306" s="32"/>
      <c r="AC306" s="38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</row>
    <row r="307" ht="15.75" customHeight="1">
      <c r="A307" s="23">
        <v>45940.0</v>
      </c>
      <c r="B307" s="66" t="s">
        <v>1618</v>
      </c>
      <c r="C307" s="25" t="s">
        <v>84</v>
      </c>
      <c r="D307" s="26" t="s">
        <v>211</v>
      </c>
      <c r="E307" s="67">
        <f t="shared" si="16"/>
        <v>45961</v>
      </c>
      <c r="F307" s="28">
        <v>45951.0</v>
      </c>
      <c r="G307" s="26" t="s">
        <v>39</v>
      </c>
      <c r="H307" s="26">
        <v>2.0</v>
      </c>
      <c r="I307" s="29"/>
      <c r="J307" s="30"/>
      <c r="K307" s="31" t="s">
        <v>33</v>
      </c>
      <c r="L307" s="32"/>
      <c r="M307" s="40" t="s">
        <v>1619</v>
      </c>
      <c r="N307" s="34" t="s">
        <v>1620</v>
      </c>
      <c r="O307" s="35" t="s">
        <v>1621</v>
      </c>
      <c r="P307" s="36" t="s">
        <v>281</v>
      </c>
      <c r="Q307" s="37"/>
      <c r="R307" s="37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8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</row>
    <row r="308" ht="15.75" customHeight="1">
      <c r="A308" s="23">
        <v>45940.0</v>
      </c>
      <c r="B308" s="66" t="s">
        <v>1622</v>
      </c>
      <c r="C308" s="25" t="s">
        <v>678</v>
      </c>
      <c r="D308" s="26" t="s">
        <v>211</v>
      </c>
      <c r="E308" s="67">
        <f t="shared" si="16"/>
        <v>45961</v>
      </c>
      <c r="F308" s="28">
        <v>45947.0</v>
      </c>
      <c r="G308" s="26" t="s">
        <v>55</v>
      </c>
      <c r="H308" s="26">
        <v>1.0</v>
      </c>
      <c r="I308" s="29"/>
      <c r="J308" s="30"/>
      <c r="K308" s="31" t="s">
        <v>33</v>
      </c>
      <c r="L308" s="47" t="s">
        <v>298</v>
      </c>
      <c r="M308" s="40" t="s">
        <v>1623</v>
      </c>
      <c r="N308" s="34" t="s">
        <v>1624</v>
      </c>
      <c r="O308" s="35" t="s">
        <v>1625</v>
      </c>
      <c r="P308" s="36" t="s">
        <v>1240</v>
      </c>
      <c r="Q308" s="36" t="s">
        <v>1289</v>
      </c>
      <c r="R308" s="36" t="s">
        <v>64</v>
      </c>
      <c r="S308" s="24" t="s">
        <v>268</v>
      </c>
      <c r="T308" s="32"/>
      <c r="U308" s="32"/>
      <c r="V308" s="32"/>
      <c r="W308" s="32"/>
      <c r="X308" s="32"/>
      <c r="Y308" s="32"/>
      <c r="Z308" s="32"/>
      <c r="AA308" s="32"/>
      <c r="AB308" s="32"/>
      <c r="AC308" s="38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</row>
    <row r="309" ht="15.75" customHeight="1">
      <c r="A309" s="23">
        <v>45940.0</v>
      </c>
      <c r="B309" s="66" t="s">
        <v>1626</v>
      </c>
      <c r="C309" s="25" t="s">
        <v>678</v>
      </c>
      <c r="D309" s="26" t="s">
        <v>211</v>
      </c>
      <c r="E309" s="67">
        <f t="shared" si="16"/>
        <v>45961</v>
      </c>
      <c r="F309" s="28">
        <v>45947.0</v>
      </c>
      <c r="G309" s="26" t="s">
        <v>55</v>
      </c>
      <c r="H309" s="26">
        <v>1.0</v>
      </c>
      <c r="I309" s="29"/>
      <c r="J309" s="30"/>
      <c r="K309" s="31" t="s">
        <v>33</v>
      </c>
      <c r="L309" s="47" t="s">
        <v>298</v>
      </c>
      <c r="M309" s="40" t="s">
        <v>1627</v>
      </c>
      <c r="N309" s="34" t="s">
        <v>1628</v>
      </c>
      <c r="O309" s="35" t="s">
        <v>1629</v>
      </c>
      <c r="P309" s="36" t="s">
        <v>1240</v>
      </c>
      <c r="Q309" s="36" t="s">
        <v>1289</v>
      </c>
      <c r="R309" s="36" t="s">
        <v>64</v>
      </c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8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</row>
    <row r="310" ht="15.75" customHeight="1">
      <c r="A310" s="23">
        <v>45940.0</v>
      </c>
      <c r="B310" s="66" t="s">
        <v>1630</v>
      </c>
      <c r="C310" s="25" t="s">
        <v>72</v>
      </c>
      <c r="D310" s="26" t="s">
        <v>211</v>
      </c>
      <c r="E310" s="86">
        <v>45948.0</v>
      </c>
      <c r="F310" s="28">
        <v>45946.0</v>
      </c>
      <c r="G310" s="26" t="s">
        <v>55</v>
      </c>
      <c r="H310" s="26">
        <v>1.0</v>
      </c>
      <c r="I310" s="29"/>
      <c r="J310" s="30"/>
      <c r="K310" s="31" t="s">
        <v>49</v>
      </c>
      <c r="L310" s="24"/>
      <c r="M310" s="40" t="s">
        <v>1631</v>
      </c>
      <c r="N310" s="34" t="s">
        <v>1632</v>
      </c>
      <c r="O310" s="35" t="s">
        <v>1633</v>
      </c>
      <c r="P310" s="36" t="s">
        <v>1634</v>
      </c>
      <c r="Q310" s="37"/>
      <c r="R310" s="37"/>
      <c r="S310" s="24" t="s">
        <v>1635</v>
      </c>
      <c r="T310" s="24" t="s">
        <v>1636</v>
      </c>
      <c r="U310" s="32"/>
      <c r="V310" s="32"/>
      <c r="W310" s="32"/>
      <c r="X310" s="24" t="s">
        <v>1636</v>
      </c>
      <c r="Y310" s="32"/>
      <c r="Z310" s="32"/>
      <c r="AA310" s="32"/>
      <c r="AB310" s="32"/>
      <c r="AC310" s="38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</row>
    <row r="311" ht="15.75" customHeight="1">
      <c r="A311" s="23">
        <v>45940.0</v>
      </c>
      <c r="B311" s="24" t="s">
        <v>1637</v>
      </c>
      <c r="C311" s="25" t="s">
        <v>54</v>
      </c>
      <c r="D311" s="26" t="s">
        <v>211</v>
      </c>
      <c r="E311" s="67">
        <f t="shared" ref="E311:E316" si="17">A311+21</f>
        <v>45961</v>
      </c>
      <c r="F311" s="28">
        <v>45958.0</v>
      </c>
      <c r="G311" s="26" t="s">
        <v>39</v>
      </c>
      <c r="H311" s="26">
        <v>1.0</v>
      </c>
      <c r="I311" s="29"/>
      <c r="J311" s="30"/>
      <c r="K311" s="31" t="s">
        <v>33</v>
      </c>
      <c r="L311" s="32"/>
      <c r="M311" s="40" t="s">
        <v>1638</v>
      </c>
      <c r="N311" s="34" t="s">
        <v>1639</v>
      </c>
      <c r="O311" s="35" t="s">
        <v>1640</v>
      </c>
      <c r="P311" s="36" t="s">
        <v>47</v>
      </c>
      <c r="Q311" s="37"/>
      <c r="R311" s="37"/>
      <c r="S311" s="24" t="s">
        <v>1641</v>
      </c>
      <c r="T311" s="32"/>
      <c r="U311" s="32"/>
      <c r="V311" s="32"/>
      <c r="W311" s="32"/>
      <c r="X311" s="24" t="s">
        <v>955</v>
      </c>
      <c r="Y311" s="24" t="s">
        <v>121</v>
      </c>
      <c r="Z311" s="32"/>
      <c r="AA311" s="32"/>
      <c r="AB311" s="32"/>
      <c r="AC311" s="38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</row>
    <row r="312" ht="15.75" customHeight="1">
      <c r="A312" s="23">
        <v>45939.0</v>
      </c>
      <c r="B312" s="24" t="s">
        <v>1642</v>
      </c>
      <c r="C312" s="25" t="s">
        <v>84</v>
      </c>
      <c r="D312" s="26" t="s">
        <v>211</v>
      </c>
      <c r="E312" s="67">
        <f t="shared" si="17"/>
        <v>45960</v>
      </c>
      <c r="F312" s="28">
        <v>45958.0</v>
      </c>
      <c r="G312" s="26" t="s">
        <v>39</v>
      </c>
      <c r="H312" s="26">
        <v>1.0</v>
      </c>
      <c r="I312" s="29"/>
      <c r="J312" s="30"/>
      <c r="K312" s="31" t="s">
        <v>33</v>
      </c>
      <c r="L312" s="47" t="s">
        <v>298</v>
      </c>
      <c r="M312" s="40" t="s">
        <v>1643</v>
      </c>
      <c r="N312" s="34" t="s">
        <v>1644</v>
      </c>
      <c r="O312" s="35" t="s">
        <v>1645</v>
      </c>
      <c r="P312" s="36" t="s">
        <v>229</v>
      </c>
      <c r="Q312" s="37"/>
      <c r="R312" s="37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8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</row>
    <row r="313" ht="15.75" customHeight="1">
      <c r="A313" s="23">
        <v>45939.0</v>
      </c>
      <c r="B313" s="24" t="s">
        <v>1646</v>
      </c>
      <c r="C313" s="25" t="s">
        <v>72</v>
      </c>
      <c r="D313" s="26" t="s">
        <v>211</v>
      </c>
      <c r="E313" s="67">
        <f t="shared" si="17"/>
        <v>45960</v>
      </c>
      <c r="F313" s="28">
        <v>45966.0</v>
      </c>
      <c r="G313" s="26" t="s">
        <v>55</v>
      </c>
      <c r="H313" s="26">
        <v>1.0</v>
      </c>
      <c r="I313" s="29"/>
      <c r="J313" s="30"/>
      <c r="K313" s="31" t="s">
        <v>157</v>
      </c>
      <c r="L313" s="24" t="s">
        <v>1647</v>
      </c>
      <c r="M313" s="40" t="s">
        <v>1648</v>
      </c>
      <c r="N313" s="34" t="s">
        <v>1649</v>
      </c>
      <c r="O313" s="35" t="s">
        <v>1650</v>
      </c>
      <c r="P313" s="36" t="s">
        <v>36</v>
      </c>
      <c r="Q313" s="37"/>
      <c r="R313" s="37"/>
      <c r="S313" s="32"/>
      <c r="T313" s="32"/>
      <c r="U313" s="32"/>
      <c r="V313" s="32"/>
      <c r="W313" s="32"/>
      <c r="X313" s="24" t="s">
        <v>853</v>
      </c>
      <c r="Y313" s="32"/>
      <c r="Z313" s="32"/>
      <c r="AA313" s="32"/>
      <c r="AB313" s="32"/>
      <c r="AC313" s="38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</row>
    <row r="314" ht="15.75" customHeight="1">
      <c r="A314" s="23">
        <v>45938.0</v>
      </c>
      <c r="B314" s="24" t="s">
        <v>1651</v>
      </c>
      <c r="C314" s="25" t="s">
        <v>210</v>
      </c>
      <c r="D314" s="26" t="s">
        <v>211</v>
      </c>
      <c r="E314" s="67">
        <f t="shared" si="17"/>
        <v>45959</v>
      </c>
      <c r="F314" s="28">
        <v>45953.0</v>
      </c>
      <c r="G314" s="26" t="s">
        <v>55</v>
      </c>
      <c r="H314" s="26">
        <v>1.0</v>
      </c>
      <c r="I314" s="29"/>
      <c r="J314" s="30"/>
      <c r="K314" s="31" t="s">
        <v>33</v>
      </c>
      <c r="L314" s="24" t="s">
        <v>1652</v>
      </c>
      <c r="M314" s="40" t="s">
        <v>1653</v>
      </c>
      <c r="N314" s="34" t="s">
        <v>1654</v>
      </c>
      <c r="O314" s="35" t="s">
        <v>1655</v>
      </c>
      <c r="P314" s="36" t="s">
        <v>47</v>
      </c>
      <c r="Q314" s="37"/>
      <c r="R314" s="37"/>
      <c r="S314" s="32"/>
      <c r="T314" s="32"/>
      <c r="U314" s="32"/>
      <c r="V314" s="32"/>
      <c r="W314" s="32"/>
      <c r="X314" s="24" t="s">
        <v>791</v>
      </c>
      <c r="Y314" s="32"/>
      <c r="Z314" s="32"/>
      <c r="AA314" s="32"/>
      <c r="AB314" s="32"/>
      <c r="AC314" s="38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</row>
    <row r="315" ht="15.75" customHeight="1">
      <c r="A315" s="23">
        <v>45937.0</v>
      </c>
      <c r="B315" s="66" t="s">
        <v>1656</v>
      </c>
      <c r="C315" s="25" t="s">
        <v>38</v>
      </c>
      <c r="D315" s="26" t="s">
        <v>211</v>
      </c>
      <c r="E315" s="67">
        <f t="shared" si="17"/>
        <v>45958</v>
      </c>
      <c r="F315" s="28">
        <v>45949.0</v>
      </c>
      <c r="G315" s="26" t="s">
        <v>39</v>
      </c>
      <c r="H315" s="26">
        <v>1.0</v>
      </c>
      <c r="I315" s="29"/>
      <c r="J315" s="30"/>
      <c r="K315" s="31" t="s">
        <v>33</v>
      </c>
      <c r="L315" s="32"/>
      <c r="M315" s="40" t="s">
        <v>1657</v>
      </c>
      <c r="N315" s="34" t="s">
        <v>1658</v>
      </c>
      <c r="O315" s="35" t="s">
        <v>1659</v>
      </c>
      <c r="P315" s="36" t="s">
        <v>281</v>
      </c>
      <c r="Q315" s="37"/>
      <c r="R315" s="37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8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</row>
    <row r="316" ht="15.75" customHeight="1">
      <c r="A316" s="23">
        <v>45937.0</v>
      </c>
      <c r="B316" s="24" t="s">
        <v>1660</v>
      </c>
      <c r="C316" s="25" t="s">
        <v>38</v>
      </c>
      <c r="D316" s="26" t="s">
        <v>211</v>
      </c>
      <c r="E316" s="67">
        <f t="shared" si="17"/>
        <v>45958</v>
      </c>
      <c r="F316" s="28">
        <v>45949.0</v>
      </c>
      <c r="G316" s="26" t="s">
        <v>39</v>
      </c>
      <c r="H316" s="26">
        <v>1.0</v>
      </c>
      <c r="I316" s="29"/>
      <c r="J316" s="30"/>
      <c r="K316" s="31" t="s">
        <v>33</v>
      </c>
      <c r="L316" s="32"/>
      <c r="M316" s="40" t="s">
        <v>1661</v>
      </c>
      <c r="N316" s="34" t="s">
        <v>1662</v>
      </c>
      <c r="O316" s="35" t="s">
        <v>1663</v>
      </c>
      <c r="P316" s="36" t="s">
        <v>281</v>
      </c>
      <c r="Q316" s="37"/>
      <c r="R316" s="37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8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</row>
    <row r="317" ht="15.75" customHeight="1">
      <c r="A317" s="23">
        <v>45936.0</v>
      </c>
      <c r="B317" s="24" t="s">
        <v>1664</v>
      </c>
      <c r="C317" s="25" t="s">
        <v>1665</v>
      </c>
      <c r="D317" s="26" t="s">
        <v>211</v>
      </c>
      <c r="E317" s="107">
        <v>45947.0</v>
      </c>
      <c r="F317" s="28">
        <v>45945.0</v>
      </c>
      <c r="G317" s="26" t="s">
        <v>55</v>
      </c>
      <c r="H317" s="26">
        <v>2.0</v>
      </c>
      <c r="I317" s="29"/>
      <c r="J317" s="30"/>
      <c r="K317" s="31" t="s">
        <v>33</v>
      </c>
      <c r="L317" s="32"/>
      <c r="M317" s="40" t="s">
        <v>1666</v>
      </c>
      <c r="N317" s="34" t="s">
        <v>1667</v>
      </c>
      <c r="O317" s="35" t="s">
        <v>1668</v>
      </c>
      <c r="P317" s="36" t="s">
        <v>1240</v>
      </c>
      <c r="Q317" s="36" t="s">
        <v>1289</v>
      </c>
      <c r="R317" s="36" t="s">
        <v>64</v>
      </c>
      <c r="S317" s="24" t="s">
        <v>268</v>
      </c>
      <c r="T317" s="32"/>
      <c r="U317" s="32"/>
      <c r="V317" s="32"/>
      <c r="W317" s="32"/>
      <c r="X317" s="32"/>
      <c r="Y317" s="32"/>
      <c r="Z317" s="32"/>
      <c r="AA317" s="32"/>
      <c r="AB317" s="32"/>
      <c r="AC317" s="38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</row>
    <row r="318" ht="15.75" customHeight="1">
      <c r="A318" s="23">
        <v>45936.0</v>
      </c>
      <c r="B318" s="24" t="s">
        <v>1669</v>
      </c>
      <c r="C318" s="25" t="s">
        <v>54</v>
      </c>
      <c r="D318" s="26" t="s">
        <v>211</v>
      </c>
      <c r="E318" s="67">
        <f t="shared" ref="E318:E321" si="18">A318+21</f>
        <v>45957</v>
      </c>
      <c r="F318" s="28">
        <v>45954.0</v>
      </c>
      <c r="G318" s="26" t="s">
        <v>32</v>
      </c>
      <c r="H318" s="26">
        <v>1.0</v>
      </c>
      <c r="I318" s="29"/>
      <c r="J318" s="30"/>
      <c r="K318" s="31" t="s">
        <v>33</v>
      </c>
      <c r="L318" s="32"/>
      <c r="M318" s="40" t="s">
        <v>1670</v>
      </c>
      <c r="N318" s="34" t="s">
        <v>1671</v>
      </c>
      <c r="O318" s="35" t="s">
        <v>1672</v>
      </c>
      <c r="P318" s="36" t="s">
        <v>166</v>
      </c>
      <c r="Q318" s="37"/>
      <c r="R318" s="37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8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</row>
    <row r="319" ht="15.75" customHeight="1">
      <c r="A319" s="23">
        <v>45936.0</v>
      </c>
      <c r="B319" s="24" t="s">
        <v>1673</v>
      </c>
      <c r="C319" s="25" t="s">
        <v>44</v>
      </c>
      <c r="D319" s="26" t="s">
        <v>190</v>
      </c>
      <c r="E319" s="67">
        <f t="shared" si="18"/>
        <v>45957</v>
      </c>
      <c r="F319" s="28">
        <v>45945.0</v>
      </c>
      <c r="G319" s="26" t="s">
        <v>32</v>
      </c>
      <c r="H319" s="26">
        <v>2.0</v>
      </c>
      <c r="I319" s="29"/>
      <c r="J319" s="30"/>
      <c r="K319" s="31" t="s">
        <v>33</v>
      </c>
      <c r="L319" s="70" t="s">
        <v>1674</v>
      </c>
      <c r="M319" s="40" t="s">
        <v>1675</v>
      </c>
      <c r="N319" s="34" t="s">
        <v>1676</v>
      </c>
      <c r="O319" s="35" t="s">
        <v>1677</v>
      </c>
      <c r="P319" s="36" t="s">
        <v>78</v>
      </c>
      <c r="Q319" s="37"/>
      <c r="R319" s="37"/>
      <c r="S319" s="24" t="s">
        <v>1678</v>
      </c>
      <c r="T319" s="24" t="s">
        <v>155</v>
      </c>
      <c r="U319" s="32"/>
      <c r="V319" s="32"/>
      <c r="W319" s="32"/>
      <c r="X319" s="24" t="s">
        <v>1679</v>
      </c>
      <c r="Y319" s="24" t="s">
        <v>1680</v>
      </c>
      <c r="Z319" s="24" t="s">
        <v>1681</v>
      </c>
      <c r="AA319" s="32"/>
      <c r="AB319" s="32"/>
      <c r="AC319" s="38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</row>
    <row r="320" ht="15.75" customHeight="1">
      <c r="A320" s="23">
        <v>45933.0</v>
      </c>
      <c r="B320" s="24" t="s">
        <v>1682</v>
      </c>
      <c r="C320" s="25" t="s">
        <v>175</v>
      </c>
      <c r="D320" s="26" t="s">
        <v>190</v>
      </c>
      <c r="E320" s="67">
        <f t="shared" si="18"/>
        <v>45954</v>
      </c>
      <c r="F320" s="28">
        <v>45960.0</v>
      </c>
      <c r="G320" s="26" t="s">
        <v>32</v>
      </c>
      <c r="H320" s="26">
        <v>3.0</v>
      </c>
      <c r="I320" s="25" t="s">
        <v>39</v>
      </c>
      <c r="J320" s="26">
        <v>3.0</v>
      </c>
      <c r="K320" s="31" t="s">
        <v>49</v>
      </c>
      <c r="L320" s="24" t="s">
        <v>1683</v>
      </c>
      <c r="M320" s="40" t="s">
        <v>1684</v>
      </c>
      <c r="N320" s="35" t="s">
        <v>1685</v>
      </c>
      <c r="O320" s="35" t="s">
        <v>1686</v>
      </c>
      <c r="P320" s="36" t="s">
        <v>78</v>
      </c>
      <c r="Q320" s="36" t="s">
        <v>194</v>
      </c>
      <c r="R320" s="37"/>
      <c r="S320" s="24" t="s">
        <v>200</v>
      </c>
      <c r="T320" s="24" t="s">
        <v>155</v>
      </c>
      <c r="U320" s="32"/>
      <c r="V320" s="32"/>
      <c r="W320" s="32"/>
      <c r="X320" s="24" t="s">
        <v>1687</v>
      </c>
      <c r="Y320" s="32"/>
      <c r="Z320" s="32"/>
      <c r="AA320" s="32"/>
      <c r="AB320" s="32"/>
      <c r="AC320" s="38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</row>
    <row r="321" ht="15.75" customHeight="1">
      <c r="A321" s="23">
        <v>45933.0</v>
      </c>
      <c r="B321" s="66" t="s">
        <v>1688</v>
      </c>
      <c r="C321" s="25" t="s">
        <v>84</v>
      </c>
      <c r="D321" s="26" t="s">
        <v>211</v>
      </c>
      <c r="E321" s="67">
        <f t="shared" si="18"/>
        <v>45954</v>
      </c>
      <c r="F321" s="28">
        <v>45947.0</v>
      </c>
      <c r="G321" s="26" t="s">
        <v>39</v>
      </c>
      <c r="H321" s="26">
        <v>1.0</v>
      </c>
      <c r="I321" s="29"/>
      <c r="J321" s="30"/>
      <c r="K321" s="31" t="s">
        <v>33</v>
      </c>
      <c r="L321" s="47" t="s">
        <v>1689</v>
      </c>
      <c r="M321" s="40" t="s">
        <v>1690</v>
      </c>
      <c r="N321" s="34" t="s">
        <v>1691</v>
      </c>
      <c r="O321" s="35" t="s">
        <v>1692</v>
      </c>
      <c r="P321" s="36" t="s">
        <v>281</v>
      </c>
      <c r="Q321" s="37"/>
      <c r="R321" s="37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8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</row>
    <row r="322" ht="15.75" customHeight="1">
      <c r="A322" s="23">
        <v>45932.0</v>
      </c>
      <c r="B322" s="24" t="s">
        <v>1693</v>
      </c>
      <c r="C322" s="25" t="s">
        <v>44</v>
      </c>
      <c r="D322" s="26" t="s">
        <v>190</v>
      </c>
      <c r="E322" s="86">
        <v>45988.0</v>
      </c>
      <c r="F322" s="28">
        <v>45989.0</v>
      </c>
      <c r="G322" s="26" t="s">
        <v>32</v>
      </c>
      <c r="H322" s="26">
        <v>1.0</v>
      </c>
      <c r="I322" s="29"/>
      <c r="J322" s="30"/>
      <c r="K322" s="31" t="s">
        <v>33</v>
      </c>
      <c r="L322" s="24" t="s">
        <v>1694</v>
      </c>
      <c r="M322" s="40" t="s">
        <v>1695</v>
      </c>
      <c r="N322" s="34" t="s">
        <v>1696</v>
      </c>
      <c r="O322" s="35" t="s">
        <v>1697</v>
      </c>
      <c r="P322" s="36" t="s">
        <v>62</v>
      </c>
      <c r="Q322" s="36" t="s">
        <v>63</v>
      </c>
      <c r="R322" s="36" t="s">
        <v>64</v>
      </c>
      <c r="S322" s="24" t="s">
        <v>352</v>
      </c>
      <c r="T322" s="24" t="s">
        <v>155</v>
      </c>
      <c r="U322" s="24" t="s">
        <v>150</v>
      </c>
      <c r="V322" s="32"/>
      <c r="W322" s="32"/>
      <c r="X322" s="32"/>
      <c r="Y322" s="32"/>
      <c r="Z322" s="32"/>
      <c r="AA322" s="32"/>
      <c r="AB322" s="32"/>
      <c r="AC322" s="38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</row>
    <row r="323" ht="15.75" customHeight="1">
      <c r="A323" s="23">
        <v>45932.0</v>
      </c>
      <c r="B323" s="24" t="s">
        <v>1698</v>
      </c>
      <c r="C323" s="25" t="s">
        <v>44</v>
      </c>
      <c r="D323" s="26" t="s">
        <v>211</v>
      </c>
      <c r="E323" s="108">
        <v>45948.0</v>
      </c>
      <c r="F323" s="28">
        <v>45946.0</v>
      </c>
      <c r="G323" s="26" t="s">
        <v>32</v>
      </c>
      <c r="H323" s="26">
        <v>1.0</v>
      </c>
      <c r="I323" s="29"/>
      <c r="J323" s="30"/>
      <c r="K323" s="31" t="s">
        <v>33</v>
      </c>
      <c r="L323" s="24" t="s">
        <v>1059</v>
      </c>
      <c r="M323" s="40" t="s">
        <v>1699</v>
      </c>
      <c r="N323" s="34" t="s">
        <v>1700</v>
      </c>
      <c r="O323" s="35" t="s">
        <v>1701</v>
      </c>
      <c r="P323" s="36" t="s">
        <v>1307</v>
      </c>
      <c r="Q323" s="37"/>
      <c r="R323" s="37"/>
      <c r="S323" s="24" t="s">
        <v>268</v>
      </c>
      <c r="T323" s="32"/>
      <c r="U323" s="32"/>
      <c r="V323" s="32"/>
      <c r="W323" s="32"/>
      <c r="X323" s="32"/>
      <c r="Y323" s="32"/>
      <c r="Z323" s="32"/>
      <c r="AA323" s="32"/>
      <c r="AB323" s="32"/>
      <c r="AC323" s="38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</row>
    <row r="324" ht="15.75" customHeight="1">
      <c r="A324" s="23">
        <v>45932.0</v>
      </c>
      <c r="B324" s="44" t="s">
        <v>1702</v>
      </c>
      <c r="C324" s="25" t="s">
        <v>54</v>
      </c>
      <c r="D324" s="26" t="s">
        <v>211</v>
      </c>
      <c r="E324" s="67">
        <f t="shared" ref="E324:E338" si="19">A324+21</f>
        <v>45953</v>
      </c>
      <c r="F324" s="28">
        <v>45946.0</v>
      </c>
      <c r="G324" s="26" t="s">
        <v>55</v>
      </c>
      <c r="H324" s="26">
        <v>1.0</v>
      </c>
      <c r="I324" s="29"/>
      <c r="J324" s="30"/>
      <c r="K324" s="31" t="s">
        <v>157</v>
      </c>
      <c r="L324" s="47" t="s">
        <v>1703</v>
      </c>
      <c r="M324" s="40" t="s">
        <v>1704</v>
      </c>
      <c r="N324" s="34" t="s">
        <v>1705</v>
      </c>
      <c r="O324" s="35" t="s">
        <v>1706</v>
      </c>
      <c r="P324" s="36" t="s">
        <v>166</v>
      </c>
      <c r="Q324" s="37"/>
      <c r="R324" s="37"/>
      <c r="S324" s="24" t="s">
        <v>215</v>
      </c>
      <c r="T324" s="32"/>
      <c r="U324" s="32"/>
      <c r="V324" s="32"/>
      <c r="W324" s="32"/>
      <c r="X324" s="32"/>
      <c r="Y324" s="32"/>
      <c r="Z324" s="32"/>
      <c r="AA324" s="32"/>
      <c r="AB324" s="32"/>
      <c r="AC324" s="38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</row>
    <row r="325" ht="15.75" customHeight="1">
      <c r="A325" s="23">
        <v>45931.0</v>
      </c>
      <c r="B325" s="24" t="s">
        <v>1707</v>
      </c>
      <c r="C325" s="25" t="s">
        <v>44</v>
      </c>
      <c r="D325" s="26" t="s">
        <v>211</v>
      </c>
      <c r="E325" s="67">
        <f t="shared" si="19"/>
        <v>45952</v>
      </c>
      <c r="F325" s="28">
        <v>45946.0</v>
      </c>
      <c r="G325" s="26" t="s">
        <v>32</v>
      </c>
      <c r="H325" s="26">
        <v>1.0</v>
      </c>
      <c r="I325" s="29"/>
      <c r="J325" s="30"/>
      <c r="K325" s="31" t="s">
        <v>33</v>
      </c>
      <c r="L325" s="47" t="s">
        <v>145</v>
      </c>
      <c r="M325" s="40" t="s">
        <v>1708</v>
      </c>
      <c r="N325" s="35" t="s">
        <v>1709</v>
      </c>
      <c r="O325" s="35" t="s">
        <v>1710</v>
      </c>
      <c r="P325" s="36" t="s">
        <v>36</v>
      </c>
      <c r="Q325" s="37"/>
      <c r="R325" s="37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8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</row>
    <row r="326" ht="15.75" customHeight="1">
      <c r="A326" s="23">
        <v>45931.0</v>
      </c>
      <c r="B326" s="24" t="s">
        <v>1711</v>
      </c>
      <c r="C326" s="25" t="s">
        <v>44</v>
      </c>
      <c r="D326" s="26" t="s">
        <v>211</v>
      </c>
      <c r="E326" s="67">
        <f t="shared" si="19"/>
        <v>45952</v>
      </c>
      <c r="F326" s="28">
        <v>45946.0</v>
      </c>
      <c r="G326" s="26" t="s">
        <v>32</v>
      </c>
      <c r="H326" s="26">
        <v>3.0</v>
      </c>
      <c r="I326" s="29"/>
      <c r="J326" s="30"/>
      <c r="K326" s="31" t="s">
        <v>33</v>
      </c>
      <c r="L326" s="47" t="s">
        <v>145</v>
      </c>
      <c r="M326" s="40" t="s">
        <v>1712</v>
      </c>
      <c r="N326" s="35" t="s">
        <v>1709</v>
      </c>
      <c r="O326" s="35" t="s">
        <v>1713</v>
      </c>
      <c r="P326" s="36" t="s">
        <v>36</v>
      </c>
      <c r="Q326" s="37"/>
      <c r="R326" s="37"/>
      <c r="S326" s="24"/>
      <c r="T326" s="32"/>
      <c r="U326" s="32"/>
      <c r="V326" s="32"/>
      <c r="W326" s="32"/>
      <c r="X326" s="24" t="s">
        <v>755</v>
      </c>
      <c r="Y326" s="32"/>
      <c r="Z326" s="32"/>
      <c r="AA326" s="32"/>
      <c r="AB326" s="32"/>
      <c r="AC326" s="38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</row>
    <row r="327" ht="15.75" customHeight="1">
      <c r="A327" s="23">
        <v>45931.0</v>
      </c>
      <c r="B327" s="57" t="s">
        <v>1714</v>
      </c>
      <c r="C327" s="25" t="s">
        <v>44</v>
      </c>
      <c r="D327" s="26" t="s">
        <v>85</v>
      </c>
      <c r="E327" s="67">
        <f t="shared" si="19"/>
        <v>45952</v>
      </c>
      <c r="F327" s="28"/>
      <c r="G327" s="26" t="s">
        <v>157</v>
      </c>
      <c r="H327" s="26">
        <v>1.0</v>
      </c>
      <c r="I327" s="29"/>
      <c r="J327" s="30"/>
      <c r="K327" s="31" t="s">
        <v>33</v>
      </c>
      <c r="L327" s="24" t="s">
        <v>1715</v>
      </c>
      <c r="M327" s="40" t="s">
        <v>1716</v>
      </c>
      <c r="N327" s="35" t="s">
        <v>1717</v>
      </c>
      <c r="O327" s="35" t="s">
        <v>1718</v>
      </c>
      <c r="P327" s="36" t="s">
        <v>1240</v>
      </c>
      <c r="Q327" s="36" t="s">
        <v>1289</v>
      </c>
      <c r="R327" s="36" t="s">
        <v>64</v>
      </c>
      <c r="S327" s="24" t="s">
        <v>154</v>
      </c>
      <c r="T327" s="32"/>
      <c r="U327" s="32"/>
      <c r="V327" s="32"/>
      <c r="W327" s="32"/>
      <c r="X327" s="24" t="s">
        <v>556</v>
      </c>
      <c r="Y327" s="32"/>
      <c r="Z327" s="32"/>
      <c r="AA327" s="32"/>
      <c r="AB327" s="32"/>
      <c r="AC327" s="38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</row>
    <row r="328" ht="15.75" customHeight="1">
      <c r="A328" s="23">
        <v>45931.0</v>
      </c>
      <c r="B328" s="46" t="s">
        <v>1714</v>
      </c>
      <c r="C328" s="25" t="s">
        <v>44</v>
      </c>
      <c r="D328" s="26" t="s">
        <v>211</v>
      </c>
      <c r="E328" s="67">
        <f t="shared" si="19"/>
        <v>45952</v>
      </c>
      <c r="F328" s="28">
        <v>45940.0</v>
      </c>
      <c r="G328" s="26" t="s">
        <v>32</v>
      </c>
      <c r="H328" s="26">
        <v>2.0</v>
      </c>
      <c r="I328" s="29"/>
      <c r="J328" s="30"/>
      <c r="K328" s="31" t="s">
        <v>33</v>
      </c>
      <c r="L328" s="24" t="s">
        <v>1719</v>
      </c>
      <c r="M328" s="40" t="s">
        <v>1716</v>
      </c>
      <c r="N328" s="35" t="s">
        <v>1717</v>
      </c>
      <c r="O328" s="35" t="s">
        <v>1718</v>
      </c>
      <c r="P328" s="36" t="s">
        <v>1240</v>
      </c>
      <c r="Q328" s="36" t="s">
        <v>1289</v>
      </c>
      <c r="R328" s="36" t="s">
        <v>64</v>
      </c>
      <c r="S328" s="24" t="s">
        <v>154</v>
      </c>
      <c r="T328" s="32"/>
      <c r="U328" s="32"/>
      <c r="V328" s="32"/>
      <c r="W328" s="32"/>
      <c r="X328" s="24" t="s">
        <v>556</v>
      </c>
      <c r="Y328" s="32"/>
      <c r="Z328" s="32"/>
      <c r="AA328" s="32"/>
      <c r="AB328" s="32"/>
      <c r="AC328" s="38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</row>
    <row r="329" ht="15.75" customHeight="1">
      <c r="A329" s="23">
        <v>45931.0</v>
      </c>
      <c r="B329" s="24" t="s">
        <v>1720</v>
      </c>
      <c r="C329" s="25" t="s">
        <v>84</v>
      </c>
      <c r="D329" s="26" t="s">
        <v>190</v>
      </c>
      <c r="E329" s="67">
        <f t="shared" si="19"/>
        <v>45952</v>
      </c>
      <c r="F329" s="28">
        <v>45945.0</v>
      </c>
      <c r="G329" s="26" t="s">
        <v>39</v>
      </c>
      <c r="H329" s="26">
        <v>2.0</v>
      </c>
      <c r="I329" s="29"/>
      <c r="J329" s="30"/>
      <c r="K329" s="31" t="s">
        <v>33</v>
      </c>
      <c r="L329" s="47" t="s">
        <v>1721</v>
      </c>
      <c r="M329" s="40" t="s">
        <v>1722</v>
      </c>
      <c r="N329" s="34" t="s">
        <v>1723</v>
      </c>
      <c r="O329" s="35" t="s">
        <v>1724</v>
      </c>
      <c r="P329" s="36" t="s">
        <v>229</v>
      </c>
      <c r="Q329" s="37"/>
      <c r="R329" s="37"/>
      <c r="S329" s="32"/>
      <c r="T329" s="32"/>
      <c r="U329" s="32"/>
      <c r="V329" s="32"/>
      <c r="W329" s="32"/>
      <c r="X329" s="24" t="s">
        <v>382</v>
      </c>
      <c r="Y329" s="32"/>
      <c r="Z329" s="32"/>
      <c r="AA329" s="32"/>
      <c r="AB329" s="32"/>
      <c r="AC329" s="38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</row>
    <row r="330" ht="15.75" customHeight="1">
      <c r="A330" s="23">
        <v>45931.0</v>
      </c>
      <c r="B330" s="24" t="s">
        <v>1725</v>
      </c>
      <c r="C330" s="25" t="s">
        <v>210</v>
      </c>
      <c r="D330" s="26" t="s">
        <v>211</v>
      </c>
      <c r="E330" s="67">
        <f t="shared" si="19"/>
        <v>45952</v>
      </c>
      <c r="F330" s="28">
        <v>45937.0</v>
      </c>
      <c r="G330" s="26" t="s">
        <v>55</v>
      </c>
      <c r="H330" s="26">
        <v>2.0</v>
      </c>
      <c r="I330" s="29"/>
      <c r="J330" s="30"/>
      <c r="K330" s="31" t="s">
        <v>33</v>
      </c>
      <c r="L330" s="24" t="s">
        <v>1726</v>
      </c>
      <c r="M330" s="40" t="s">
        <v>1727</v>
      </c>
      <c r="N330" s="34" t="s">
        <v>1728</v>
      </c>
      <c r="O330" s="35" t="s">
        <v>1729</v>
      </c>
      <c r="P330" s="36" t="s">
        <v>1240</v>
      </c>
      <c r="Q330" s="37"/>
      <c r="R330" s="37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8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</row>
    <row r="331" ht="15.75" customHeight="1">
      <c r="A331" s="23">
        <v>45931.0</v>
      </c>
      <c r="B331" s="24" t="s">
        <v>1730</v>
      </c>
      <c r="C331" s="25" t="s">
        <v>54</v>
      </c>
      <c r="D331" s="26" t="s">
        <v>211</v>
      </c>
      <c r="E331" s="27">
        <f t="shared" si="19"/>
        <v>45952</v>
      </c>
      <c r="F331" s="28">
        <v>45952.0</v>
      </c>
      <c r="G331" s="30" t="s">
        <v>39</v>
      </c>
      <c r="H331" s="30">
        <v>1.0</v>
      </c>
      <c r="I331" s="59"/>
      <c r="J331" s="50"/>
      <c r="K331" s="30" t="s">
        <v>49</v>
      </c>
      <c r="L331" s="88" t="s">
        <v>1731</v>
      </c>
      <c r="M331" s="109" t="s">
        <v>1732</v>
      </c>
      <c r="N331" s="52" t="s">
        <v>1733</v>
      </c>
      <c r="O331" s="52" t="s">
        <v>1734</v>
      </c>
      <c r="P331" s="52" t="s">
        <v>234</v>
      </c>
      <c r="Q331" s="53"/>
      <c r="R331" s="53"/>
      <c r="S331" s="32" t="s">
        <v>526</v>
      </c>
      <c r="T331" s="53"/>
      <c r="U331" s="53"/>
      <c r="V331" s="53"/>
      <c r="W331" s="53"/>
      <c r="X331" s="32" t="s">
        <v>1735</v>
      </c>
      <c r="Y331" s="53"/>
      <c r="Z331" s="53"/>
      <c r="AA331" s="53"/>
      <c r="AB331" s="53"/>
      <c r="AC331" s="55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</row>
    <row r="332" ht="15.75" customHeight="1">
      <c r="A332" s="23">
        <v>45930.0</v>
      </c>
      <c r="B332" s="66" t="s">
        <v>1736</v>
      </c>
      <c r="C332" s="25" t="s">
        <v>84</v>
      </c>
      <c r="D332" s="26" t="s">
        <v>190</v>
      </c>
      <c r="E332" s="67">
        <f t="shared" si="19"/>
        <v>45951</v>
      </c>
      <c r="F332" s="28">
        <v>45932.0</v>
      </c>
      <c r="G332" s="26" t="s">
        <v>39</v>
      </c>
      <c r="H332" s="26">
        <v>2.0</v>
      </c>
      <c r="I332" s="29"/>
      <c r="J332" s="30"/>
      <c r="K332" s="31" t="s">
        <v>33</v>
      </c>
      <c r="L332" s="47" t="s">
        <v>298</v>
      </c>
      <c r="M332" s="40" t="s">
        <v>1737</v>
      </c>
      <c r="N332" s="35" t="s">
        <v>1738</v>
      </c>
      <c r="O332" s="35" t="s">
        <v>1739</v>
      </c>
      <c r="P332" s="36" t="s">
        <v>281</v>
      </c>
      <c r="Q332" s="37"/>
      <c r="R332" s="37"/>
      <c r="S332" s="24" t="s">
        <v>376</v>
      </c>
      <c r="T332" s="32"/>
      <c r="U332" s="32"/>
      <c r="V332" s="32"/>
      <c r="W332" s="32"/>
      <c r="X332" s="32"/>
      <c r="Y332" s="32"/>
      <c r="Z332" s="32"/>
      <c r="AA332" s="32"/>
      <c r="AB332" s="32"/>
      <c r="AC332" s="38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</row>
    <row r="333" ht="15.75" customHeight="1">
      <c r="A333" s="23">
        <v>45930.0</v>
      </c>
      <c r="B333" s="66" t="s">
        <v>1740</v>
      </c>
      <c r="C333" s="25" t="s">
        <v>210</v>
      </c>
      <c r="D333" s="26" t="s">
        <v>211</v>
      </c>
      <c r="E333" s="67">
        <f t="shared" si="19"/>
        <v>45951</v>
      </c>
      <c r="F333" s="28">
        <v>45946.0</v>
      </c>
      <c r="G333" s="26" t="s">
        <v>55</v>
      </c>
      <c r="H333" s="26">
        <v>1.0</v>
      </c>
      <c r="I333" s="29"/>
      <c r="J333" s="30"/>
      <c r="K333" s="31" t="s">
        <v>33</v>
      </c>
      <c r="L333" s="47" t="s">
        <v>1741</v>
      </c>
      <c r="M333" s="40" t="s">
        <v>1742</v>
      </c>
      <c r="N333" s="34" t="s">
        <v>1743</v>
      </c>
      <c r="O333" s="35" t="s">
        <v>1744</v>
      </c>
      <c r="P333" s="36" t="s">
        <v>1240</v>
      </c>
      <c r="Q333" s="79"/>
      <c r="R333" s="79"/>
      <c r="S333" s="32"/>
      <c r="T333" s="32"/>
      <c r="U333" s="32"/>
      <c r="V333" s="32"/>
      <c r="W333" s="32"/>
      <c r="X333" s="24" t="s">
        <v>955</v>
      </c>
      <c r="Y333" s="77" t="s">
        <v>161</v>
      </c>
      <c r="Z333" s="32"/>
      <c r="AA333" s="32"/>
      <c r="AB333" s="32"/>
      <c r="AC333" s="38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</row>
    <row r="334" ht="15.75" customHeight="1">
      <c r="A334" s="23">
        <v>45930.0</v>
      </c>
      <c r="B334" s="24" t="s">
        <v>1745</v>
      </c>
      <c r="C334" s="25" t="s">
        <v>38</v>
      </c>
      <c r="D334" s="26" t="s">
        <v>190</v>
      </c>
      <c r="E334" s="67">
        <f t="shared" si="19"/>
        <v>45951</v>
      </c>
      <c r="F334" s="28">
        <v>45932.0</v>
      </c>
      <c r="G334" s="26" t="s">
        <v>39</v>
      </c>
      <c r="H334" s="26">
        <v>1.0</v>
      </c>
      <c r="I334" s="29"/>
      <c r="J334" s="30"/>
      <c r="K334" s="31" t="s">
        <v>33</v>
      </c>
      <c r="L334" s="47" t="s">
        <v>145</v>
      </c>
      <c r="M334" s="40" t="s">
        <v>1746</v>
      </c>
      <c r="N334" s="34" t="s">
        <v>1747</v>
      </c>
      <c r="O334" s="35" t="s">
        <v>1748</v>
      </c>
      <c r="P334" s="36" t="s">
        <v>47</v>
      </c>
      <c r="Q334" s="37"/>
      <c r="R334" s="37"/>
      <c r="S334" s="24" t="s">
        <v>665</v>
      </c>
      <c r="T334" s="24" t="s">
        <v>398</v>
      </c>
      <c r="U334" s="32"/>
      <c r="V334" s="32"/>
      <c r="W334" s="32"/>
      <c r="X334" s="32"/>
      <c r="Y334" s="32"/>
      <c r="Z334" s="32"/>
      <c r="AA334" s="32"/>
      <c r="AB334" s="32"/>
      <c r="AC334" s="38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</row>
    <row r="335" ht="15.75" customHeight="1">
      <c r="A335" s="23">
        <v>45930.0</v>
      </c>
      <c r="B335" s="66" t="s">
        <v>1749</v>
      </c>
      <c r="C335" s="25" t="s">
        <v>38</v>
      </c>
      <c r="D335" s="26" t="s">
        <v>190</v>
      </c>
      <c r="E335" s="67">
        <f t="shared" si="19"/>
        <v>45951</v>
      </c>
      <c r="F335" s="28">
        <v>45932.0</v>
      </c>
      <c r="G335" s="26" t="s">
        <v>39</v>
      </c>
      <c r="H335" s="26">
        <v>1.0</v>
      </c>
      <c r="I335" s="29"/>
      <c r="J335" s="30"/>
      <c r="K335" s="31" t="s">
        <v>33</v>
      </c>
      <c r="L335" s="32"/>
      <c r="M335" s="40" t="s">
        <v>1750</v>
      </c>
      <c r="N335" s="35" t="s">
        <v>1751</v>
      </c>
      <c r="O335" s="35" t="s">
        <v>1752</v>
      </c>
      <c r="P335" s="36" t="s">
        <v>1753</v>
      </c>
      <c r="Q335" s="37"/>
      <c r="R335" s="37"/>
      <c r="S335" s="24" t="s">
        <v>195</v>
      </c>
      <c r="T335" s="32"/>
      <c r="U335" s="32"/>
      <c r="V335" s="32"/>
      <c r="W335" s="32"/>
      <c r="X335" s="32"/>
      <c r="Y335" s="32"/>
      <c r="Z335" s="32"/>
      <c r="AA335" s="32"/>
      <c r="AB335" s="32"/>
      <c r="AC335" s="38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</row>
    <row r="336" ht="15.75" customHeight="1">
      <c r="A336" s="23">
        <v>45929.0</v>
      </c>
      <c r="B336" s="24" t="s">
        <v>1754</v>
      </c>
      <c r="C336" s="25" t="s">
        <v>210</v>
      </c>
      <c r="D336" s="26" t="s">
        <v>190</v>
      </c>
      <c r="E336" s="67">
        <f t="shared" si="19"/>
        <v>45950</v>
      </c>
      <c r="F336" s="28">
        <v>45937.0</v>
      </c>
      <c r="G336" s="26" t="s">
        <v>55</v>
      </c>
      <c r="H336" s="26">
        <v>1.0</v>
      </c>
      <c r="I336" s="29"/>
      <c r="J336" s="30"/>
      <c r="K336" s="31" t="s">
        <v>157</v>
      </c>
      <c r="L336" s="47" t="s">
        <v>298</v>
      </c>
      <c r="M336" s="40" t="s">
        <v>1755</v>
      </c>
      <c r="N336" s="34" t="s">
        <v>1756</v>
      </c>
      <c r="O336" s="35" t="s">
        <v>1757</v>
      </c>
      <c r="P336" s="36" t="s">
        <v>1240</v>
      </c>
      <c r="Q336" s="36" t="s">
        <v>1289</v>
      </c>
      <c r="R336" s="36" t="s">
        <v>64</v>
      </c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8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</row>
    <row r="337" ht="15.75" customHeight="1">
      <c r="A337" s="23">
        <v>45926.0</v>
      </c>
      <c r="B337" s="46" t="s">
        <v>1758</v>
      </c>
      <c r="C337" s="25" t="s">
        <v>175</v>
      </c>
      <c r="D337" s="26" t="s">
        <v>190</v>
      </c>
      <c r="E337" s="67">
        <f t="shared" si="19"/>
        <v>45947</v>
      </c>
      <c r="F337" s="28">
        <v>45919.0</v>
      </c>
      <c r="G337" s="26" t="s">
        <v>32</v>
      </c>
      <c r="H337" s="26">
        <v>1.0</v>
      </c>
      <c r="I337" s="29"/>
      <c r="J337" s="30"/>
      <c r="K337" s="31" t="s">
        <v>33</v>
      </c>
      <c r="L337" s="24" t="s">
        <v>1759</v>
      </c>
      <c r="M337" s="40" t="s">
        <v>1760</v>
      </c>
      <c r="N337" s="35" t="s">
        <v>1761</v>
      </c>
      <c r="O337" s="35" t="s">
        <v>1762</v>
      </c>
      <c r="P337" s="69" t="s">
        <v>78</v>
      </c>
      <c r="Q337" s="110" t="s">
        <v>194</v>
      </c>
      <c r="R337" s="52" t="s">
        <v>1763</v>
      </c>
      <c r="S337" s="24" t="s">
        <v>912</v>
      </c>
      <c r="T337" s="24" t="s">
        <v>195</v>
      </c>
      <c r="U337" s="32"/>
      <c r="V337" s="32"/>
      <c r="W337" s="32"/>
      <c r="X337" s="24"/>
      <c r="Y337" s="24"/>
      <c r="Z337" s="32"/>
      <c r="AA337" s="32"/>
      <c r="AB337" s="32"/>
      <c r="AC337" s="38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</row>
    <row r="338" ht="15.75" customHeight="1">
      <c r="A338" s="23">
        <v>45926.0</v>
      </c>
      <c r="B338" s="24" t="s">
        <v>1764</v>
      </c>
      <c r="C338" s="25" t="s">
        <v>84</v>
      </c>
      <c r="D338" s="26" t="s">
        <v>110</v>
      </c>
      <c r="E338" s="67">
        <f t="shared" si="19"/>
        <v>45947</v>
      </c>
      <c r="F338" s="28"/>
      <c r="G338" s="26" t="s">
        <v>39</v>
      </c>
      <c r="H338" s="26">
        <v>1.0</v>
      </c>
      <c r="I338" s="29"/>
      <c r="J338" s="30"/>
      <c r="K338" s="31" t="s">
        <v>33</v>
      </c>
      <c r="L338" s="32"/>
      <c r="M338" s="40" t="s">
        <v>1765</v>
      </c>
      <c r="N338" s="34" t="s">
        <v>1766</v>
      </c>
      <c r="O338" s="35" t="s">
        <v>1767</v>
      </c>
      <c r="P338" s="36" t="s">
        <v>229</v>
      </c>
      <c r="Q338" s="37"/>
      <c r="R338" s="37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8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</row>
    <row r="339" ht="15.75" customHeight="1">
      <c r="A339" s="23">
        <v>45926.0</v>
      </c>
      <c r="B339" s="66" t="s">
        <v>1768</v>
      </c>
      <c r="C339" s="25" t="s">
        <v>84</v>
      </c>
      <c r="D339" s="26" t="s">
        <v>190</v>
      </c>
      <c r="E339" s="67">
        <v>45929.0</v>
      </c>
      <c r="F339" s="28">
        <v>45931.0</v>
      </c>
      <c r="G339" s="26" t="s">
        <v>39</v>
      </c>
      <c r="H339" s="26">
        <v>1.0</v>
      </c>
      <c r="I339" s="29"/>
      <c r="J339" s="30"/>
      <c r="K339" s="31" t="s">
        <v>49</v>
      </c>
      <c r="L339" s="47" t="s">
        <v>145</v>
      </c>
      <c r="M339" s="40" t="s">
        <v>1769</v>
      </c>
      <c r="N339" s="34" t="s">
        <v>1770</v>
      </c>
      <c r="O339" s="35" t="s">
        <v>1771</v>
      </c>
      <c r="P339" s="36" t="s">
        <v>229</v>
      </c>
      <c r="Q339" s="37"/>
      <c r="R339" s="37"/>
      <c r="S339" s="24" t="s">
        <v>150</v>
      </c>
      <c r="T339" s="32"/>
      <c r="U339" s="32"/>
      <c r="V339" s="32"/>
      <c r="W339" s="32"/>
      <c r="X339" s="24" t="s">
        <v>1772</v>
      </c>
      <c r="Y339" s="32"/>
      <c r="Z339" s="32"/>
      <c r="AA339" s="32"/>
      <c r="AB339" s="32"/>
      <c r="AC339" s="38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</row>
    <row r="340" ht="15.75" customHeight="1">
      <c r="A340" s="23">
        <v>45926.0</v>
      </c>
      <c r="B340" s="24" t="s">
        <v>1773</v>
      </c>
      <c r="C340" s="25" t="s">
        <v>263</v>
      </c>
      <c r="D340" s="26" t="s">
        <v>211</v>
      </c>
      <c r="E340" s="67">
        <f t="shared" ref="E340:E367" si="20">A340+21</f>
        <v>45947</v>
      </c>
      <c r="F340" s="28">
        <v>45946.0</v>
      </c>
      <c r="G340" s="26" t="s">
        <v>32</v>
      </c>
      <c r="H340" s="26">
        <v>1.0</v>
      </c>
      <c r="I340" s="29"/>
      <c r="J340" s="30"/>
      <c r="K340" s="31" t="s">
        <v>33</v>
      </c>
      <c r="L340" s="32"/>
      <c r="M340" s="40" t="s">
        <v>1774</v>
      </c>
      <c r="N340" s="35" t="s">
        <v>1775</v>
      </c>
      <c r="O340" s="35" t="s">
        <v>1776</v>
      </c>
      <c r="P340" s="36" t="s">
        <v>1777</v>
      </c>
      <c r="Q340" s="36" t="s">
        <v>1778</v>
      </c>
      <c r="R340" s="36" t="s">
        <v>1779</v>
      </c>
      <c r="S340" s="24" t="s">
        <v>1494</v>
      </c>
      <c r="T340" s="32"/>
      <c r="U340" s="32"/>
      <c r="V340" s="32"/>
      <c r="W340" s="32"/>
      <c r="X340" s="24" t="s">
        <v>149</v>
      </c>
      <c r="Y340" s="32"/>
      <c r="Z340" s="32"/>
      <c r="AA340" s="32"/>
      <c r="AB340" s="32"/>
      <c r="AC340" s="38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</row>
    <row r="341" ht="15.75" customHeight="1">
      <c r="A341" s="23">
        <v>45926.0</v>
      </c>
      <c r="B341" s="24" t="s">
        <v>1780</v>
      </c>
      <c r="C341" s="25" t="s">
        <v>38</v>
      </c>
      <c r="D341" s="26" t="s">
        <v>211</v>
      </c>
      <c r="E341" s="67">
        <f t="shared" si="20"/>
        <v>45947</v>
      </c>
      <c r="F341" s="28">
        <v>45945.0</v>
      </c>
      <c r="G341" s="26" t="s">
        <v>39</v>
      </c>
      <c r="H341" s="26">
        <v>8.0</v>
      </c>
      <c r="I341" s="29"/>
      <c r="J341" s="30"/>
      <c r="K341" s="31" t="s">
        <v>49</v>
      </c>
      <c r="L341" s="88" t="s">
        <v>1781</v>
      </c>
      <c r="M341" s="40" t="s">
        <v>1782</v>
      </c>
      <c r="N341" s="34" t="s">
        <v>1783</v>
      </c>
      <c r="O341" s="35" t="s">
        <v>1784</v>
      </c>
      <c r="P341" s="52" t="s">
        <v>281</v>
      </c>
      <c r="Q341" s="52" t="s">
        <v>207</v>
      </c>
      <c r="R341" s="37"/>
      <c r="S341" s="24" t="s">
        <v>1021</v>
      </c>
      <c r="T341" s="32"/>
      <c r="U341" s="32"/>
      <c r="V341" s="32"/>
      <c r="W341" s="32"/>
      <c r="X341" s="24" t="s">
        <v>1785</v>
      </c>
      <c r="Y341" s="32"/>
      <c r="Z341" s="32"/>
      <c r="AA341" s="32"/>
      <c r="AB341" s="32"/>
      <c r="AC341" s="38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</row>
    <row r="342" ht="15.75" customHeight="1">
      <c r="A342" s="23">
        <v>45925.0</v>
      </c>
      <c r="B342" s="66" t="s">
        <v>1786</v>
      </c>
      <c r="C342" s="25" t="s">
        <v>210</v>
      </c>
      <c r="D342" s="26" t="s">
        <v>190</v>
      </c>
      <c r="E342" s="67">
        <f t="shared" si="20"/>
        <v>45946</v>
      </c>
      <c r="F342" s="28">
        <v>45932.0</v>
      </c>
      <c r="G342" s="26" t="s">
        <v>55</v>
      </c>
      <c r="H342" s="26">
        <v>1.0</v>
      </c>
      <c r="I342" s="29"/>
      <c r="J342" s="30"/>
      <c r="K342" s="31" t="s">
        <v>33</v>
      </c>
      <c r="L342" s="47" t="s">
        <v>1787</v>
      </c>
      <c r="M342" s="40" t="s">
        <v>1788</v>
      </c>
      <c r="N342" s="34" t="s">
        <v>1789</v>
      </c>
      <c r="O342" s="35" t="s">
        <v>1790</v>
      </c>
      <c r="P342" s="36" t="s">
        <v>1240</v>
      </c>
      <c r="Q342" s="37"/>
      <c r="R342" s="37"/>
      <c r="S342" s="32"/>
      <c r="T342" s="32"/>
      <c r="U342" s="32"/>
      <c r="V342" s="32"/>
      <c r="W342" s="32"/>
      <c r="X342" s="24" t="s">
        <v>749</v>
      </c>
      <c r="Y342" s="32"/>
      <c r="Z342" s="32"/>
      <c r="AA342" s="32"/>
      <c r="AB342" s="32"/>
      <c r="AC342" s="38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</row>
    <row r="343" ht="15.75" customHeight="1">
      <c r="A343" s="23">
        <v>45925.0</v>
      </c>
      <c r="B343" s="66" t="s">
        <v>1791</v>
      </c>
      <c r="C343" s="25" t="s">
        <v>84</v>
      </c>
      <c r="D343" s="26" t="s">
        <v>190</v>
      </c>
      <c r="E343" s="67">
        <f t="shared" si="20"/>
        <v>45946</v>
      </c>
      <c r="F343" s="28">
        <v>45932.0</v>
      </c>
      <c r="G343" s="26" t="s">
        <v>39</v>
      </c>
      <c r="H343" s="26">
        <v>1.0</v>
      </c>
      <c r="I343" s="29"/>
      <c r="J343" s="30"/>
      <c r="K343" s="31" t="s">
        <v>157</v>
      </c>
      <c r="L343" s="32"/>
      <c r="M343" s="40" t="s">
        <v>1792</v>
      </c>
      <c r="N343" s="34" t="s">
        <v>1793</v>
      </c>
      <c r="O343" s="35" t="s">
        <v>1794</v>
      </c>
      <c r="P343" s="36" t="s">
        <v>275</v>
      </c>
      <c r="Q343" s="36" t="s">
        <v>1795</v>
      </c>
      <c r="R343" s="37"/>
      <c r="S343" s="24" t="s">
        <v>1796</v>
      </c>
      <c r="T343" s="24" t="s">
        <v>1494</v>
      </c>
      <c r="U343" s="32"/>
      <c r="V343" s="32"/>
      <c r="W343" s="32"/>
      <c r="X343" s="32"/>
      <c r="Y343" s="32"/>
      <c r="Z343" s="32"/>
      <c r="AA343" s="32"/>
      <c r="AB343" s="32"/>
      <c r="AC343" s="38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</row>
    <row r="344" ht="15.75" customHeight="1">
      <c r="A344" s="23">
        <v>45925.0</v>
      </c>
      <c r="B344" s="66" t="s">
        <v>1797</v>
      </c>
      <c r="C344" s="25" t="s">
        <v>180</v>
      </c>
      <c r="D344" s="26" t="s">
        <v>211</v>
      </c>
      <c r="E344" s="67">
        <f t="shared" si="20"/>
        <v>45946</v>
      </c>
      <c r="F344" s="28">
        <v>45937.0</v>
      </c>
      <c r="G344" s="26" t="s">
        <v>55</v>
      </c>
      <c r="H344" s="26">
        <v>1.0</v>
      </c>
      <c r="I344" s="29"/>
      <c r="J344" s="30"/>
      <c r="K344" s="31" t="s">
        <v>33</v>
      </c>
      <c r="L344" s="47" t="s">
        <v>298</v>
      </c>
      <c r="M344" s="40" t="s">
        <v>1798</v>
      </c>
      <c r="N344" s="34" t="s">
        <v>1799</v>
      </c>
      <c r="O344" s="35" t="s">
        <v>1800</v>
      </c>
      <c r="P344" s="36" t="s">
        <v>78</v>
      </c>
      <c r="Q344" s="36" t="s">
        <v>194</v>
      </c>
      <c r="R344" s="37"/>
      <c r="S344" s="24" t="s">
        <v>149</v>
      </c>
      <c r="T344" s="32"/>
      <c r="U344" s="32"/>
      <c r="V344" s="32"/>
      <c r="W344" s="32"/>
      <c r="X344" s="32"/>
      <c r="Y344" s="32"/>
      <c r="Z344" s="32"/>
      <c r="AA344" s="32"/>
      <c r="AB344" s="32"/>
      <c r="AC344" s="38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</row>
    <row r="345" ht="15.75" customHeight="1">
      <c r="A345" s="23">
        <v>45924.0</v>
      </c>
      <c r="B345" s="46" t="s">
        <v>1801</v>
      </c>
      <c r="C345" s="25" t="s">
        <v>175</v>
      </c>
      <c r="D345" s="26" t="s">
        <v>190</v>
      </c>
      <c r="E345" s="67">
        <f t="shared" si="20"/>
        <v>45945</v>
      </c>
      <c r="F345" s="28">
        <v>45946.0</v>
      </c>
      <c r="G345" s="26" t="s">
        <v>32</v>
      </c>
      <c r="H345" s="26">
        <v>1.0</v>
      </c>
      <c r="I345" s="29"/>
      <c r="J345" s="30"/>
      <c r="K345" s="31" t="s">
        <v>49</v>
      </c>
      <c r="L345" s="24" t="s">
        <v>1802</v>
      </c>
      <c r="M345" s="40" t="s">
        <v>1803</v>
      </c>
      <c r="N345" s="35" t="s">
        <v>1804</v>
      </c>
      <c r="O345" s="35" t="s">
        <v>78</v>
      </c>
      <c r="P345" s="36" t="s">
        <v>1805</v>
      </c>
      <c r="Q345" s="37"/>
      <c r="R345" s="37"/>
      <c r="S345" s="24" t="s">
        <v>215</v>
      </c>
      <c r="T345" s="32"/>
      <c r="U345" s="32"/>
      <c r="V345" s="32"/>
      <c r="W345" s="32"/>
      <c r="X345" s="32"/>
      <c r="Y345" s="32"/>
      <c r="Z345" s="32"/>
      <c r="AA345" s="32"/>
      <c r="AB345" s="32"/>
      <c r="AC345" s="38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</row>
    <row r="346" ht="15.75" customHeight="1">
      <c r="A346" s="23">
        <v>45924.0</v>
      </c>
      <c r="B346" s="66" t="s">
        <v>1806</v>
      </c>
      <c r="C346" s="25" t="s">
        <v>54</v>
      </c>
      <c r="D346" s="26" t="s">
        <v>211</v>
      </c>
      <c r="E346" s="67">
        <f t="shared" si="20"/>
        <v>45945</v>
      </c>
      <c r="F346" s="28">
        <v>45927.0</v>
      </c>
      <c r="G346" s="26" t="s">
        <v>39</v>
      </c>
      <c r="H346" s="26">
        <v>1.0</v>
      </c>
      <c r="I346" s="29"/>
      <c r="J346" s="30"/>
      <c r="K346" s="31" t="s">
        <v>33</v>
      </c>
      <c r="L346" s="24" t="s">
        <v>1807</v>
      </c>
      <c r="M346" s="40" t="s">
        <v>1808</v>
      </c>
      <c r="N346" s="35" t="s">
        <v>1809</v>
      </c>
      <c r="O346" s="35" t="s">
        <v>1810</v>
      </c>
      <c r="P346" s="36" t="s">
        <v>166</v>
      </c>
      <c r="Q346" s="37"/>
      <c r="R346" s="37"/>
      <c r="S346" s="24" t="s">
        <v>555</v>
      </c>
      <c r="T346" s="32"/>
      <c r="U346" s="32"/>
      <c r="V346" s="32"/>
      <c r="W346" s="32"/>
      <c r="X346" s="24" t="s">
        <v>1811</v>
      </c>
      <c r="Y346" s="32"/>
      <c r="Z346" s="32"/>
      <c r="AA346" s="32"/>
      <c r="AB346" s="32"/>
      <c r="AC346" s="38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</row>
    <row r="347" ht="15.75" customHeight="1">
      <c r="A347" s="23">
        <v>45923.0</v>
      </c>
      <c r="B347" s="66" t="s">
        <v>1812</v>
      </c>
      <c r="C347" s="25" t="s">
        <v>38</v>
      </c>
      <c r="D347" s="26" t="s">
        <v>190</v>
      </c>
      <c r="E347" s="67">
        <f t="shared" si="20"/>
        <v>45944</v>
      </c>
      <c r="F347" s="28">
        <v>45927.0</v>
      </c>
      <c r="G347" s="26" t="s">
        <v>39</v>
      </c>
      <c r="H347" s="26">
        <v>1.0</v>
      </c>
      <c r="I347" s="29"/>
      <c r="J347" s="30"/>
      <c r="K347" s="31" t="s">
        <v>33</v>
      </c>
      <c r="L347" s="111"/>
      <c r="M347" s="100" t="s">
        <v>1813</v>
      </c>
      <c r="N347" s="34" t="s">
        <v>1814</v>
      </c>
      <c r="O347" s="61" t="s">
        <v>1815</v>
      </c>
      <c r="P347" s="52" t="s">
        <v>78</v>
      </c>
      <c r="Q347" s="37"/>
      <c r="R347" s="37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8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</row>
    <row r="348" ht="15.75" customHeight="1">
      <c r="A348" s="23">
        <v>45923.0</v>
      </c>
      <c r="B348" s="66" t="s">
        <v>1816</v>
      </c>
      <c r="C348" s="25" t="s">
        <v>38</v>
      </c>
      <c r="D348" s="26" t="s">
        <v>211</v>
      </c>
      <c r="E348" s="67">
        <f t="shared" si="20"/>
        <v>45944</v>
      </c>
      <c r="F348" s="28">
        <v>45932.0</v>
      </c>
      <c r="G348" s="26" t="s">
        <v>39</v>
      </c>
      <c r="H348" s="26">
        <v>1.0</v>
      </c>
      <c r="I348" s="29"/>
      <c r="J348" s="30"/>
      <c r="K348" s="31" t="s">
        <v>33</v>
      </c>
      <c r="L348" s="32"/>
      <c r="M348" s="40" t="s">
        <v>1817</v>
      </c>
      <c r="N348" s="35" t="s">
        <v>1818</v>
      </c>
      <c r="O348" s="35" t="s">
        <v>1819</v>
      </c>
      <c r="P348" s="36" t="s">
        <v>229</v>
      </c>
      <c r="Q348" s="37"/>
      <c r="R348" s="37"/>
      <c r="S348" s="32"/>
      <c r="T348" s="32"/>
      <c r="U348" s="32"/>
      <c r="V348" s="32"/>
      <c r="W348" s="32"/>
      <c r="X348" s="24" t="s">
        <v>1820</v>
      </c>
      <c r="Y348" s="32"/>
      <c r="Z348" s="32"/>
      <c r="AA348" s="32"/>
      <c r="AB348" s="32"/>
      <c r="AC348" s="38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</row>
    <row r="349" ht="15.75" customHeight="1">
      <c r="A349" s="23">
        <v>45923.0</v>
      </c>
      <c r="B349" s="66" t="s">
        <v>1821</v>
      </c>
      <c r="C349" s="25" t="s">
        <v>38</v>
      </c>
      <c r="D349" s="26" t="s">
        <v>190</v>
      </c>
      <c r="E349" s="67">
        <f t="shared" si="20"/>
        <v>45944</v>
      </c>
      <c r="F349" s="28">
        <v>45927.0</v>
      </c>
      <c r="G349" s="26" t="s">
        <v>39</v>
      </c>
      <c r="H349" s="26">
        <v>1.0</v>
      </c>
      <c r="I349" s="29"/>
      <c r="J349" s="30"/>
      <c r="K349" s="31" t="s">
        <v>33</v>
      </c>
      <c r="L349" s="47" t="s">
        <v>298</v>
      </c>
      <c r="M349" s="40" t="s">
        <v>1822</v>
      </c>
      <c r="N349" s="34" t="s">
        <v>1823</v>
      </c>
      <c r="O349" s="35" t="s">
        <v>1824</v>
      </c>
      <c r="P349" s="36" t="s">
        <v>1753</v>
      </c>
      <c r="Q349" s="37"/>
      <c r="R349" s="37"/>
      <c r="S349" s="24" t="s">
        <v>1825</v>
      </c>
      <c r="T349" s="24" t="s">
        <v>154</v>
      </c>
      <c r="U349" s="24" t="s">
        <v>613</v>
      </c>
      <c r="V349" s="32"/>
      <c r="W349" s="32"/>
      <c r="X349" s="32"/>
      <c r="Y349" s="32"/>
      <c r="Z349" s="32"/>
      <c r="AA349" s="32"/>
      <c r="AB349" s="32"/>
      <c r="AC349" s="38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</row>
    <row r="350" ht="15.75" customHeight="1">
      <c r="A350" s="112">
        <v>45923.0</v>
      </c>
      <c r="B350" s="24" t="s">
        <v>1826</v>
      </c>
      <c r="C350" s="113" t="s">
        <v>38</v>
      </c>
      <c r="D350" s="114" t="s">
        <v>190</v>
      </c>
      <c r="E350" s="115">
        <f t="shared" si="20"/>
        <v>45944</v>
      </c>
      <c r="F350" s="116"/>
      <c r="G350" s="114" t="s">
        <v>39</v>
      </c>
      <c r="H350" s="114">
        <v>3.0</v>
      </c>
      <c r="I350" s="117"/>
      <c r="J350" s="118"/>
      <c r="K350" s="119" t="s">
        <v>33</v>
      </c>
      <c r="L350" s="103" t="s">
        <v>1827</v>
      </c>
      <c r="M350" s="40" t="s">
        <v>1828</v>
      </c>
      <c r="N350" s="120" t="s">
        <v>1829</v>
      </c>
      <c r="O350" s="121" t="s">
        <v>1830</v>
      </c>
      <c r="P350" s="122" t="s">
        <v>47</v>
      </c>
      <c r="Q350" s="123"/>
      <c r="R350" s="123"/>
      <c r="S350" s="44" t="s">
        <v>427</v>
      </c>
      <c r="T350" s="44" t="s">
        <v>344</v>
      </c>
      <c r="U350" s="124"/>
      <c r="V350" s="124"/>
      <c r="W350" s="124"/>
      <c r="X350" s="44" t="s">
        <v>1831</v>
      </c>
      <c r="Y350" s="124"/>
      <c r="Z350" s="124"/>
      <c r="AA350" s="124"/>
      <c r="AB350" s="124"/>
      <c r="AC350" s="125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</row>
    <row r="351" ht="15.75" customHeight="1">
      <c r="A351" s="23">
        <v>45922.0</v>
      </c>
      <c r="B351" s="66" t="s">
        <v>1832</v>
      </c>
      <c r="C351" s="25" t="s">
        <v>1833</v>
      </c>
      <c r="D351" s="26" t="s">
        <v>211</v>
      </c>
      <c r="E351" s="67">
        <f t="shared" si="20"/>
        <v>45943</v>
      </c>
      <c r="F351" s="28">
        <v>45927.0</v>
      </c>
      <c r="G351" s="26" t="s">
        <v>55</v>
      </c>
      <c r="H351" s="26">
        <v>1.0</v>
      </c>
      <c r="I351" s="29"/>
      <c r="J351" s="30"/>
      <c r="K351" s="31" t="s">
        <v>33</v>
      </c>
      <c r="L351" s="47" t="s">
        <v>298</v>
      </c>
      <c r="M351" s="40" t="s">
        <v>1834</v>
      </c>
      <c r="N351" s="34" t="s">
        <v>1835</v>
      </c>
      <c r="O351" s="35" t="s">
        <v>1836</v>
      </c>
      <c r="P351" s="36" t="s">
        <v>126</v>
      </c>
      <c r="Q351" s="37"/>
      <c r="R351" s="37"/>
      <c r="S351" s="32"/>
      <c r="T351" s="32"/>
      <c r="U351" s="32"/>
      <c r="V351" s="32"/>
      <c r="W351" s="32"/>
      <c r="X351" s="24" t="s">
        <v>1837</v>
      </c>
      <c r="Y351" s="32"/>
      <c r="Z351" s="32"/>
      <c r="AA351" s="32"/>
      <c r="AB351" s="32"/>
      <c r="AC351" s="38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</row>
    <row r="352" ht="15.75" customHeight="1">
      <c r="A352" s="23">
        <v>45919.0</v>
      </c>
      <c r="B352" s="24" t="s">
        <v>1838</v>
      </c>
      <c r="C352" s="25" t="s">
        <v>175</v>
      </c>
      <c r="D352" s="26" t="s">
        <v>190</v>
      </c>
      <c r="E352" s="27">
        <f t="shared" si="20"/>
        <v>45940</v>
      </c>
      <c r="F352" s="28"/>
      <c r="G352" s="26" t="s">
        <v>32</v>
      </c>
      <c r="H352" s="26">
        <v>1.0</v>
      </c>
      <c r="I352" s="25" t="s">
        <v>157</v>
      </c>
      <c r="J352" s="26">
        <v>1.0</v>
      </c>
      <c r="K352" s="31" t="s">
        <v>157</v>
      </c>
      <c r="L352" s="41" t="s">
        <v>918</v>
      </c>
      <c r="M352" s="126" t="s">
        <v>1839</v>
      </c>
      <c r="N352" s="52" t="s">
        <v>1840</v>
      </c>
      <c r="O352" s="52" t="s">
        <v>1841</v>
      </c>
      <c r="P352" s="52" t="s">
        <v>78</v>
      </c>
      <c r="Q352" s="52" t="s">
        <v>194</v>
      </c>
      <c r="R352" s="37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8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</row>
    <row r="353" ht="15.75" customHeight="1">
      <c r="A353" s="23">
        <v>45919.0</v>
      </c>
      <c r="B353" s="24" t="s">
        <v>1842</v>
      </c>
      <c r="C353" s="25" t="s">
        <v>1226</v>
      </c>
      <c r="D353" s="26" t="s">
        <v>211</v>
      </c>
      <c r="E353" s="67">
        <f t="shared" si="20"/>
        <v>45940</v>
      </c>
      <c r="F353" s="28">
        <v>45940.0</v>
      </c>
      <c r="G353" s="26" t="s">
        <v>32</v>
      </c>
      <c r="H353" s="26">
        <v>1.0</v>
      </c>
      <c r="I353" s="29"/>
      <c r="J353" s="30"/>
      <c r="K353" s="31" t="s">
        <v>157</v>
      </c>
      <c r="L353" s="24" t="s">
        <v>1843</v>
      </c>
      <c r="M353" s="40" t="s">
        <v>1844</v>
      </c>
      <c r="N353" s="34" t="s">
        <v>1845</v>
      </c>
      <c r="O353" s="35" t="s">
        <v>1846</v>
      </c>
      <c r="P353" s="36" t="s">
        <v>1050</v>
      </c>
      <c r="Q353" s="37"/>
      <c r="R353" s="37"/>
      <c r="S353" s="24" t="s">
        <v>896</v>
      </c>
      <c r="T353" s="32"/>
      <c r="U353" s="32"/>
      <c r="V353" s="32"/>
      <c r="W353" s="32"/>
      <c r="X353" s="32"/>
      <c r="Y353" s="32"/>
      <c r="Z353" s="32"/>
      <c r="AA353" s="32"/>
      <c r="AB353" s="32"/>
      <c r="AC353" s="38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</row>
    <row r="354" ht="15.75" customHeight="1">
      <c r="A354" s="23">
        <v>45919.0</v>
      </c>
      <c r="B354" s="24" t="s">
        <v>1847</v>
      </c>
      <c r="C354" s="25" t="s">
        <v>54</v>
      </c>
      <c r="D354" s="26" t="s">
        <v>211</v>
      </c>
      <c r="E354" s="67">
        <f t="shared" si="20"/>
        <v>45940</v>
      </c>
      <c r="F354" s="28">
        <v>45929.0</v>
      </c>
      <c r="G354" s="26" t="s">
        <v>55</v>
      </c>
      <c r="H354" s="26">
        <v>2.0</v>
      </c>
      <c r="I354" s="29"/>
      <c r="J354" s="30"/>
      <c r="K354" s="31" t="s">
        <v>33</v>
      </c>
      <c r="L354" s="24"/>
      <c r="M354" s="40" t="s">
        <v>1848</v>
      </c>
      <c r="N354" s="34" t="s">
        <v>1849</v>
      </c>
      <c r="O354" s="35" t="s">
        <v>1850</v>
      </c>
      <c r="P354" s="36" t="s">
        <v>78</v>
      </c>
      <c r="Q354" s="36" t="s">
        <v>1851</v>
      </c>
      <c r="R354" s="36" t="s">
        <v>1852</v>
      </c>
      <c r="S354" s="24" t="s">
        <v>215</v>
      </c>
      <c r="T354" s="24" t="s">
        <v>195</v>
      </c>
      <c r="U354" s="32"/>
      <c r="V354" s="32"/>
      <c r="W354" s="32"/>
      <c r="X354" s="24" t="s">
        <v>155</v>
      </c>
      <c r="Y354" s="24" t="s">
        <v>302</v>
      </c>
      <c r="Z354" s="24" t="s">
        <v>333</v>
      </c>
      <c r="AA354" s="32"/>
      <c r="AB354" s="32"/>
      <c r="AC354" s="38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</row>
    <row r="355" ht="15.75" customHeight="1">
      <c r="A355" s="23">
        <v>45918.0</v>
      </c>
      <c r="B355" s="46" t="s">
        <v>1853</v>
      </c>
      <c r="C355" s="25" t="s">
        <v>44</v>
      </c>
      <c r="D355" s="26" t="s">
        <v>211</v>
      </c>
      <c r="E355" s="67">
        <f t="shared" si="20"/>
        <v>45939</v>
      </c>
      <c r="F355" s="28">
        <v>45939.0</v>
      </c>
      <c r="G355" s="26" t="s">
        <v>32</v>
      </c>
      <c r="H355" s="26">
        <v>2.0</v>
      </c>
      <c r="I355" s="29"/>
      <c r="J355" s="30"/>
      <c r="K355" s="31" t="s">
        <v>33</v>
      </c>
      <c r="L355" s="32"/>
      <c r="M355" s="40" t="s">
        <v>1854</v>
      </c>
      <c r="N355" s="35" t="s">
        <v>1717</v>
      </c>
      <c r="O355" s="35" t="s">
        <v>1718</v>
      </c>
      <c r="P355" s="36" t="s">
        <v>1240</v>
      </c>
      <c r="Q355" s="36" t="s">
        <v>1289</v>
      </c>
      <c r="R355" s="36" t="s">
        <v>64</v>
      </c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8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</row>
    <row r="356" ht="15.75" customHeight="1">
      <c r="A356" s="23">
        <v>45918.0</v>
      </c>
      <c r="B356" s="57" t="s">
        <v>1855</v>
      </c>
      <c r="C356" s="25" t="s">
        <v>44</v>
      </c>
      <c r="D356" s="26" t="s">
        <v>85</v>
      </c>
      <c r="E356" s="67">
        <f t="shared" si="20"/>
        <v>45939</v>
      </c>
      <c r="F356" s="28">
        <v>45939.0</v>
      </c>
      <c r="G356" s="26" t="s">
        <v>157</v>
      </c>
      <c r="H356" s="26">
        <v>1.0</v>
      </c>
      <c r="I356" s="29"/>
      <c r="J356" s="30"/>
      <c r="K356" s="31" t="s">
        <v>33</v>
      </c>
      <c r="L356" s="24" t="s">
        <v>1856</v>
      </c>
      <c r="M356" s="40" t="s">
        <v>1857</v>
      </c>
      <c r="N356" s="35" t="s">
        <v>1717</v>
      </c>
      <c r="O356" s="35" t="s">
        <v>1858</v>
      </c>
      <c r="P356" s="36" t="s">
        <v>1240</v>
      </c>
      <c r="Q356" s="36" t="s">
        <v>1289</v>
      </c>
      <c r="R356" s="36" t="s">
        <v>64</v>
      </c>
      <c r="S356" s="24" t="s">
        <v>154</v>
      </c>
      <c r="T356" s="24" t="s">
        <v>195</v>
      </c>
      <c r="U356" s="32"/>
      <c r="V356" s="32"/>
      <c r="W356" s="32"/>
      <c r="X356" s="32"/>
      <c r="Y356" s="32"/>
      <c r="Z356" s="32"/>
      <c r="AA356" s="32"/>
      <c r="AB356" s="32"/>
      <c r="AC356" s="38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</row>
    <row r="357" ht="15.75" customHeight="1">
      <c r="A357" s="23">
        <v>45918.0</v>
      </c>
      <c r="B357" s="46" t="s">
        <v>1855</v>
      </c>
      <c r="C357" s="25" t="s">
        <v>44</v>
      </c>
      <c r="D357" s="26" t="s">
        <v>211</v>
      </c>
      <c r="E357" s="67">
        <f t="shared" si="20"/>
        <v>45939</v>
      </c>
      <c r="F357" s="28">
        <v>45939.0</v>
      </c>
      <c r="G357" s="26" t="s">
        <v>32</v>
      </c>
      <c r="H357" s="26">
        <v>1.0</v>
      </c>
      <c r="I357" s="29"/>
      <c r="J357" s="30"/>
      <c r="K357" s="31" t="s">
        <v>33</v>
      </c>
      <c r="L357" s="24" t="s">
        <v>1859</v>
      </c>
      <c r="M357" s="40" t="s">
        <v>1857</v>
      </c>
      <c r="N357" s="35" t="s">
        <v>1717</v>
      </c>
      <c r="O357" s="35" t="s">
        <v>1858</v>
      </c>
      <c r="P357" s="36" t="s">
        <v>1240</v>
      </c>
      <c r="Q357" s="36" t="s">
        <v>1289</v>
      </c>
      <c r="R357" s="36" t="s">
        <v>64</v>
      </c>
      <c r="S357" s="24" t="s">
        <v>154</v>
      </c>
      <c r="T357" s="24" t="s">
        <v>195</v>
      </c>
      <c r="U357" s="32"/>
      <c r="V357" s="32"/>
      <c r="W357" s="32"/>
      <c r="X357" s="32"/>
      <c r="Y357" s="32"/>
      <c r="Z357" s="32"/>
      <c r="AA357" s="32"/>
      <c r="AB357" s="32"/>
      <c r="AC357" s="38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</row>
    <row r="358" ht="15.75" customHeight="1">
      <c r="A358" s="23">
        <v>45918.0</v>
      </c>
      <c r="B358" s="46" t="s">
        <v>1860</v>
      </c>
      <c r="C358" s="25" t="s">
        <v>44</v>
      </c>
      <c r="D358" s="26" t="s">
        <v>190</v>
      </c>
      <c r="E358" s="67">
        <f t="shared" si="20"/>
        <v>45939</v>
      </c>
      <c r="F358" s="28"/>
      <c r="G358" s="26" t="s">
        <v>32</v>
      </c>
      <c r="H358" s="26">
        <v>2.0</v>
      </c>
      <c r="I358" s="29"/>
      <c r="J358" s="30"/>
      <c r="K358" s="31" t="s">
        <v>33</v>
      </c>
      <c r="L358" s="41" t="s">
        <v>1861</v>
      </c>
      <c r="M358" s="40" t="s">
        <v>1862</v>
      </c>
      <c r="N358" s="35" t="s">
        <v>1717</v>
      </c>
      <c r="O358" s="35" t="s">
        <v>1863</v>
      </c>
      <c r="P358" s="36" t="s">
        <v>1240</v>
      </c>
      <c r="Q358" s="36" t="s">
        <v>1289</v>
      </c>
      <c r="R358" s="36" t="s">
        <v>64</v>
      </c>
      <c r="S358" s="24" t="s">
        <v>215</v>
      </c>
      <c r="T358" s="24" t="s">
        <v>195</v>
      </c>
      <c r="U358" s="32"/>
      <c r="V358" s="32"/>
      <c r="W358" s="32"/>
      <c r="X358" s="43" t="s">
        <v>989</v>
      </c>
      <c r="Y358" s="32"/>
      <c r="Z358" s="32"/>
      <c r="AA358" s="32"/>
      <c r="AB358" s="32"/>
      <c r="AC358" s="38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</row>
    <row r="359" ht="15.75" customHeight="1">
      <c r="A359" s="23">
        <v>45918.0</v>
      </c>
      <c r="B359" s="127" t="s">
        <v>1864</v>
      </c>
      <c r="C359" s="25" t="s">
        <v>44</v>
      </c>
      <c r="D359" s="26" t="s">
        <v>190</v>
      </c>
      <c r="E359" s="67">
        <f t="shared" si="20"/>
        <v>45939</v>
      </c>
      <c r="F359" s="28">
        <v>45929.0</v>
      </c>
      <c r="G359" s="26" t="s">
        <v>32</v>
      </c>
      <c r="H359" s="26">
        <v>2.0</v>
      </c>
      <c r="I359" s="128" t="s">
        <v>157</v>
      </c>
      <c r="J359" s="129">
        <v>2.0</v>
      </c>
      <c r="K359" s="31" t="s">
        <v>33</v>
      </c>
      <c r="L359" s="24" t="s">
        <v>1865</v>
      </c>
      <c r="M359" s="40" t="s">
        <v>1866</v>
      </c>
      <c r="N359" s="35" t="s">
        <v>1717</v>
      </c>
      <c r="O359" s="35" t="s">
        <v>1867</v>
      </c>
      <c r="P359" s="36" t="s">
        <v>1240</v>
      </c>
      <c r="Q359" s="36" t="s">
        <v>1289</v>
      </c>
      <c r="R359" s="36" t="s">
        <v>64</v>
      </c>
      <c r="S359" s="24" t="s">
        <v>200</v>
      </c>
      <c r="T359" s="32"/>
      <c r="U359" s="32"/>
      <c r="V359" s="32"/>
      <c r="W359" s="32"/>
      <c r="X359" s="24" t="s">
        <v>200</v>
      </c>
      <c r="Y359" s="85" t="s">
        <v>286</v>
      </c>
      <c r="Z359" s="32"/>
      <c r="AA359" s="32"/>
      <c r="AB359" s="32"/>
      <c r="AC359" s="38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</row>
    <row r="360" ht="15.75" customHeight="1">
      <c r="A360" s="23">
        <v>45918.0</v>
      </c>
      <c r="B360" s="46" t="s">
        <v>1868</v>
      </c>
      <c r="C360" s="25" t="s">
        <v>44</v>
      </c>
      <c r="D360" s="26" t="s">
        <v>190</v>
      </c>
      <c r="E360" s="67">
        <f t="shared" si="20"/>
        <v>45939</v>
      </c>
      <c r="F360" s="28">
        <v>45929.0</v>
      </c>
      <c r="G360" s="26" t="s">
        <v>32</v>
      </c>
      <c r="H360" s="26">
        <v>2.0</v>
      </c>
      <c r="I360" s="29"/>
      <c r="J360" s="30"/>
      <c r="K360" s="31" t="s">
        <v>33</v>
      </c>
      <c r="L360" s="24" t="s">
        <v>1869</v>
      </c>
      <c r="M360" s="40" t="s">
        <v>1870</v>
      </c>
      <c r="N360" s="35" t="s">
        <v>1717</v>
      </c>
      <c r="O360" s="35" t="s">
        <v>1871</v>
      </c>
      <c r="P360" s="36" t="s">
        <v>1240</v>
      </c>
      <c r="Q360" s="36" t="s">
        <v>538</v>
      </c>
      <c r="R360" s="36" t="s">
        <v>64</v>
      </c>
      <c r="S360" s="24" t="s">
        <v>555</v>
      </c>
      <c r="T360" s="32"/>
      <c r="U360" s="32"/>
      <c r="V360" s="32"/>
      <c r="W360" s="32"/>
      <c r="X360" s="32"/>
      <c r="Y360" s="32"/>
      <c r="Z360" s="32"/>
      <c r="AA360" s="32"/>
      <c r="AB360" s="32"/>
      <c r="AC360" s="38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</row>
    <row r="361" ht="15.75" customHeight="1">
      <c r="A361" s="23">
        <v>45918.0</v>
      </c>
      <c r="B361" s="127" t="s">
        <v>1872</v>
      </c>
      <c r="C361" s="25" t="s">
        <v>44</v>
      </c>
      <c r="D361" s="26" t="s">
        <v>190</v>
      </c>
      <c r="E361" s="67">
        <f t="shared" si="20"/>
        <v>45939</v>
      </c>
      <c r="F361" s="28"/>
      <c r="G361" s="26" t="s">
        <v>32</v>
      </c>
      <c r="H361" s="26">
        <v>1.0</v>
      </c>
      <c r="I361" s="41" t="s">
        <v>157</v>
      </c>
      <c r="J361" s="129">
        <v>1.0</v>
      </c>
      <c r="K361" s="31" t="s">
        <v>33</v>
      </c>
      <c r="L361" s="88" t="s">
        <v>1873</v>
      </c>
      <c r="M361" s="40" t="s">
        <v>1874</v>
      </c>
      <c r="N361" s="35" t="s">
        <v>1717</v>
      </c>
      <c r="O361" s="35" t="s">
        <v>1875</v>
      </c>
      <c r="P361" s="36" t="s">
        <v>1240</v>
      </c>
      <c r="Q361" s="36" t="s">
        <v>538</v>
      </c>
      <c r="R361" s="36" t="s">
        <v>64</v>
      </c>
      <c r="S361" s="24" t="s">
        <v>154</v>
      </c>
      <c r="T361" s="32"/>
      <c r="U361" s="32"/>
      <c r="V361" s="32"/>
      <c r="W361" s="32"/>
      <c r="X361" s="32"/>
      <c r="Y361" s="32"/>
      <c r="Z361" s="32"/>
      <c r="AA361" s="32"/>
      <c r="AB361" s="32"/>
      <c r="AC361" s="38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</row>
    <row r="362" ht="15.75" customHeight="1">
      <c r="A362" s="23">
        <v>45918.0</v>
      </c>
      <c r="B362" s="127" t="s">
        <v>1876</v>
      </c>
      <c r="C362" s="25" t="s">
        <v>44</v>
      </c>
      <c r="D362" s="26" t="s">
        <v>190</v>
      </c>
      <c r="E362" s="67">
        <f t="shared" si="20"/>
        <v>45939</v>
      </c>
      <c r="F362" s="28"/>
      <c r="G362" s="26" t="s">
        <v>32</v>
      </c>
      <c r="H362" s="26">
        <v>2.0</v>
      </c>
      <c r="I362" s="41" t="s">
        <v>157</v>
      </c>
      <c r="J362" s="129">
        <v>2.0</v>
      </c>
      <c r="K362" s="31" t="s">
        <v>33</v>
      </c>
      <c r="L362" s="24" t="s">
        <v>1877</v>
      </c>
      <c r="M362" s="40" t="s">
        <v>1878</v>
      </c>
      <c r="N362" s="35" t="s">
        <v>1717</v>
      </c>
      <c r="O362" s="35" t="s">
        <v>1879</v>
      </c>
      <c r="P362" s="36" t="s">
        <v>1240</v>
      </c>
      <c r="Q362" s="36" t="s">
        <v>538</v>
      </c>
      <c r="R362" s="36" t="s">
        <v>64</v>
      </c>
      <c r="S362" s="24" t="s">
        <v>352</v>
      </c>
      <c r="T362" s="32"/>
      <c r="U362" s="32"/>
      <c r="V362" s="32"/>
      <c r="W362" s="32"/>
      <c r="X362" s="85" t="s">
        <v>200</v>
      </c>
      <c r="Y362" s="85" t="s">
        <v>286</v>
      </c>
      <c r="Z362" s="32"/>
      <c r="AA362" s="32"/>
      <c r="AB362" s="32"/>
      <c r="AC362" s="38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</row>
    <row r="363" ht="15.75" customHeight="1">
      <c r="A363" s="23">
        <v>45918.0</v>
      </c>
      <c r="B363" s="46" t="s">
        <v>1880</v>
      </c>
      <c r="C363" s="25" t="s">
        <v>44</v>
      </c>
      <c r="D363" s="26" t="s">
        <v>190</v>
      </c>
      <c r="E363" s="67">
        <f t="shared" si="20"/>
        <v>45939</v>
      </c>
      <c r="F363" s="28"/>
      <c r="G363" s="26" t="s">
        <v>32</v>
      </c>
      <c r="H363" s="26">
        <v>1.0</v>
      </c>
      <c r="I363" s="29"/>
      <c r="J363" s="30"/>
      <c r="K363" s="31" t="s">
        <v>33</v>
      </c>
      <c r="L363" s="24" t="s">
        <v>1881</v>
      </c>
      <c r="M363" s="40" t="s">
        <v>1882</v>
      </c>
      <c r="N363" s="35" t="s">
        <v>1717</v>
      </c>
      <c r="O363" s="35" t="s">
        <v>1883</v>
      </c>
      <c r="P363" s="36" t="s">
        <v>1240</v>
      </c>
      <c r="Q363" s="36" t="s">
        <v>1289</v>
      </c>
      <c r="R363" s="36" t="s">
        <v>64</v>
      </c>
      <c r="S363" s="24" t="s">
        <v>352</v>
      </c>
      <c r="T363" s="32"/>
      <c r="U363" s="32"/>
      <c r="V363" s="32"/>
      <c r="W363" s="32"/>
      <c r="X363" s="32"/>
      <c r="Y363" s="32"/>
      <c r="Z363" s="32"/>
      <c r="AA363" s="32"/>
      <c r="AB363" s="32"/>
      <c r="AC363" s="38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</row>
    <row r="364" ht="15.75" customHeight="1">
      <c r="A364" s="23">
        <v>45918.0</v>
      </c>
      <c r="B364" s="57" t="s">
        <v>1884</v>
      </c>
      <c r="C364" s="25" t="s">
        <v>44</v>
      </c>
      <c r="D364" s="26" t="s">
        <v>85</v>
      </c>
      <c r="E364" s="67">
        <f t="shared" si="20"/>
        <v>45939</v>
      </c>
      <c r="F364" s="28"/>
      <c r="G364" s="26" t="s">
        <v>157</v>
      </c>
      <c r="H364" s="26">
        <v>1.0</v>
      </c>
      <c r="I364" s="29"/>
      <c r="J364" s="30"/>
      <c r="K364" s="31" t="s">
        <v>33</v>
      </c>
      <c r="L364" s="24" t="s">
        <v>1715</v>
      </c>
      <c r="M364" s="40" t="s">
        <v>1885</v>
      </c>
      <c r="N364" s="35" t="s">
        <v>1886</v>
      </c>
      <c r="O364" s="34" t="s">
        <v>1887</v>
      </c>
      <c r="P364" s="36" t="s">
        <v>1888</v>
      </c>
      <c r="Q364" s="36" t="s">
        <v>1889</v>
      </c>
      <c r="R364" s="79"/>
      <c r="S364" s="24"/>
      <c r="T364" s="32"/>
      <c r="U364" s="32"/>
      <c r="V364" s="32"/>
      <c r="W364" s="32"/>
      <c r="X364" s="32"/>
      <c r="Y364" s="32"/>
      <c r="Z364" s="32"/>
      <c r="AA364" s="32"/>
      <c r="AB364" s="32"/>
      <c r="AC364" s="38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</row>
    <row r="365" ht="15.75" customHeight="1">
      <c r="A365" s="23">
        <v>45918.0</v>
      </c>
      <c r="B365" s="46" t="s">
        <v>1884</v>
      </c>
      <c r="C365" s="25" t="s">
        <v>44</v>
      </c>
      <c r="D365" s="26" t="s">
        <v>211</v>
      </c>
      <c r="E365" s="67">
        <f t="shared" si="20"/>
        <v>45939</v>
      </c>
      <c r="F365" s="28"/>
      <c r="G365" s="26" t="s">
        <v>32</v>
      </c>
      <c r="H365" s="26">
        <v>1.0</v>
      </c>
      <c r="I365" s="29"/>
      <c r="J365" s="30"/>
      <c r="K365" s="31" t="s">
        <v>33</v>
      </c>
      <c r="L365" s="24" t="s">
        <v>1890</v>
      </c>
      <c r="M365" s="40" t="s">
        <v>1885</v>
      </c>
      <c r="N365" s="35" t="s">
        <v>1886</v>
      </c>
      <c r="O365" s="34" t="s">
        <v>1887</v>
      </c>
      <c r="P365" s="36" t="s">
        <v>1888</v>
      </c>
      <c r="Q365" s="36" t="s">
        <v>1889</v>
      </c>
      <c r="R365" s="36" t="s">
        <v>1891</v>
      </c>
      <c r="S365" s="24" t="s">
        <v>200</v>
      </c>
      <c r="T365" s="32"/>
      <c r="U365" s="32"/>
      <c r="V365" s="32"/>
      <c r="W365" s="32"/>
      <c r="X365" s="32"/>
      <c r="Y365" s="32"/>
      <c r="Z365" s="32"/>
      <c r="AA365" s="32"/>
      <c r="AB365" s="32"/>
      <c r="AC365" s="38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</row>
    <row r="366" ht="15.75" customHeight="1">
      <c r="A366" s="23">
        <v>45918.0</v>
      </c>
      <c r="B366" s="57" t="s">
        <v>1892</v>
      </c>
      <c r="C366" s="25" t="s">
        <v>44</v>
      </c>
      <c r="D366" s="26" t="s">
        <v>85</v>
      </c>
      <c r="E366" s="67">
        <f t="shared" si="20"/>
        <v>45939</v>
      </c>
      <c r="F366" s="28"/>
      <c r="G366" s="26" t="s">
        <v>157</v>
      </c>
      <c r="H366" s="26"/>
      <c r="I366" s="29"/>
      <c r="J366" s="30"/>
      <c r="K366" s="31" t="s">
        <v>49</v>
      </c>
      <c r="L366" s="24" t="s">
        <v>1715</v>
      </c>
      <c r="M366" s="40" t="s">
        <v>1893</v>
      </c>
      <c r="N366" s="35" t="s">
        <v>1894</v>
      </c>
      <c r="O366" s="35" t="s">
        <v>1895</v>
      </c>
      <c r="P366" s="36" t="s">
        <v>1240</v>
      </c>
      <c r="Q366" s="36" t="s">
        <v>1289</v>
      </c>
      <c r="R366" s="36" t="s">
        <v>64</v>
      </c>
      <c r="S366" s="24"/>
      <c r="T366" s="32"/>
      <c r="U366" s="32"/>
      <c r="V366" s="32"/>
      <c r="W366" s="32"/>
      <c r="X366" s="24"/>
      <c r="Y366" s="24"/>
      <c r="Z366" s="24"/>
      <c r="AA366" s="32"/>
      <c r="AB366" s="32"/>
      <c r="AC366" s="38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</row>
    <row r="367" ht="15.75" customHeight="1">
      <c r="A367" s="23">
        <v>45918.0</v>
      </c>
      <c r="B367" s="46" t="s">
        <v>1896</v>
      </c>
      <c r="C367" s="25" t="s">
        <v>44</v>
      </c>
      <c r="D367" s="26" t="s">
        <v>211</v>
      </c>
      <c r="E367" s="67">
        <f t="shared" si="20"/>
        <v>45939</v>
      </c>
      <c r="F367" s="28"/>
      <c r="G367" s="26" t="s">
        <v>32</v>
      </c>
      <c r="H367" s="26">
        <v>2.0</v>
      </c>
      <c r="I367" s="29"/>
      <c r="J367" s="30"/>
      <c r="K367" s="31" t="s">
        <v>49</v>
      </c>
      <c r="L367" s="24" t="s">
        <v>1897</v>
      </c>
      <c r="M367" s="40" t="s">
        <v>1893</v>
      </c>
      <c r="N367" s="35" t="s">
        <v>1894</v>
      </c>
      <c r="O367" s="35" t="s">
        <v>1895</v>
      </c>
      <c r="P367" s="36" t="s">
        <v>1240</v>
      </c>
      <c r="Q367" s="36" t="s">
        <v>1289</v>
      </c>
      <c r="R367" s="36" t="s">
        <v>64</v>
      </c>
      <c r="S367" s="24"/>
      <c r="T367" s="32"/>
      <c r="U367" s="32"/>
      <c r="V367" s="32"/>
      <c r="W367" s="32"/>
      <c r="X367" s="24" t="s">
        <v>370</v>
      </c>
      <c r="Y367" s="24" t="s">
        <v>614</v>
      </c>
      <c r="Z367" s="24" t="s">
        <v>1898</v>
      </c>
      <c r="AA367" s="32"/>
      <c r="AB367" s="32"/>
      <c r="AC367" s="38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</row>
    <row r="368" ht="15.75" customHeight="1">
      <c r="A368" s="23"/>
      <c r="B368" s="46"/>
      <c r="C368" s="25"/>
      <c r="D368" s="26"/>
      <c r="E368" s="67"/>
      <c r="F368" s="28"/>
      <c r="G368" s="26"/>
      <c r="H368" s="26"/>
      <c r="I368" s="29"/>
      <c r="J368" s="30"/>
      <c r="K368" s="31"/>
      <c r="L368" s="46"/>
      <c r="M368" s="81"/>
      <c r="N368" s="24"/>
      <c r="O368" s="82"/>
      <c r="P368" s="79"/>
      <c r="Q368" s="79"/>
      <c r="R368" s="37"/>
      <c r="S368" s="24"/>
      <c r="T368" s="32"/>
      <c r="U368" s="32"/>
      <c r="V368" s="32"/>
      <c r="W368" s="32"/>
      <c r="X368" s="24"/>
      <c r="Y368" s="24"/>
      <c r="Z368" s="24"/>
      <c r="AA368" s="32"/>
      <c r="AB368" s="32"/>
      <c r="AC368" s="38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</row>
    <row r="369" ht="15.75" customHeight="1">
      <c r="A369" s="23"/>
      <c r="B369" s="46"/>
      <c r="C369" s="25"/>
      <c r="D369" s="26"/>
      <c r="E369" s="67"/>
      <c r="F369" s="28"/>
      <c r="G369" s="26"/>
      <c r="H369" s="26"/>
      <c r="I369" s="29"/>
      <c r="J369" s="30"/>
      <c r="K369" s="31"/>
      <c r="L369" s="46"/>
      <c r="M369" s="81"/>
      <c r="N369" s="24"/>
      <c r="O369" s="82"/>
      <c r="P369" s="79"/>
      <c r="Q369" s="79"/>
      <c r="R369" s="37"/>
      <c r="S369" s="32"/>
      <c r="T369" s="32"/>
      <c r="U369" s="32"/>
      <c r="V369" s="32"/>
      <c r="W369" s="32"/>
      <c r="X369" s="24"/>
      <c r="Y369" s="32"/>
      <c r="Z369" s="32"/>
      <c r="AA369" s="32"/>
      <c r="AB369" s="32"/>
      <c r="AC369" s="38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</row>
    <row r="370" ht="15.75" customHeight="1">
      <c r="A370" s="23"/>
      <c r="B370" s="46"/>
      <c r="C370" s="25"/>
      <c r="D370" s="26"/>
      <c r="E370" s="67"/>
      <c r="F370" s="28"/>
      <c r="G370" s="26"/>
      <c r="H370" s="26"/>
      <c r="I370" s="29"/>
      <c r="J370" s="30"/>
      <c r="K370" s="31"/>
      <c r="L370" s="47"/>
      <c r="M370" s="81"/>
      <c r="N370" s="24"/>
      <c r="O370" s="82"/>
      <c r="P370" s="79"/>
      <c r="Q370" s="79"/>
      <c r="R370" s="37"/>
      <c r="S370" s="24"/>
      <c r="T370" s="32"/>
      <c r="U370" s="32"/>
      <c r="V370" s="32"/>
      <c r="W370" s="32"/>
      <c r="X370" s="24"/>
      <c r="Y370" s="24"/>
      <c r="Z370" s="32"/>
      <c r="AA370" s="32"/>
      <c r="AB370" s="32"/>
      <c r="AC370" s="38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</row>
    <row r="371" ht="15.75" customHeight="1">
      <c r="A371" s="23"/>
      <c r="B371" s="24"/>
      <c r="C371" s="25"/>
      <c r="D371" s="26"/>
      <c r="E371" s="67"/>
      <c r="F371" s="28"/>
      <c r="G371" s="26"/>
      <c r="H371" s="26"/>
      <c r="I371" s="29"/>
      <c r="J371" s="30"/>
      <c r="K371" s="31"/>
      <c r="L371" s="24"/>
      <c r="M371" s="81"/>
      <c r="N371" s="24"/>
      <c r="O371" s="24"/>
      <c r="P371" s="80"/>
      <c r="Q371" s="80"/>
      <c r="R371" s="80"/>
      <c r="S371" s="32"/>
      <c r="T371" s="32"/>
      <c r="U371" s="32"/>
      <c r="V371" s="32"/>
      <c r="W371" s="32"/>
      <c r="X371" s="24"/>
      <c r="Y371" s="24"/>
      <c r="Z371" s="32"/>
      <c r="AA371" s="32"/>
      <c r="AB371" s="32"/>
      <c r="AC371" s="38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</row>
    <row r="372" ht="15.75" customHeight="1">
      <c r="A372" s="23"/>
      <c r="B372" s="46"/>
      <c r="C372" s="25"/>
      <c r="D372" s="26"/>
      <c r="E372" s="67"/>
      <c r="F372" s="28"/>
      <c r="G372" s="26"/>
      <c r="H372" s="26"/>
      <c r="I372" s="29"/>
      <c r="J372" s="30"/>
      <c r="K372" s="31"/>
      <c r="L372" s="93"/>
      <c r="M372" s="81"/>
      <c r="N372" s="24"/>
      <c r="O372" s="32"/>
      <c r="P372" s="79"/>
      <c r="Q372" s="79"/>
      <c r="R372" s="79"/>
      <c r="S372" s="32"/>
      <c r="T372" s="32"/>
      <c r="U372" s="32"/>
      <c r="V372" s="32"/>
      <c r="W372" s="32"/>
      <c r="X372" s="24"/>
      <c r="Y372" s="24"/>
      <c r="Z372" s="24"/>
      <c r="AA372" s="32"/>
      <c r="AB372" s="32"/>
      <c r="AC372" s="38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</row>
    <row r="373" ht="15.75" customHeight="1">
      <c r="A373" s="23"/>
      <c r="B373" s="46"/>
      <c r="C373" s="25"/>
      <c r="D373" s="26"/>
      <c r="E373" s="67"/>
      <c r="F373" s="28"/>
      <c r="G373" s="26"/>
      <c r="H373" s="26"/>
      <c r="I373" s="29"/>
      <c r="J373" s="30"/>
      <c r="K373" s="31"/>
      <c r="L373" s="24"/>
      <c r="M373" s="81"/>
      <c r="N373" s="130"/>
      <c r="O373" s="32"/>
      <c r="P373" s="79"/>
      <c r="Q373" s="79"/>
      <c r="R373" s="79"/>
      <c r="S373" s="24"/>
      <c r="T373" s="24"/>
      <c r="U373" s="32"/>
      <c r="V373" s="32"/>
      <c r="W373" s="32"/>
      <c r="X373" s="24"/>
      <c r="Y373" s="24"/>
      <c r="Z373" s="24"/>
      <c r="AA373" s="24"/>
      <c r="AB373" s="32"/>
      <c r="AC373" s="38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</row>
    <row r="374" ht="15.75" customHeight="1">
      <c r="A374" s="23"/>
      <c r="B374" s="46"/>
      <c r="C374" s="25"/>
      <c r="D374" s="26"/>
      <c r="E374" s="67"/>
      <c r="F374" s="28"/>
      <c r="G374" s="26"/>
      <c r="H374" s="26"/>
      <c r="I374" s="29"/>
      <c r="J374" s="30"/>
      <c r="K374" s="31"/>
      <c r="L374" s="24"/>
      <c r="M374" s="81"/>
      <c r="N374" s="24"/>
      <c r="O374" s="32"/>
      <c r="P374" s="79"/>
      <c r="Q374" s="79"/>
      <c r="R374" s="79"/>
      <c r="S374" s="24"/>
      <c r="T374" s="24"/>
      <c r="U374" s="32"/>
      <c r="V374" s="32"/>
      <c r="W374" s="32"/>
      <c r="X374" s="24"/>
      <c r="Y374" s="32"/>
      <c r="Z374" s="32"/>
      <c r="AA374" s="32"/>
      <c r="AB374" s="32"/>
      <c r="AC374" s="38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</row>
    <row r="375" ht="15.75" customHeight="1">
      <c r="A375" s="23"/>
      <c r="B375" s="46"/>
      <c r="C375" s="25"/>
      <c r="D375" s="26"/>
      <c r="E375" s="27"/>
      <c r="F375" s="28"/>
      <c r="G375" s="26"/>
      <c r="H375" s="26"/>
      <c r="I375" s="29"/>
      <c r="J375" s="30"/>
      <c r="K375" s="31"/>
      <c r="L375" s="24"/>
      <c r="M375" s="81"/>
      <c r="N375" s="82"/>
      <c r="O375" s="24"/>
      <c r="P375" s="79"/>
      <c r="Q375" s="79"/>
      <c r="R375" s="79"/>
      <c r="S375" s="32"/>
      <c r="T375" s="32"/>
      <c r="U375" s="32"/>
      <c r="V375" s="32"/>
      <c r="W375" s="32"/>
      <c r="X375" s="24"/>
      <c r="Y375" s="24"/>
      <c r="Z375" s="24"/>
      <c r="AA375" s="32"/>
      <c r="AB375" s="32"/>
      <c r="AC375" s="38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</row>
    <row r="376" ht="15.75" customHeight="1">
      <c r="A376" s="23"/>
      <c r="B376" s="46"/>
      <c r="C376" s="25"/>
      <c r="D376" s="26"/>
      <c r="E376" s="27"/>
      <c r="F376" s="28"/>
      <c r="G376" s="26"/>
      <c r="H376" s="26"/>
      <c r="I376" s="29"/>
      <c r="J376" s="30"/>
      <c r="K376" s="31"/>
      <c r="L376" s="131"/>
      <c r="M376" s="81"/>
      <c r="N376" s="24"/>
      <c r="O376" s="24"/>
      <c r="P376" s="79"/>
      <c r="Q376" s="37"/>
      <c r="R376" s="37"/>
      <c r="S376" s="24"/>
      <c r="T376" s="32"/>
      <c r="U376" s="32"/>
      <c r="V376" s="32"/>
      <c r="W376" s="32"/>
      <c r="X376" s="24"/>
      <c r="Y376" s="32"/>
      <c r="Z376" s="32"/>
      <c r="AA376" s="32"/>
      <c r="AB376" s="32"/>
      <c r="AC376" s="38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</row>
    <row r="377" ht="15.75" customHeight="1">
      <c r="A377" s="23"/>
      <c r="B377" s="46"/>
      <c r="C377" s="25"/>
      <c r="D377" s="26"/>
      <c r="E377" s="67"/>
      <c r="F377" s="28"/>
      <c r="G377" s="26"/>
      <c r="H377" s="26"/>
      <c r="I377" s="29"/>
      <c r="J377" s="30"/>
      <c r="K377" s="31"/>
      <c r="L377" s="88"/>
      <c r="M377" s="81"/>
      <c r="N377" s="24"/>
      <c r="O377" s="32"/>
      <c r="P377" s="79"/>
      <c r="Q377" s="79"/>
      <c r="R377" s="79"/>
      <c r="S377" s="32"/>
      <c r="T377" s="32"/>
      <c r="U377" s="32"/>
      <c r="V377" s="32"/>
      <c r="W377" s="32"/>
      <c r="X377" s="24"/>
      <c r="Y377" s="24"/>
      <c r="Z377" s="24"/>
      <c r="AA377" s="32"/>
      <c r="AB377" s="32"/>
      <c r="AC377" s="38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</row>
    <row r="378" ht="15.75" customHeight="1">
      <c r="A378" s="23"/>
      <c r="B378" s="46"/>
      <c r="C378" s="25"/>
      <c r="D378" s="26"/>
      <c r="E378" s="67"/>
      <c r="F378" s="28"/>
      <c r="G378" s="26"/>
      <c r="H378" s="26"/>
      <c r="I378" s="29"/>
      <c r="J378" s="30"/>
      <c r="K378" s="31"/>
      <c r="L378" s="32"/>
      <c r="M378" s="81"/>
      <c r="N378" s="24"/>
      <c r="O378" s="32"/>
      <c r="P378" s="79"/>
      <c r="Q378" s="79"/>
      <c r="R378" s="79"/>
      <c r="S378" s="32"/>
      <c r="T378" s="32"/>
      <c r="U378" s="32"/>
      <c r="V378" s="32"/>
      <c r="W378" s="32"/>
      <c r="X378" s="24"/>
      <c r="Y378" s="32"/>
      <c r="Z378" s="32"/>
      <c r="AA378" s="32"/>
      <c r="AB378" s="32"/>
      <c r="AC378" s="38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</row>
    <row r="379" ht="15.75" customHeight="1">
      <c r="A379" s="23"/>
      <c r="B379" s="46"/>
      <c r="C379" s="25"/>
      <c r="D379" s="26"/>
      <c r="E379" s="67"/>
      <c r="F379" s="28"/>
      <c r="G379" s="26"/>
      <c r="H379" s="26"/>
      <c r="I379" s="29"/>
      <c r="J379" s="30"/>
      <c r="K379" s="31"/>
      <c r="L379" s="132"/>
      <c r="M379" s="81"/>
      <c r="N379" s="24"/>
      <c r="O379" s="32"/>
      <c r="P379" s="79"/>
      <c r="Q379" s="79"/>
      <c r="R379" s="79"/>
      <c r="S379" s="32"/>
      <c r="T379" s="32"/>
      <c r="U379" s="32"/>
      <c r="V379" s="32"/>
      <c r="W379" s="32"/>
      <c r="X379" s="24"/>
      <c r="Y379" s="24"/>
      <c r="Z379" s="24"/>
      <c r="AA379" s="32"/>
      <c r="AB379" s="32"/>
      <c r="AC379" s="38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</row>
    <row r="380" ht="15.75" customHeight="1">
      <c r="A380" s="23"/>
      <c r="B380" s="46"/>
      <c r="C380" s="25"/>
      <c r="D380" s="26"/>
      <c r="E380" s="67"/>
      <c r="F380" s="28"/>
      <c r="G380" s="26"/>
      <c r="H380" s="26"/>
      <c r="I380" s="29"/>
      <c r="J380" s="30"/>
      <c r="K380" s="31"/>
      <c r="L380" s="47"/>
      <c r="M380" s="81"/>
      <c r="N380" s="24"/>
      <c r="O380" s="32"/>
      <c r="P380" s="79"/>
      <c r="Q380" s="79"/>
      <c r="R380" s="79"/>
      <c r="S380" s="32"/>
      <c r="T380" s="32"/>
      <c r="U380" s="32"/>
      <c r="V380" s="32"/>
      <c r="W380" s="32"/>
      <c r="X380" s="24"/>
      <c r="Y380" s="32"/>
      <c r="Z380" s="32"/>
      <c r="AA380" s="32"/>
      <c r="AB380" s="32"/>
      <c r="AC380" s="38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</row>
    <row r="381" ht="15.75" customHeight="1">
      <c r="A381" s="23"/>
      <c r="B381" s="46"/>
      <c r="C381" s="25"/>
      <c r="D381" s="26"/>
      <c r="E381" s="67"/>
      <c r="F381" s="28"/>
      <c r="G381" s="26"/>
      <c r="H381" s="26"/>
      <c r="I381" s="29"/>
      <c r="J381" s="30"/>
      <c r="K381" s="31"/>
      <c r="L381" s="46"/>
      <c r="M381" s="81"/>
      <c r="N381" s="24"/>
      <c r="O381" s="32"/>
      <c r="P381" s="79"/>
      <c r="Q381" s="79"/>
      <c r="R381" s="79"/>
      <c r="S381" s="24"/>
      <c r="T381" s="32"/>
      <c r="U381" s="32"/>
      <c r="V381" s="32"/>
      <c r="W381" s="32"/>
      <c r="X381" s="24"/>
      <c r="Y381" s="24"/>
      <c r="Z381" s="24"/>
      <c r="AA381" s="32"/>
      <c r="AB381" s="32"/>
      <c r="AC381" s="38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</row>
    <row r="382" ht="15.75" customHeight="1">
      <c r="A382" s="23"/>
      <c r="B382" s="46"/>
      <c r="C382" s="25"/>
      <c r="D382" s="26"/>
      <c r="E382" s="67"/>
      <c r="F382" s="28"/>
      <c r="G382" s="26"/>
      <c r="H382" s="26"/>
      <c r="I382" s="29"/>
      <c r="J382" s="30"/>
      <c r="K382" s="31"/>
      <c r="L382" s="24"/>
      <c r="M382" s="81"/>
      <c r="N382" s="24"/>
      <c r="O382" s="32"/>
      <c r="P382" s="79"/>
      <c r="Q382" s="79"/>
      <c r="R382" s="79"/>
      <c r="S382" s="24"/>
      <c r="T382" s="32"/>
      <c r="U382" s="32"/>
      <c r="V382" s="32"/>
      <c r="W382" s="32"/>
      <c r="X382" s="24"/>
      <c r="Y382" s="24"/>
      <c r="Z382" s="24"/>
      <c r="AA382" s="32"/>
      <c r="AB382" s="32"/>
      <c r="AC382" s="38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</row>
    <row r="383" ht="15.75" customHeight="1">
      <c r="A383" s="23"/>
      <c r="B383" s="46"/>
      <c r="C383" s="25"/>
      <c r="D383" s="26"/>
      <c r="E383" s="67"/>
      <c r="F383" s="28"/>
      <c r="G383" s="26"/>
      <c r="H383" s="26"/>
      <c r="I383" s="29"/>
      <c r="J383" s="30"/>
      <c r="K383" s="31"/>
      <c r="L383" s="24"/>
      <c r="M383" s="81"/>
      <c r="N383" s="24"/>
      <c r="O383" s="32"/>
      <c r="P383" s="79"/>
      <c r="Q383" s="79"/>
      <c r="R383" s="79"/>
      <c r="S383" s="24"/>
      <c r="T383" s="24"/>
      <c r="U383" s="32"/>
      <c r="V383" s="32"/>
      <c r="W383" s="32"/>
      <c r="X383" s="24"/>
      <c r="Y383" s="24"/>
      <c r="Z383" s="24"/>
      <c r="AA383" s="24"/>
      <c r="AB383" s="24"/>
      <c r="AC383" s="38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</row>
    <row r="384" ht="15.75" customHeight="1">
      <c r="A384" s="23"/>
      <c r="B384" s="24"/>
      <c r="C384" s="25"/>
      <c r="D384" s="26"/>
      <c r="E384" s="67"/>
      <c r="F384" s="28"/>
      <c r="G384" s="26"/>
      <c r="H384" s="26"/>
      <c r="I384" s="29"/>
      <c r="J384" s="30"/>
      <c r="K384" s="31"/>
      <c r="L384" s="32"/>
      <c r="M384" s="81"/>
      <c r="N384" s="82"/>
      <c r="O384" s="24"/>
      <c r="P384" s="79"/>
      <c r="Q384" s="79"/>
      <c r="R384" s="37"/>
      <c r="S384" s="32"/>
      <c r="T384" s="32"/>
      <c r="U384" s="32"/>
      <c r="V384" s="32"/>
      <c r="W384" s="32"/>
      <c r="X384" s="24"/>
      <c r="Y384" s="24"/>
      <c r="Z384" s="24"/>
      <c r="AA384" s="32"/>
      <c r="AB384" s="32"/>
      <c r="AC384" s="38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</row>
    <row r="385" ht="15.75" customHeight="1">
      <c r="A385" s="23"/>
      <c r="B385" s="24"/>
      <c r="C385" s="25"/>
      <c r="D385" s="26"/>
      <c r="E385" s="67"/>
      <c r="F385" s="28"/>
      <c r="G385" s="26"/>
      <c r="H385" s="26"/>
      <c r="I385" s="29"/>
      <c r="J385" s="30"/>
      <c r="K385" s="31"/>
      <c r="L385" s="24"/>
      <c r="M385" s="81"/>
      <c r="N385" s="82"/>
      <c r="O385" s="24"/>
      <c r="P385" s="79"/>
      <c r="Q385" s="37"/>
      <c r="R385" s="37"/>
      <c r="S385" s="32"/>
      <c r="T385" s="32"/>
      <c r="U385" s="32"/>
      <c r="V385" s="32"/>
      <c r="W385" s="32"/>
      <c r="X385" s="24"/>
      <c r="Y385" s="32"/>
      <c r="Z385" s="32"/>
      <c r="AA385" s="32"/>
      <c r="AB385" s="32"/>
      <c r="AC385" s="38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</row>
    <row r="386" ht="15.75" customHeight="1">
      <c r="A386" s="23"/>
      <c r="B386" s="24"/>
      <c r="C386" s="25"/>
      <c r="D386" s="26"/>
      <c r="E386" s="67"/>
      <c r="F386" s="28"/>
      <c r="G386" s="26"/>
      <c r="H386" s="26"/>
      <c r="I386" s="29"/>
      <c r="J386" s="30"/>
      <c r="K386" s="31"/>
      <c r="L386" s="24"/>
      <c r="M386" s="81"/>
      <c r="N386" s="82"/>
      <c r="O386" s="24"/>
      <c r="P386" s="79"/>
      <c r="Q386" s="79"/>
      <c r="R386" s="37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8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</row>
    <row r="387" ht="15.75" customHeight="1">
      <c r="A387" s="23"/>
      <c r="B387" s="24"/>
      <c r="C387" s="25"/>
      <c r="D387" s="26"/>
      <c r="E387" s="67"/>
      <c r="F387" s="28"/>
      <c r="G387" s="26"/>
      <c r="H387" s="26"/>
      <c r="I387" s="29"/>
      <c r="J387" s="30"/>
      <c r="K387" s="31"/>
      <c r="L387" s="47"/>
      <c r="M387" s="81"/>
      <c r="N387" s="82"/>
      <c r="O387" s="24"/>
      <c r="P387" s="79"/>
      <c r="Q387" s="37"/>
      <c r="R387" s="37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8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</row>
    <row r="388" ht="15.75" customHeight="1">
      <c r="A388" s="23"/>
      <c r="B388" s="24"/>
      <c r="C388" s="25"/>
      <c r="D388" s="26"/>
      <c r="E388" s="67"/>
      <c r="F388" s="28"/>
      <c r="G388" s="26"/>
      <c r="H388" s="26"/>
      <c r="I388" s="29"/>
      <c r="J388" s="30"/>
      <c r="K388" s="31"/>
      <c r="L388" s="47"/>
      <c r="M388" s="81"/>
      <c r="N388" s="82"/>
      <c r="O388" s="24"/>
      <c r="P388" s="79"/>
      <c r="Q388" s="37"/>
      <c r="R388" s="37"/>
      <c r="S388" s="24"/>
      <c r="T388" s="24"/>
      <c r="U388" s="32"/>
      <c r="V388" s="32"/>
      <c r="W388" s="32"/>
      <c r="X388" s="24"/>
      <c r="Y388" s="24"/>
      <c r="Z388" s="32"/>
      <c r="AA388" s="32"/>
      <c r="AB388" s="32"/>
      <c r="AC388" s="38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</row>
    <row r="389" ht="15.75" customHeight="1">
      <c r="A389" s="48"/>
      <c r="B389" s="24"/>
      <c r="C389" s="29"/>
      <c r="D389" s="26"/>
      <c r="E389" s="27"/>
      <c r="F389" s="134"/>
      <c r="G389" s="30"/>
      <c r="H389" s="30"/>
      <c r="I389" s="59"/>
      <c r="J389" s="50"/>
      <c r="K389" s="30"/>
      <c r="L389" s="24"/>
      <c r="M389" s="135"/>
      <c r="N389" s="82"/>
      <c r="O389" s="61"/>
      <c r="P389" s="52"/>
      <c r="Q389" s="52"/>
      <c r="R389" s="52"/>
      <c r="S389" s="24"/>
      <c r="T389" s="53"/>
      <c r="U389" s="53"/>
      <c r="V389" s="53"/>
      <c r="W389" s="53"/>
      <c r="X389" s="24"/>
      <c r="Y389" s="32"/>
      <c r="Z389" s="53"/>
      <c r="AA389" s="53"/>
      <c r="AB389" s="53"/>
      <c r="AC389" s="55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</row>
    <row r="390" ht="15.75" customHeight="1">
      <c r="A390" s="23"/>
      <c r="B390" s="24"/>
      <c r="C390" s="25"/>
      <c r="D390" s="26"/>
      <c r="E390" s="67"/>
      <c r="F390" s="28"/>
      <c r="G390" s="26"/>
      <c r="H390" s="26"/>
      <c r="I390" s="29"/>
      <c r="J390" s="30"/>
      <c r="K390" s="31"/>
      <c r="L390" s="24"/>
      <c r="M390" s="81"/>
      <c r="N390" s="82"/>
      <c r="O390" s="24"/>
      <c r="P390" s="79"/>
      <c r="Q390" s="79"/>
      <c r="R390" s="79"/>
      <c r="S390" s="24"/>
      <c r="T390" s="32"/>
      <c r="U390" s="32"/>
      <c r="V390" s="32"/>
      <c r="W390" s="32"/>
      <c r="X390" s="24"/>
      <c r="Y390" s="24"/>
      <c r="Z390" s="32"/>
      <c r="AA390" s="32"/>
      <c r="AB390" s="32"/>
      <c r="AC390" s="38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</row>
    <row r="391" ht="15.75" customHeight="1">
      <c r="A391" s="23"/>
      <c r="B391" s="24"/>
      <c r="C391" s="25"/>
      <c r="D391" s="26"/>
      <c r="E391" s="67"/>
      <c r="F391" s="28"/>
      <c r="G391" s="26"/>
      <c r="H391" s="26"/>
      <c r="I391" s="29"/>
      <c r="J391" s="30"/>
      <c r="K391" s="31"/>
      <c r="L391" s="24"/>
      <c r="M391" s="81"/>
      <c r="N391" s="82"/>
      <c r="O391" s="24"/>
      <c r="P391" s="79"/>
      <c r="Q391" s="79"/>
      <c r="R391" s="79"/>
      <c r="S391" s="32"/>
      <c r="T391" s="32"/>
      <c r="U391" s="32"/>
      <c r="V391" s="32"/>
      <c r="W391" s="32"/>
      <c r="X391" s="24"/>
      <c r="Y391" s="32"/>
      <c r="Z391" s="32"/>
      <c r="AA391" s="32"/>
      <c r="AB391" s="32"/>
      <c r="AC391" s="38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</row>
    <row r="392" ht="15.75" customHeight="1">
      <c r="A392" s="23"/>
      <c r="B392" s="24"/>
      <c r="C392" s="25"/>
      <c r="D392" s="26"/>
      <c r="E392" s="67"/>
      <c r="F392" s="28"/>
      <c r="G392" s="26"/>
      <c r="H392" s="26"/>
      <c r="I392" s="29"/>
      <c r="J392" s="30"/>
      <c r="K392" s="31"/>
      <c r="L392" s="47"/>
      <c r="M392" s="81"/>
      <c r="N392" s="82"/>
      <c r="O392" s="24"/>
      <c r="P392" s="79"/>
      <c r="Q392" s="79"/>
      <c r="R392" s="79"/>
      <c r="S392" s="24"/>
      <c r="T392" s="24"/>
      <c r="U392" s="24"/>
      <c r="V392" s="32"/>
      <c r="W392" s="32"/>
      <c r="X392" s="24"/>
      <c r="Y392" s="32"/>
      <c r="Z392" s="32"/>
      <c r="AA392" s="32"/>
      <c r="AB392" s="32"/>
      <c r="AC392" s="38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</row>
    <row r="393" ht="15.75" customHeight="1">
      <c r="A393" s="23"/>
      <c r="B393" s="24"/>
      <c r="C393" s="25"/>
      <c r="D393" s="26"/>
      <c r="E393" s="67"/>
      <c r="F393" s="28"/>
      <c r="G393" s="26"/>
      <c r="H393" s="26"/>
      <c r="I393" s="29"/>
      <c r="J393" s="30"/>
      <c r="K393" s="31"/>
      <c r="L393" s="24"/>
      <c r="M393" s="81"/>
      <c r="N393" s="24"/>
      <c r="O393" s="24"/>
      <c r="P393" s="24"/>
      <c r="Q393" s="24"/>
      <c r="R393" s="24"/>
      <c r="S393" s="24"/>
      <c r="T393" s="32"/>
      <c r="U393" s="32"/>
      <c r="V393" s="32"/>
      <c r="W393" s="32"/>
      <c r="X393" s="24"/>
      <c r="Y393" s="32"/>
      <c r="Z393" s="32"/>
      <c r="AA393" s="32"/>
      <c r="AB393" s="32"/>
      <c r="AC393" s="38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</row>
    <row r="394" ht="15.75" customHeight="1">
      <c r="A394" s="23"/>
      <c r="B394" s="24"/>
      <c r="C394" s="25"/>
      <c r="D394" s="26"/>
      <c r="E394" s="67"/>
      <c r="F394" s="28"/>
      <c r="G394" s="26"/>
      <c r="H394" s="26"/>
      <c r="I394" s="29"/>
      <c r="J394" s="30"/>
      <c r="K394" s="31"/>
      <c r="L394" s="32"/>
      <c r="M394" s="81"/>
      <c r="N394" s="82"/>
      <c r="O394" s="24"/>
      <c r="P394" s="79"/>
      <c r="Q394" s="80"/>
      <c r="R394" s="80"/>
      <c r="S394" s="24"/>
      <c r="T394" s="32"/>
      <c r="U394" s="32"/>
      <c r="V394" s="32"/>
      <c r="W394" s="32"/>
      <c r="X394" s="32"/>
      <c r="Y394" s="32"/>
      <c r="Z394" s="32"/>
      <c r="AA394" s="32"/>
      <c r="AB394" s="32"/>
      <c r="AC394" s="38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</row>
    <row r="395" ht="15.75" customHeight="1">
      <c r="A395" s="23"/>
      <c r="B395" s="24"/>
      <c r="C395" s="25"/>
      <c r="D395" s="26"/>
      <c r="E395" s="67"/>
      <c r="F395" s="28"/>
      <c r="G395" s="26"/>
      <c r="H395" s="26"/>
      <c r="I395" s="29"/>
      <c r="J395" s="30"/>
      <c r="K395" s="31"/>
      <c r="L395" s="136"/>
      <c r="M395" s="81"/>
      <c r="N395" s="24"/>
      <c r="O395" s="24"/>
      <c r="P395" s="79"/>
      <c r="Q395" s="37"/>
      <c r="R395" s="37"/>
      <c r="S395" s="32"/>
      <c r="T395" s="32"/>
      <c r="U395" s="32"/>
      <c r="V395" s="32"/>
      <c r="W395" s="32"/>
      <c r="X395" s="24"/>
      <c r="Y395" s="32"/>
      <c r="Z395" s="32"/>
      <c r="AA395" s="32"/>
      <c r="AB395" s="32"/>
      <c r="AC395" s="38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</row>
    <row r="396" ht="15.75" customHeight="1">
      <c r="A396" s="23"/>
      <c r="B396" s="44"/>
      <c r="C396" s="25"/>
      <c r="D396" s="26"/>
      <c r="E396" s="67"/>
      <c r="F396" s="28"/>
      <c r="G396" s="26"/>
      <c r="H396" s="26"/>
      <c r="I396" s="29"/>
      <c r="J396" s="30"/>
      <c r="K396" s="31"/>
      <c r="L396" s="32"/>
      <c r="M396" s="81"/>
      <c r="N396" s="82"/>
      <c r="O396" s="24"/>
      <c r="P396" s="79"/>
      <c r="Q396" s="37"/>
      <c r="R396" s="37"/>
      <c r="S396" s="24"/>
      <c r="T396" s="24"/>
      <c r="U396" s="32"/>
      <c r="V396" s="32"/>
      <c r="W396" s="32"/>
      <c r="X396" s="24"/>
      <c r="Y396" s="32"/>
      <c r="Z396" s="32"/>
      <c r="AA396" s="32"/>
      <c r="AB396" s="32"/>
      <c r="AC396" s="38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</row>
    <row r="397" ht="15.75" customHeight="1">
      <c r="A397" s="23"/>
      <c r="B397" s="24"/>
      <c r="C397" s="25"/>
      <c r="D397" s="26"/>
      <c r="E397" s="67"/>
      <c r="F397" s="28"/>
      <c r="G397" s="26"/>
      <c r="H397" s="26"/>
      <c r="I397" s="29"/>
      <c r="J397" s="30"/>
      <c r="K397" s="31"/>
      <c r="L397" s="24"/>
      <c r="M397" s="81"/>
      <c r="N397" s="82"/>
      <c r="O397" s="24"/>
      <c r="P397" s="79"/>
      <c r="Q397" s="79"/>
      <c r="R397" s="37"/>
      <c r="S397" s="32"/>
      <c r="T397" s="32"/>
      <c r="U397" s="32"/>
      <c r="V397" s="32"/>
      <c r="W397" s="32"/>
      <c r="X397" s="65"/>
      <c r="Y397" s="32"/>
      <c r="Z397" s="32"/>
      <c r="AA397" s="32"/>
      <c r="AB397" s="32"/>
      <c r="AC397" s="38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</row>
    <row r="398" ht="15.75" customHeight="1">
      <c r="A398" s="23"/>
      <c r="B398" s="46"/>
      <c r="C398" s="25"/>
      <c r="D398" s="26"/>
      <c r="E398" s="67"/>
      <c r="F398" s="28"/>
      <c r="G398" s="26"/>
      <c r="H398" s="26"/>
      <c r="I398" s="29"/>
      <c r="J398" s="30"/>
      <c r="K398" s="31"/>
      <c r="L398" s="88"/>
      <c r="M398" s="81"/>
      <c r="N398" s="24"/>
      <c r="O398" s="32"/>
      <c r="P398" s="79"/>
      <c r="Q398" s="79"/>
      <c r="R398" s="79"/>
      <c r="S398" s="24"/>
      <c r="T398" s="24"/>
      <c r="U398" s="24"/>
      <c r="V398" s="24"/>
      <c r="W398" s="32"/>
      <c r="X398" s="24"/>
      <c r="Y398" s="32"/>
      <c r="Z398" s="32"/>
      <c r="AA398" s="32"/>
      <c r="AB398" s="32"/>
      <c r="AC398" s="38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</row>
    <row r="399" ht="15.75" customHeight="1">
      <c r="A399" s="23"/>
      <c r="B399" s="46"/>
      <c r="C399" s="25"/>
      <c r="D399" s="26"/>
      <c r="E399" s="67"/>
      <c r="F399" s="28"/>
      <c r="G399" s="26"/>
      <c r="H399" s="26"/>
      <c r="I399" s="29"/>
      <c r="J399" s="30"/>
      <c r="K399" s="31"/>
      <c r="L399" s="24"/>
      <c r="M399" s="81"/>
      <c r="N399" s="24"/>
      <c r="O399" s="32"/>
      <c r="P399" s="79"/>
      <c r="Q399" s="79"/>
      <c r="R399" s="79"/>
      <c r="S399" s="24"/>
      <c r="T399" s="24"/>
      <c r="U399" s="24"/>
      <c r="V399" s="32"/>
      <c r="W399" s="32"/>
      <c r="X399" s="24"/>
      <c r="Y399" s="24"/>
      <c r="Z399" s="32"/>
      <c r="AA399" s="32"/>
      <c r="AB399" s="32"/>
      <c r="AC399" s="38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</row>
    <row r="400" ht="15.75" customHeight="1">
      <c r="A400" s="23"/>
      <c r="B400" s="46"/>
      <c r="C400" s="25"/>
      <c r="D400" s="26"/>
      <c r="E400" s="67"/>
      <c r="F400" s="28"/>
      <c r="G400" s="26"/>
      <c r="H400" s="26"/>
      <c r="I400" s="29"/>
      <c r="J400" s="30"/>
      <c r="K400" s="31"/>
      <c r="L400" s="24"/>
      <c r="M400" s="81"/>
      <c r="N400" s="24"/>
      <c r="O400" s="32"/>
      <c r="P400" s="79"/>
      <c r="Q400" s="79"/>
      <c r="R400" s="79"/>
      <c r="S400" s="24"/>
      <c r="T400" s="24"/>
      <c r="U400" s="24"/>
      <c r="V400" s="24"/>
      <c r="W400" s="32"/>
      <c r="X400" s="24"/>
      <c r="Y400" s="24"/>
      <c r="Z400" s="24"/>
      <c r="AA400" s="32"/>
      <c r="AB400" s="32"/>
      <c r="AC400" s="38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</row>
    <row r="401" ht="15.75" customHeight="1">
      <c r="A401" s="23"/>
      <c r="B401" s="46"/>
      <c r="C401" s="25"/>
      <c r="D401" s="26"/>
      <c r="E401" s="67"/>
      <c r="F401" s="28"/>
      <c r="G401" s="26"/>
      <c r="H401" s="26"/>
      <c r="I401" s="29"/>
      <c r="J401" s="30"/>
      <c r="K401" s="31"/>
      <c r="L401" s="24"/>
      <c r="M401" s="81"/>
      <c r="N401" s="24"/>
      <c r="O401" s="32"/>
      <c r="P401" s="79"/>
      <c r="Q401" s="79"/>
      <c r="R401" s="79"/>
      <c r="S401" s="24"/>
      <c r="T401" s="24"/>
      <c r="U401" s="24"/>
      <c r="V401" s="24"/>
      <c r="W401" s="32"/>
      <c r="X401" s="24"/>
      <c r="Y401" s="24"/>
      <c r="Z401" s="24"/>
      <c r="AA401" s="32"/>
      <c r="AB401" s="32"/>
      <c r="AC401" s="38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</row>
    <row r="402" ht="15.75" customHeight="1">
      <c r="A402" s="23"/>
      <c r="B402" s="46"/>
      <c r="C402" s="25"/>
      <c r="D402" s="26"/>
      <c r="E402" s="67"/>
      <c r="F402" s="28"/>
      <c r="G402" s="26"/>
      <c r="H402" s="26"/>
      <c r="I402" s="29"/>
      <c r="J402" s="30"/>
      <c r="K402" s="31"/>
      <c r="L402" s="47"/>
      <c r="M402" s="81"/>
      <c r="N402" s="24"/>
      <c r="O402" s="32"/>
      <c r="P402" s="79"/>
      <c r="Q402" s="79"/>
      <c r="R402" s="79"/>
      <c r="S402" s="24"/>
      <c r="T402" s="24"/>
      <c r="U402" s="24"/>
      <c r="V402" s="24"/>
      <c r="W402" s="32"/>
      <c r="X402" s="24"/>
      <c r="Y402" s="32"/>
      <c r="Z402" s="32"/>
      <c r="AA402" s="32"/>
      <c r="AB402" s="32"/>
      <c r="AC402" s="38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</row>
    <row r="403" ht="15.75" customHeight="1">
      <c r="A403" s="23"/>
      <c r="B403" s="46"/>
      <c r="C403" s="25"/>
      <c r="D403" s="26"/>
      <c r="E403" s="67"/>
      <c r="F403" s="28"/>
      <c r="G403" s="26"/>
      <c r="H403" s="26"/>
      <c r="I403" s="29"/>
      <c r="J403" s="30"/>
      <c r="K403" s="31"/>
      <c r="L403" s="24"/>
      <c r="M403" s="81"/>
      <c r="N403" s="24"/>
      <c r="O403" s="32"/>
      <c r="P403" s="79"/>
      <c r="Q403" s="79"/>
      <c r="R403" s="79"/>
      <c r="S403" s="24"/>
      <c r="T403" s="24"/>
      <c r="U403" s="24"/>
      <c r="V403" s="24"/>
      <c r="W403" s="24"/>
      <c r="X403" s="32"/>
      <c r="Y403" s="32"/>
      <c r="Z403" s="32"/>
      <c r="AA403" s="32"/>
      <c r="AB403" s="32"/>
      <c r="AC403" s="38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</row>
    <row r="404" ht="15.75" customHeight="1">
      <c r="A404" s="23"/>
      <c r="B404" s="46"/>
      <c r="C404" s="25"/>
      <c r="D404" s="26"/>
      <c r="E404" s="67"/>
      <c r="F404" s="28"/>
      <c r="G404" s="26"/>
      <c r="H404" s="26"/>
      <c r="I404" s="29"/>
      <c r="J404" s="30"/>
      <c r="K404" s="31"/>
      <c r="L404" s="24"/>
      <c r="M404" s="81"/>
      <c r="N404" s="24"/>
      <c r="O404" s="32"/>
      <c r="P404" s="79"/>
      <c r="Q404" s="79"/>
      <c r="R404" s="79"/>
      <c r="S404" s="24"/>
      <c r="T404" s="24"/>
      <c r="U404" s="24"/>
      <c r="V404" s="32"/>
      <c r="W404" s="32"/>
      <c r="X404" s="24"/>
      <c r="Y404" s="32"/>
      <c r="Z404" s="32"/>
      <c r="AA404" s="32"/>
      <c r="AB404" s="32"/>
      <c r="AC404" s="38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</row>
    <row r="405" ht="15.75" customHeight="1">
      <c r="A405" s="23"/>
      <c r="B405" s="46"/>
      <c r="C405" s="25"/>
      <c r="D405" s="26"/>
      <c r="E405" s="67"/>
      <c r="F405" s="28"/>
      <c r="G405" s="26"/>
      <c r="H405" s="26"/>
      <c r="I405" s="29"/>
      <c r="J405" s="30"/>
      <c r="K405" s="31"/>
      <c r="L405" s="24"/>
      <c r="M405" s="81"/>
      <c r="N405" s="24"/>
      <c r="O405" s="32"/>
      <c r="P405" s="79"/>
      <c r="Q405" s="79"/>
      <c r="R405" s="79"/>
      <c r="S405" s="24"/>
      <c r="T405" s="24"/>
      <c r="U405" s="24"/>
      <c r="V405" s="24"/>
      <c r="W405" s="24"/>
      <c r="X405" s="24"/>
      <c r="Y405" s="65"/>
      <c r="Z405" s="24"/>
      <c r="AA405" s="32"/>
      <c r="AB405" s="32"/>
      <c r="AC405" s="38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</row>
    <row r="406" ht="15.75" customHeight="1">
      <c r="A406" s="23"/>
      <c r="B406" s="76"/>
      <c r="C406" s="25"/>
      <c r="D406" s="26"/>
      <c r="E406" s="67"/>
      <c r="F406" s="28"/>
      <c r="G406" s="26"/>
      <c r="H406" s="26"/>
      <c r="I406" s="29"/>
      <c r="J406" s="30"/>
      <c r="K406" s="31"/>
      <c r="L406" s="24"/>
      <c r="M406" s="81"/>
      <c r="N406" s="24"/>
      <c r="O406" s="32"/>
      <c r="P406" s="79"/>
      <c r="Q406" s="79"/>
      <c r="R406" s="79"/>
      <c r="S406" s="24"/>
      <c r="T406" s="24"/>
      <c r="U406" s="24"/>
      <c r="V406" s="24"/>
      <c r="W406" s="24"/>
      <c r="X406" s="24"/>
      <c r="Y406" s="24"/>
      <c r="Z406" s="32"/>
      <c r="AA406" s="32"/>
      <c r="AB406" s="32"/>
      <c r="AC406" s="38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</row>
    <row r="407" ht="15.75" customHeight="1">
      <c r="A407" s="23"/>
      <c r="B407" s="46"/>
      <c r="C407" s="25"/>
      <c r="D407" s="26"/>
      <c r="E407" s="67"/>
      <c r="F407" s="28"/>
      <c r="G407" s="26"/>
      <c r="H407" s="26"/>
      <c r="I407" s="29"/>
      <c r="J407" s="30"/>
      <c r="K407" s="31"/>
      <c r="L407" s="24"/>
      <c r="M407" s="81"/>
      <c r="N407" s="24"/>
      <c r="O407" s="32"/>
      <c r="P407" s="79"/>
      <c r="Q407" s="79"/>
      <c r="R407" s="79"/>
      <c r="S407" s="24"/>
      <c r="T407" s="24"/>
      <c r="U407" s="24"/>
      <c r="V407" s="24"/>
      <c r="W407" s="24"/>
      <c r="X407" s="24"/>
      <c r="Y407" s="24"/>
      <c r="Z407" s="24"/>
      <c r="AA407" s="32"/>
      <c r="AB407" s="32"/>
      <c r="AC407" s="38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</row>
    <row r="408" ht="15.75" customHeight="1">
      <c r="A408" s="23"/>
      <c r="B408" s="24"/>
      <c r="C408" s="25"/>
      <c r="D408" s="26"/>
      <c r="E408" s="67"/>
      <c r="F408" s="28"/>
      <c r="G408" s="26"/>
      <c r="H408" s="26"/>
      <c r="I408" s="29"/>
      <c r="J408" s="30"/>
      <c r="K408" s="31"/>
      <c r="L408" s="24"/>
      <c r="M408" s="81"/>
      <c r="N408" s="82"/>
      <c r="O408" s="24"/>
      <c r="P408" s="79"/>
      <c r="Q408" s="37"/>
      <c r="R408" s="37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8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</row>
    <row r="409" ht="15.75" customHeight="1">
      <c r="A409" s="23"/>
      <c r="B409" s="24"/>
      <c r="C409" s="25"/>
      <c r="D409" s="26"/>
      <c r="E409" s="67"/>
      <c r="F409" s="28"/>
      <c r="G409" s="26"/>
      <c r="H409" s="26"/>
      <c r="I409" s="29"/>
      <c r="J409" s="30"/>
      <c r="K409" s="31"/>
      <c r="L409" s="47"/>
      <c r="M409" s="81"/>
      <c r="N409" s="82"/>
      <c r="O409" s="24"/>
      <c r="P409" s="79"/>
      <c r="Q409" s="52"/>
      <c r="R409" s="52"/>
      <c r="S409" s="24"/>
      <c r="T409" s="32"/>
      <c r="U409" s="32"/>
      <c r="V409" s="32"/>
      <c r="W409" s="32"/>
      <c r="X409" s="32"/>
      <c r="Y409" s="32"/>
      <c r="Z409" s="32"/>
      <c r="AA409" s="32"/>
      <c r="AB409" s="32"/>
      <c r="AC409" s="38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</row>
    <row r="410" ht="15.75" customHeight="1">
      <c r="A410" s="23"/>
      <c r="B410" s="24"/>
      <c r="C410" s="25"/>
      <c r="D410" s="26"/>
      <c r="E410" s="67"/>
      <c r="F410" s="28"/>
      <c r="G410" s="26"/>
      <c r="H410" s="26"/>
      <c r="I410" s="29"/>
      <c r="J410" s="30"/>
      <c r="K410" s="31"/>
      <c r="L410" s="24"/>
      <c r="M410" s="81"/>
      <c r="N410" s="82"/>
      <c r="O410" s="24"/>
      <c r="P410" s="137"/>
      <c r="Q410" s="52"/>
      <c r="R410" s="52"/>
      <c r="S410" s="24"/>
      <c r="T410" s="32"/>
      <c r="U410" s="32"/>
      <c r="V410" s="32"/>
      <c r="W410" s="32"/>
      <c r="X410" s="24"/>
      <c r="Y410" s="32"/>
      <c r="Z410" s="32"/>
      <c r="AA410" s="32"/>
      <c r="AB410" s="32"/>
      <c r="AC410" s="38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</row>
    <row r="411" ht="15.75" customHeight="1">
      <c r="A411" s="23"/>
      <c r="B411" s="41"/>
      <c r="C411" s="25"/>
      <c r="D411" s="26"/>
      <c r="E411" s="67"/>
      <c r="F411" s="28"/>
      <c r="G411" s="26"/>
      <c r="H411" s="26"/>
      <c r="I411" s="29"/>
      <c r="J411" s="30"/>
      <c r="K411" s="31"/>
      <c r="L411" s="24"/>
      <c r="M411" s="26"/>
      <c r="N411" s="82"/>
      <c r="O411" s="24"/>
      <c r="P411" s="52"/>
      <c r="Q411" s="52"/>
      <c r="R411" s="37"/>
      <c r="S411" s="24"/>
      <c r="T411" s="24"/>
      <c r="U411" s="24"/>
      <c r="V411" s="32"/>
      <c r="W411" s="32"/>
      <c r="X411" s="32"/>
      <c r="Y411" s="32"/>
      <c r="Z411" s="32"/>
      <c r="AA411" s="32"/>
      <c r="AB411" s="32"/>
      <c r="AC411" s="38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</row>
    <row r="412" ht="15.75" customHeight="1">
      <c r="A412" s="23"/>
      <c r="B412" s="24"/>
      <c r="C412" s="25"/>
      <c r="D412" s="26"/>
      <c r="E412" s="28"/>
      <c r="F412" s="28"/>
      <c r="G412" s="26"/>
      <c r="H412" s="26"/>
      <c r="I412" s="29"/>
      <c r="J412" s="30"/>
      <c r="K412" s="31"/>
      <c r="L412" s="24"/>
      <c r="M412" s="81"/>
      <c r="N412" s="24"/>
      <c r="O412" s="24"/>
      <c r="P412" s="79"/>
      <c r="Q412" s="37"/>
      <c r="R412" s="37"/>
      <c r="S412" s="24"/>
      <c r="T412" s="32"/>
      <c r="U412" s="32"/>
      <c r="V412" s="32"/>
      <c r="W412" s="32"/>
      <c r="X412" s="24"/>
      <c r="Y412" s="24"/>
      <c r="Z412" s="24"/>
      <c r="AA412" s="24"/>
      <c r="AB412" s="32"/>
      <c r="AC412" s="38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</row>
    <row r="413" ht="15.75" customHeight="1">
      <c r="A413" s="23"/>
      <c r="B413" s="41"/>
      <c r="C413" s="25"/>
      <c r="D413" s="26"/>
      <c r="E413" s="67"/>
      <c r="F413" s="28"/>
      <c r="G413" s="26"/>
      <c r="H413" s="26"/>
      <c r="I413" s="29"/>
      <c r="J413" s="30"/>
      <c r="K413" s="31"/>
      <c r="L413" s="24"/>
      <c r="M413" s="81"/>
      <c r="N413" s="82"/>
      <c r="O413" s="24"/>
      <c r="P413" s="137"/>
      <c r="Q413" s="52"/>
      <c r="R413" s="52"/>
      <c r="S413" s="24"/>
      <c r="T413" s="32"/>
      <c r="U413" s="32"/>
      <c r="V413" s="32"/>
      <c r="W413" s="32"/>
      <c r="X413" s="32"/>
      <c r="Y413" s="32"/>
      <c r="Z413" s="32"/>
      <c r="AA413" s="32"/>
      <c r="AB413" s="32"/>
      <c r="AC413" s="38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</row>
    <row r="414" ht="15.75" customHeight="1">
      <c r="A414" s="23"/>
      <c r="B414" s="24"/>
      <c r="C414" s="25"/>
      <c r="D414" s="26"/>
      <c r="E414" s="67"/>
      <c r="F414" s="28"/>
      <c r="G414" s="26"/>
      <c r="H414" s="26"/>
      <c r="I414" s="29"/>
      <c r="J414" s="30"/>
      <c r="K414" s="31"/>
      <c r="L414" s="32"/>
      <c r="M414" s="26"/>
      <c r="N414" s="82"/>
      <c r="O414" s="24"/>
      <c r="P414" s="79"/>
      <c r="Q414" s="79"/>
      <c r="R414" s="37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8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</row>
    <row r="415" ht="15.75" customHeight="1">
      <c r="A415" s="23"/>
      <c r="B415" s="24"/>
      <c r="C415" s="25"/>
      <c r="D415" s="26"/>
      <c r="E415" s="67"/>
      <c r="F415" s="28"/>
      <c r="G415" s="26"/>
      <c r="H415" s="26"/>
      <c r="I415" s="29"/>
      <c r="J415" s="30"/>
      <c r="K415" s="31"/>
      <c r="L415" s="47"/>
      <c r="M415" s="81"/>
      <c r="N415" s="24"/>
      <c r="O415" s="24"/>
      <c r="P415" s="52"/>
      <c r="Q415" s="52"/>
      <c r="R415" s="5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8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</row>
    <row r="416" ht="15.75" customHeight="1">
      <c r="A416" s="23"/>
      <c r="B416" s="24"/>
      <c r="C416" s="25"/>
      <c r="D416" s="26"/>
      <c r="E416" s="86"/>
      <c r="F416" s="28"/>
      <c r="G416" s="26"/>
      <c r="H416" s="26"/>
      <c r="I416" s="29"/>
      <c r="J416" s="30"/>
      <c r="K416" s="31"/>
      <c r="L416" s="138"/>
      <c r="M416" s="26"/>
      <c r="N416" s="82"/>
      <c r="O416" s="24"/>
      <c r="P416" s="137"/>
      <c r="Q416" s="52"/>
      <c r="R416" s="52"/>
      <c r="S416" s="32"/>
      <c r="T416" s="32"/>
      <c r="U416" s="32"/>
      <c r="V416" s="32"/>
      <c r="W416" s="32"/>
      <c r="X416" s="24"/>
      <c r="Y416" s="32"/>
      <c r="Z416" s="32"/>
      <c r="AA416" s="32"/>
      <c r="AB416" s="32"/>
      <c r="AC416" s="38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</row>
    <row r="417" ht="15.75" customHeight="1">
      <c r="A417" s="23"/>
      <c r="B417" s="24"/>
      <c r="C417" s="25"/>
      <c r="D417" s="26"/>
      <c r="E417" s="67"/>
      <c r="F417" s="28"/>
      <c r="G417" s="26"/>
      <c r="H417" s="26"/>
      <c r="I417" s="29"/>
      <c r="J417" s="30"/>
      <c r="K417" s="31"/>
      <c r="L417" s="24"/>
      <c r="M417" s="81"/>
      <c r="N417" s="82"/>
      <c r="O417" s="24"/>
      <c r="P417" s="79"/>
      <c r="Q417" s="79"/>
      <c r="R417" s="37"/>
      <c r="S417" s="24"/>
      <c r="T417" s="32"/>
      <c r="U417" s="32"/>
      <c r="V417" s="32"/>
      <c r="W417" s="32"/>
      <c r="X417" s="24"/>
      <c r="Y417" s="24"/>
      <c r="Z417" s="24"/>
      <c r="AA417" s="32"/>
      <c r="AB417" s="32"/>
      <c r="AC417" s="38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</row>
    <row r="418" ht="15.75" customHeight="1">
      <c r="A418" s="23"/>
      <c r="B418" s="24"/>
      <c r="C418" s="113"/>
      <c r="D418" s="114"/>
      <c r="E418" s="115"/>
      <c r="F418" s="115"/>
      <c r="G418" s="114"/>
      <c r="H418" s="114"/>
      <c r="I418" s="117"/>
      <c r="J418" s="118"/>
      <c r="K418" s="119"/>
      <c r="L418" s="24"/>
      <c r="M418" s="139"/>
      <c r="N418" s="140"/>
      <c r="O418" s="44"/>
      <c r="P418" s="141"/>
      <c r="Q418" s="141"/>
      <c r="R418" s="79"/>
      <c r="S418" s="32"/>
      <c r="T418" s="32"/>
      <c r="U418" s="32"/>
      <c r="V418" s="32"/>
      <c r="W418" s="32"/>
      <c r="X418" s="43"/>
      <c r="Y418" s="24"/>
      <c r="Z418" s="43"/>
      <c r="AA418" s="24"/>
      <c r="AB418" s="32"/>
      <c r="AC418" s="38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</row>
    <row r="419" ht="15.75" customHeight="1">
      <c r="A419" s="23"/>
      <c r="B419" s="44"/>
      <c r="C419" s="25"/>
      <c r="D419" s="26"/>
      <c r="E419" s="67"/>
      <c r="F419" s="28"/>
      <c r="G419" s="26"/>
      <c r="H419" s="26"/>
      <c r="I419" s="29"/>
      <c r="J419" s="30"/>
      <c r="K419" s="31"/>
      <c r="L419" s="47"/>
      <c r="M419" s="81"/>
      <c r="N419" s="82"/>
      <c r="O419" s="24"/>
      <c r="P419" s="79"/>
      <c r="Q419" s="79"/>
      <c r="R419" s="37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8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</row>
    <row r="420" ht="15.75" customHeight="1">
      <c r="A420" s="23"/>
      <c r="B420" s="24"/>
      <c r="C420" s="25"/>
      <c r="D420" s="26"/>
      <c r="E420" s="67"/>
      <c r="F420" s="28"/>
      <c r="G420" s="26"/>
      <c r="H420" s="26"/>
      <c r="I420" s="29"/>
      <c r="J420" s="30"/>
      <c r="K420" s="31"/>
      <c r="L420" s="47"/>
      <c r="M420" s="81"/>
      <c r="N420" s="82"/>
      <c r="O420" s="24"/>
      <c r="P420" s="80"/>
      <c r="Q420" s="80"/>
      <c r="R420" s="80"/>
      <c r="S420" s="32"/>
      <c r="T420" s="32"/>
      <c r="U420" s="32"/>
      <c r="V420" s="32"/>
      <c r="W420" s="32"/>
      <c r="X420" s="24"/>
      <c r="Y420" s="43"/>
      <c r="Z420" s="24"/>
      <c r="AA420" s="32"/>
      <c r="AB420" s="32"/>
      <c r="AC420" s="38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</row>
    <row r="421" ht="15.75" customHeight="1">
      <c r="A421" s="23"/>
      <c r="B421" s="44"/>
      <c r="C421" s="25"/>
      <c r="D421" s="26"/>
      <c r="E421" s="67"/>
      <c r="F421" s="28"/>
      <c r="G421" s="26"/>
      <c r="H421" s="26"/>
      <c r="I421" s="29"/>
      <c r="J421" s="30"/>
      <c r="K421" s="31"/>
      <c r="L421" s="24"/>
      <c r="M421" s="81"/>
      <c r="N421" s="82"/>
      <c r="O421" s="24"/>
      <c r="P421" s="52"/>
      <c r="Q421" s="52"/>
      <c r="R421" s="5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8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</row>
    <row r="422" ht="15.75" customHeight="1">
      <c r="A422" s="112"/>
      <c r="B422" s="24"/>
      <c r="C422" s="113"/>
      <c r="D422" s="114"/>
      <c r="E422" s="115"/>
      <c r="F422" s="115"/>
      <c r="G422" s="114"/>
      <c r="H422" s="114"/>
      <c r="I422" s="117"/>
      <c r="J422" s="118"/>
      <c r="K422" s="119"/>
      <c r="L422" s="44"/>
      <c r="M422" s="139"/>
      <c r="N422" s="140"/>
      <c r="O422" s="44"/>
      <c r="P422" s="110"/>
      <c r="Q422" s="52"/>
      <c r="R422" s="52"/>
      <c r="S422" s="24"/>
      <c r="T422" s="24"/>
      <c r="U422" s="24"/>
      <c r="V422" s="32"/>
      <c r="W422" s="32"/>
      <c r="X422" s="32"/>
      <c r="Y422" s="32"/>
      <c r="Z422" s="32"/>
      <c r="AA422" s="32"/>
      <c r="AB422" s="32"/>
      <c r="AC422" s="38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</row>
    <row r="423" ht="15.75" customHeight="1">
      <c r="A423" s="23"/>
      <c r="B423" s="24"/>
      <c r="C423" s="25"/>
      <c r="D423" s="26"/>
      <c r="E423" s="67"/>
      <c r="F423" s="28"/>
      <c r="G423" s="26"/>
      <c r="H423" s="26"/>
      <c r="I423" s="29"/>
      <c r="J423" s="30"/>
      <c r="K423" s="31"/>
      <c r="L423" s="32"/>
      <c r="M423" s="81"/>
      <c r="N423" s="24"/>
      <c r="O423" s="24"/>
      <c r="P423" s="79"/>
      <c r="Q423" s="79"/>
      <c r="R423" s="79"/>
      <c r="S423" s="24"/>
      <c r="T423" s="32"/>
      <c r="U423" s="32"/>
      <c r="V423" s="32"/>
      <c r="W423" s="32"/>
      <c r="X423" s="24"/>
      <c r="Y423" s="24"/>
      <c r="Z423" s="24"/>
      <c r="AA423" s="24"/>
      <c r="AB423" s="24"/>
      <c r="AC423" s="142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</row>
    <row r="424" ht="15.75" customHeight="1">
      <c r="A424" s="23"/>
      <c r="B424" s="24"/>
      <c r="C424" s="25"/>
      <c r="D424" s="26"/>
      <c r="E424" s="67"/>
      <c r="F424" s="28"/>
      <c r="G424" s="26"/>
      <c r="H424" s="26"/>
      <c r="I424" s="29"/>
      <c r="J424" s="30"/>
      <c r="K424" s="31"/>
      <c r="L424" s="32"/>
      <c r="M424" s="81"/>
      <c r="N424" s="24"/>
      <c r="O424" s="24"/>
      <c r="P424" s="79"/>
      <c r="Q424" s="79"/>
      <c r="R424" s="37"/>
      <c r="S424" s="24"/>
      <c r="T424" s="24"/>
      <c r="U424" s="24"/>
      <c r="V424" s="32"/>
      <c r="W424" s="32"/>
      <c r="X424" s="24"/>
      <c r="Y424" s="32"/>
      <c r="Z424" s="32"/>
      <c r="AA424" s="32"/>
      <c r="AB424" s="32"/>
      <c r="AC424" s="38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</row>
    <row r="425" ht="15.75" customHeight="1">
      <c r="A425" s="23"/>
      <c r="B425" s="44"/>
      <c r="C425" s="25"/>
      <c r="D425" s="26"/>
      <c r="E425" s="67"/>
      <c r="F425" s="28"/>
      <c r="G425" s="26"/>
      <c r="H425" s="26"/>
      <c r="I425" s="29"/>
      <c r="J425" s="30"/>
      <c r="K425" s="31"/>
      <c r="L425" s="32"/>
      <c r="M425" s="81"/>
      <c r="N425" s="82"/>
      <c r="O425" s="24"/>
      <c r="P425" s="79"/>
      <c r="Q425" s="79"/>
      <c r="R425" s="79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8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</row>
    <row r="426" ht="15.75" customHeight="1">
      <c r="A426" s="23"/>
      <c r="B426" s="24"/>
      <c r="C426" s="25"/>
      <c r="D426" s="26"/>
      <c r="E426" s="67"/>
      <c r="F426" s="28"/>
      <c r="G426" s="26"/>
      <c r="H426" s="26"/>
      <c r="I426" s="29"/>
      <c r="J426" s="30"/>
      <c r="K426" s="31"/>
      <c r="L426" s="44"/>
      <c r="M426" s="81"/>
      <c r="N426" s="82"/>
      <c r="O426" s="24"/>
      <c r="P426" s="79"/>
      <c r="Q426" s="79"/>
      <c r="R426" s="79"/>
      <c r="S426" s="24"/>
      <c r="T426" s="24"/>
      <c r="U426" s="32"/>
      <c r="V426" s="32"/>
      <c r="W426" s="32"/>
      <c r="X426" s="24"/>
      <c r="Y426" s="32"/>
      <c r="Z426" s="32"/>
      <c r="AA426" s="32"/>
      <c r="AB426" s="32"/>
      <c r="AC426" s="38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</row>
    <row r="427" ht="15.75" customHeight="1">
      <c r="A427" s="23"/>
      <c r="B427" s="24"/>
      <c r="C427" s="25"/>
      <c r="D427" s="26"/>
      <c r="E427" s="67"/>
      <c r="F427" s="28"/>
      <c r="G427" s="26"/>
      <c r="H427" s="26"/>
      <c r="I427" s="29"/>
      <c r="J427" s="30"/>
      <c r="K427" s="31"/>
      <c r="L427" s="41"/>
      <c r="M427" s="81"/>
      <c r="N427" s="82"/>
      <c r="O427" s="24"/>
      <c r="P427" s="79"/>
      <c r="Q427" s="79"/>
      <c r="R427" s="37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8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</row>
    <row r="428" ht="15.75" customHeight="1">
      <c r="A428" s="23"/>
      <c r="B428" s="24"/>
      <c r="C428" s="25"/>
      <c r="D428" s="26"/>
      <c r="E428" s="67"/>
      <c r="F428" s="28"/>
      <c r="G428" s="26"/>
      <c r="H428" s="30"/>
      <c r="I428" s="29"/>
      <c r="J428" s="30"/>
      <c r="K428" s="31"/>
      <c r="L428" s="24"/>
      <c r="M428" s="26"/>
      <c r="N428" s="82"/>
      <c r="O428" s="24"/>
      <c r="P428" s="79"/>
      <c r="Q428" s="37"/>
      <c r="R428" s="37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8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</row>
    <row r="429" ht="15.75" customHeight="1">
      <c r="A429" s="23"/>
      <c r="B429" s="24"/>
      <c r="C429" s="25"/>
      <c r="D429" s="26"/>
      <c r="E429" s="27"/>
      <c r="F429" s="28"/>
      <c r="G429" s="26"/>
      <c r="H429" s="26"/>
      <c r="I429" s="29"/>
      <c r="J429" s="30"/>
      <c r="K429" s="31"/>
      <c r="L429" s="24"/>
      <c r="M429" s="81"/>
      <c r="N429" s="82"/>
      <c r="O429" s="24"/>
      <c r="P429" s="79"/>
      <c r="Q429" s="37"/>
      <c r="R429" s="37"/>
      <c r="S429" s="24"/>
      <c r="T429" s="32"/>
      <c r="U429" s="32"/>
      <c r="V429" s="32"/>
      <c r="W429" s="32"/>
      <c r="X429" s="24"/>
      <c r="Y429" s="32"/>
      <c r="Z429" s="32"/>
      <c r="AA429" s="32"/>
      <c r="AB429" s="32"/>
      <c r="AC429" s="38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</row>
    <row r="430" ht="15.75" customHeight="1">
      <c r="A430" s="23"/>
      <c r="B430" s="24"/>
      <c r="C430" s="25"/>
      <c r="D430" s="26"/>
      <c r="E430" s="67"/>
      <c r="F430" s="28"/>
      <c r="G430" s="26"/>
      <c r="H430" s="26"/>
      <c r="I430" s="29"/>
      <c r="J430" s="30"/>
      <c r="K430" s="31"/>
      <c r="L430" s="47"/>
      <c r="M430" s="81"/>
      <c r="N430" s="82"/>
      <c r="O430" s="24"/>
      <c r="P430" s="79"/>
      <c r="Q430" s="79"/>
      <c r="R430" s="79"/>
      <c r="S430" s="24"/>
      <c r="T430" s="24"/>
      <c r="U430" s="32"/>
      <c r="V430" s="32"/>
      <c r="W430" s="32"/>
      <c r="X430" s="32"/>
      <c r="Y430" s="32"/>
      <c r="Z430" s="32"/>
      <c r="AA430" s="32"/>
      <c r="AB430" s="32"/>
      <c r="AC430" s="38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</row>
    <row r="431" ht="15.75" customHeight="1">
      <c r="A431" s="23"/>
      <c r="B431" s="46"/>
      <c r="C431" s="25"/>
      <c r="D431" s="26"/>
      <c r="E431" s="67"/>
      <c r="F431" s="28"/>
      <c r="G431" s="26"/>
      <c r="H431" s="26"/>
      <c r="I431" s="29"/>
      <c r="J431" s="30"/>
      <c r="K431" s="31"/>
      <c r="L431" s="24"/>
      <c r="M431" s="81"/>
      <c r="N431" s="82"/>
      <c r="O431" s="24"/>
      <c r="P431" s="79"/>
      <c r="Q431" s="79"/>
      <c r="R431" s="37"/>
      <c r="S431" s="24"/>
      <c r="T431" s="24"/>
      <c r="U431" s="24"/>
      <c r="V431" s="24"/>
      <c r="W431" s="32"/>
      <c r="X431" s="65"/>
      <c r="Y431" s="32"/>
      <c r="Z431" s="32"/>
      <c r="AA431" s="32"/>
      <c r="AB431" s="32"/>
      <c r="AC431" s="38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</row>
    <row r="432" ht="15.75" customHeight="1">
      <c r="A432" s="23"/>
      <c r="B432" s="24"/>
      <c r="C432" s="25"/>
      <c r="D432" s="26"/>
      <c r="E432" s="67"/>
      <c r="F432" s="28"/>
      <c r="G432" s="26"/>
      <c r="H432" s="26"/>
      <c r="I432" s="29"/>
      <c r="J432" s="30"/>
      <c r="K432" s="31"/>
      <c r="L432" s="32"/>
      <c r="M432" s="26"/>
      <c r="N432" s="82"/>
      <c r="O432" s="24"/>
      <c r="P432" s="79"/>
      <c r="Q432" s="79"/>
      <c r="R432" s="79"/>
      <c r="S432" s="24"/>
      <c r="T432" s="32"/>
      <c r="U432" s="32"/>
      <c r="V432" s="32"/>
      <c r="W432" s="32"/>
      <c r="X432" s="24"/>
      <c r="Y432" s="32"/>
      <c r="Z432" s="32"/>
      <c r="AA432" s="32"/>
      <c r="AB432" s="32"/>
      <c r="AC432" s="38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</row>
    <row r="433" ht="15.75" customHeight="1">
      <c r="A433" s="23"/>
      <c r="B433" s="143"/>
      <c r="C433" s="25"/>
      <c r="D433" s="26"/>
      <c r="E433" s="67"/>
      <c r="F433" s="28"/>
      <c r="G433" s="26"/>
      <c r="H433" s="26"/>
      <c r="I433" s="29"/>
      <c r="J433" s="30"/>
      <c r="K433" s="31"/>
      <c r="L433" s="144"/>
      <c r="M433" s="81"/>
      <c r="N433" s="82"/>
      <c r="O433" s="24"/>
      <c r="P433" s="79"/>
      <c r="Q433" s="37"/>
      <c r="R433" s="37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145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</row>
    <row r="434" ht="15.75" customHeight="1">
      <c r="A434" s="23"/>
      <c r="B434" s="24"/>
      <c r="C434" s="113"/>
      <c r="D434" s="114"/>
      <c r="E434" s="115"/>
      <c r="F434" s="115"/>
      <c r="G434" s="114"/>
      <c r="H434" s="114"/>
      <c r="I434" s="117"/>
      <c r="J434" s="118"/>
      <c r="K434" s="119"/>
      <c r="L434" s="124"/>
      <c r="M434" s="139"/>
      <c r="N434" s="140"/>
      <c r="O434" s="44"/>
      <c r="P434" s="79"/>
      <c r="Q434" s="79"/>
      <c r="R434" s="37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8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</row>
    <row r="435" ht="15.75" customHeight="1">
      <c r="A435" s="112"/>
      <c r="B435" s="143"/>
      <c r="C435" s="113"/>
      <c r="D435" s="114"/>
      <c r="E435" s="115"/>
      <c r="F435" s="28"/>
      <c r="G435" s="114"/>
      <c r="H435" s="114"/>
      <c r="I435" s="117"/>
      <c r="J435" s="118"/>
      <c r="K435" s="119"/>
      <c r="L435" s="24"/>
      <c r="M435" s="139"/>
      <c r="N435" s="140"/>
      <c r="O435" s="44"/>
      <c r="P435" s="141"/>
      <c r="Q435" s="37"/>
      <c r="R435" s="37"/>
      <c r="S435" s="24"/>
      <c r="T435" s="24"/>
      <c r="U435" s="32"/>
      <c r="V435" s="32"/>
      <c r="W435" s="32"/>
      <c r="X435" s="24"/>
      <c r="Y435" s="24"/>
      <c r="Z435" s="24"/>
      <c r="AA435" s="24"/>
      <c r="AB435" s="32"/>
      <c r="AC435" s="38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</row>
    <row r="436" ht="15.75" customHeight="1">
      <c r="A436" s="23"/>
      <c r="B436" s="24"/>
      <c r="C436" s="25"/>
      <c r="D436" s="26"/>
      <c r="E436" s="67"/>
      <c r="F436" s="28"/>
      <c r="G436" s="26"/>
      <c r="H436" s="26"/>
      <c r="I436" s="29"/>
      <c r="J436" s="30"/>
      <c r="K436" s="31"/>
      <c r="L436" s="88"/>
      <c r="M436" s="81"/>
      <c r="N436" s="82"/>
      <c r="O436" s="24"/>
      <c r="P436" s="79"/>
      <c r="Q436" s="37"/>
      <c r="R436" s="79"/>
      <c r="S436" s="24"/>
      <c r="T436" s="32"/>
      <c r="U436" s="32"/>
      <c r="V436" s="32"/>
      <c r="W436" s="32"/>
      <c r="X436" s="32"/>
      <c r="Y436" s="32"/>
      <c r="Z436" s="32"/>
      <c r="AA436" s="32"/>
      <c r="AB436" s="32"/>
      <c r="AC436" s="38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</row>
    <row r="437" ht="15.75" customHeight="1">
      <c r="A437" s="23"/>
      <c r="B437" s="44"/>
      <c r="C437" s="25"/>
      <c r="D437" s="26"/>
      <c r="E437" s="67"/>
      <c r="F437" s="28"/>
      <c r="G437" s="26"/>
      <c r="H437" s="26"/>
      <c r="I437" s="29"/>
      <c r="J437" s="30"/>
      <c r="K437" s="31"/>
      <c r="L437" s="24"/>
      <c r="M437" s="81"/>
      <c r="N437" s="82"/>
      <c r="O437" s="24"/>
      <c r="P437" s="79"/>
      <c r="Q437" s="37"/>
      <c r="R437" s="37"/>
      <c r="S437" s="24"/>
      <c r="T437" s="32"/>
      <c r="U437" s="32"/>
      <c r="V437" s="32"/>
      <c r="W437" s="32"/>
      <c r="X437" s="24"/>
      <c r="Y437" s="24"/>
      <c r="Z437" s="24"/>
      <c r="AA437" s="24"/>
      <c r="AB437" s="32"/>
      <c r="AC437" s="38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</row>
    <row r="438" ht="15.75" customHeight="1">
      <c r="A438" s="146"/>
      <c r="B438" s="147"/>
      <c r="C438" s="148"/>
      <c r="D438" s="26"/>
      <c r="E438" s="149"/>
      <c r="F438" s="149"/>
      <c r="G438" s="150"/>
      <c r="H438" s="150"/>
      <c r="I438" s="151"/>
      <c r="J438" s="152"/>
      <c r="K438" s="153"/>
      <c r="L438" s="24"/>
      <c r="M438" s="154"/>
      <c r="N438" s="155"/>
      <c r="O438" s="155"/>
      <c r="P438" s="155"/>
      <c r="Q438" s="80"/>
      <c r="R438" s="156"/>
      <c r="S438" s="156"/>
      <c r="T438" s="156"/>
      <c r="U438" s="156"/>
      <c r="V438" s="156"/>
      <c r="W438" s="156"/>
      <c r="X438" s="157"/>
      <c r="Y438" s="157"/>
      <c r="Z438" s="54"/>
      <c r="AA438" s="156"/>
      <c r="AB438" s="156"/>
      <c r="AC438" s="158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</row>
    <row r="439" ht="15.75" customHeight="1">
      <c r="A439" s="112"/>
      <c r="B439" s="143"/>
      <c r="C439" s="113"/>
      <c r="D439" s="114"/>
      <c r="E439" s="115"/>
      <c r="F439" s="115"/>
      <c r="G439" s="114"/>
      <c r="H439" s="114"/>
      <c r="I439" s="117"/>
      <c r="J439" s="118"/>
      <c r="K439" s="119"/>
      <c r="L439" s="24"/>
      <c r="M439" s="139"/>
      <c r="N439" s="140"/>
      <c r="O439" s="44"/>
      <c r="P439" s="141"/>
      <c r="Q439" s="141"/>
      <c r="R439" s="123"/>
      <c r="S439" s="124"/>
      <c r="T439" s="124"/>
      <c r="U439" s="124"/>
      <c r="V439" s="124"/>
      <c r="W439" s="124"/>
      <c r="X439" s="44"/>
      <c r="Y439" s="44"/>
      <c r="Z439" s="124"/>
      <c r="AA439" s="124"/>
      <c r="AB439" s="124"/>
      <c r="AC439" s="125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</row>
    <row r="440" ht="15.75" customHeight="1">
      <c r="A440" s="112"/>
      <c r="B440" s="24"/>
      <c r="C440" s="113"/>
      <c r="D440" s="114"/>
      <c r="E440" s="115"/>
      <c r="F440" s="115"/>
      <c r="G440" s="114"/>
      <c r="H440" s="114"/>
      <c r="I440" s="117"/>
      <c r="J440" s="118"/>
      <c r="K440" s="119"/>
      <c r="L440" s="143"/>
      <c r="M440" s="139"/>
      <c r="N440" s="140"/>
      <c r="O440" s="44"/>
      <c r="P440" s="141"/>
      <c r="Q440" s="123"/>
      <c r="R440" s="123"/>
      <c r="S440" s="124"/>
      <c r="T440" s="124"/>
      <c r="U440" s="124"/>
      <c r="V440" s="124"/>
      <c r="W440" s="124"/>
      <c r="X440" s="24"/>
      <c r="Y440" s="124"/>
      <c r="Z440" s="124"/>
      <c r="AA440" s="124"/>
      <c r="AB440" s="124"/>
      <c r="AC440" s="125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</row>
    <row r="441" ht="15.75" customHeight="1">
      <c r="A441" s="23"/>
      <c r="B441" s="24"/>
      <c r="C441" s="25"/>
      <c r="D441" s="26"/>
      <c r="E441" s="67"/>
      <c r="F441" s="28"/>
      <c r="G441" s="26"/>
      <c r="H441" s="26"/>
      <c r="I441" s="29"/>
      <c r="J441" s="30"/>
      <c r="K441" s="31"/>
      <c r="L441" s="24"/>
      <c r="M441" s="81"/>
      <c r="N441" s="82"/>
      <c r="O441" s="24"/>
      <c r="P441" s="79"/>
      <c r="Q441" s="79"/>
      <c r="R441" s="37"/>
      <c r="S441" s="24"/>
      <c r="T441" s="24"/>
      <c r="U441" s="32"/>
      <c r="V441" s="32"/>
      <c r="W441" s="32"/>
      <c r="X441" s="24"/>
      <c r="Y441" s="32"/>
      <c r="Z441" s="32"/>
      <c r="AA441" s="32"/>
      <c r="AB441" s="32"/>
      <c r="AC441" s="38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</row>
    <row r="442" ht="15.75" customHeight="1">
      <c r="A442" s="23"/>
      <c r="B442" s="24"/>
      <c r="C442" s="25"/>
      <c r="D442" s="26"/>
      <c r="E442" s="67"/>
      <c r="F442" s="28"/>
      <c r="G442" s="26"/>
      <c r="H442" s="26"/>
      <c r="I442" s="29"/>
      <c r="J442" s="30"/>
      <c r="K442" s="31"/>
      <c r="L442" s="44"/>
      <c r="M442" s="81"/>
      <c r="N442" s="82"/>
      <c r="O442" s="24"/>
      <c r="P442" s="79"/>
      <c r="Q442" s="37"/>
      <c r="R442" s="37"/>
      <c r="S442" s="24"/>
      <c r="T442" s="32"/>
      <c r="U442" s="32"/>
      <c r="V442" s="32"/>
      <c r="W442" s="32"/>
      <c r="X442" s="32"/>
      <c r="Y442" s="32"/>
      <c r="Z442" s="32"/>
      <c r="AA442" s="32"/>
      <c r="AB442" s="32"/>
      <c r="AC442" s="38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</row>
    <row r="443" ht="15.75" customHeight="1">
      <c r="A443" s="23"/>
      <c r="B443" s="24"/>
      <c r="C443" s="25"/>
      <c r="D443" s="26"/>
      <c r="E443" s="67"/>
      <c r="F443" s="28"/>
      <c r="G443" s="26"/>
      <c r="H443" s="26"/>
      <c r="I443" s="29"/>
      <c r="J443" s="30"/>
      <c r="K443" s="31"/>
      <c r="L443" s="24"/>
      <c r="M443" s="81"/>
      <c r="N443" s="82"/>
      <c r="O443" s="24"/>
      <c r="P443" s="79"/>
      <c r="Q443" s="79"/>
      <c r="R443" s="79"/>
      <c r="S443" s="24"/>
      <c r="T443" s="24"/>
      <c r="U443" s="32"/>
      <c r="V443" s="32"/>
      <c r="W443" s="32"/>
      <c r="X443" s="24"/>
      <c r="Y443" s="24"/>
      <c r="Z443" s="32"/>
      <c r="AA443" s="32"/>
      <c r="AB443" s="32"/>
      <c r="AC443" s="38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</row>
    <row r="444" ht="15.75" customHeight="1">
      <c r="A444" s="23"/>
      <c r="B444" s="24"/>
      <c r="C444" s="25"/>
      <c r="D444" s="26"/>
      <c r="E444" s="67"/>
      <c r="F444" s="28"/>
      <c r="G444" s="26"/>
      <c r="H444" s="26"/>
      <c r="I444" s="29"/>
      <c r="J444" s="30"/>
      <c r="K444" s="31"/>
      <c r="L444" s="24"/>
      <c r="M444" s="81"/>
      <c r="N444" s="82"/>
      <c r="O444" s="24"/>
      <c r="P444" s="79"/>
      <c r="Q444" s="79"/>
      <c r="R444" s="37"/>
      <c r="S444" s="24"/>
      <c r="T444" s="24"/>
      <c r="U444" s="32"/>
      <c r="V444" s="32"/>
      <c r="W444" s="32"/>
      <c r="X444" s="32"/>
      <c r="Y444" s="32"/>
      <c r="Z444" s="32"/>
      <c r="AA444" s="32"/>
      <c r="AB444" s="32"/>
      <c r="AC444" s="38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</row>
    <row r="445" ht="15.75" customHeight="1">
      <c r="A445" s="23"/>
      <c r="B445" s="24"/>
      <c r="C445" s="25"/>
      <c r="D445" s="26"/>
      <c r="E445" s="67"/>
      <c r="F445" s="28"/>
      <c r="G445" s="26"/>
      <c r="H445" s="26"/>
      <c r="I445" s="29"/>
      <c r="J445" s="30"/>
      <c r="K445" s="31"/>
      <c r="L445" s="24"/>
      <c r="M445" s="81"/>
      <c r="N445" s="82"/>
      <c r="O445" s="24"/>
      <c r="P445" s="79"/>
      <c r="Q445" s="37"/>
      <c r="R445" s="37"/>
      <c r="S445" s="24"/>
      <c r="T445" s="32"/>
      <c r="U445" s="32"/>
      <c r="V445" s="32"/>
      <c r="W445" s="32"/>
      <c r="X445" s="32"/>
      <c r="Y445" s="32"/>
      <c r="Z445" s="32"/>
      <c r="AA445" s="32"/>
      <c r="AB445" s="32"/>
      <c r="AC445" s="38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</row>
    <row r="446" ht="15.75" customHeight="1">
      <c r="A446" s="112"/>
      <c r="B446" s="24"/>
      <c r="C446" s="113"/>
      <c r="D446" s="114"/>
      <c r="E446" s="115"/>
      <c r="F446" s="28"/>
      <c r="G446" s="114"/>
      <c r="H446" s="114"/>
      <c r="I446" s="117"/>
      <c r="J446" s="118"/>
      <c r="K446" s="119"/>
      <c r="L446" s="44"/>
      <c r="M446" s="139"/>
      <c r="N446" s="140"/>
      <c r="O446" s="44"/>
      <c r="P446" s="141"/>
      <c r="Q446" s="123"/>
      <c r="R446" s="123"/>
      <c r="S446" s="44"/>
      <c r="T446" s="44"/>
      <c r="U446" s="44"/>
      <c r="V446" s="124"/>
      <c r="W446" s="124"/>
      <c r="X446" s="44"/>
      <c r="Y446" s="44"/>
      <c r="Z446" s="24"/>
      <c r="AA446" s="44"/>
      <c r="AB446" s="124"/>
      <c r="AC446" s="125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</row>
    <row r="447" ht="15.75" customHeight="1">
      <c r="A447" s="146"/>
      <c r="B447" s="124"/>
      <c r="C447" s="148"/>
      <c r="D447" s="26"/>
      <c r="E447" s="67"/>
      <c r="F447" s="28"/>
      <c r="G447" s="150"/>
      <c r="H447" s="153"/>
      <c r="I447" s="151"/>
      <c r="J447" s="152"/>
      <c r="K447" s="153"/>
      <c r="L447" s="157"/>
      <c r="M447" s="159"/>
      <c r="N447" s="80"/>
      <c r="O447" s="80"/>
      <c r="P447" s="80"/>
      <c r="Q447" s="156"/>
      <c r="R447" s="156"/>
      <c r="S447" s="157"/>
      <c r="T447" s="157"/>
      <c r="U447" s="157"/>
      <c r="V447" s="156"/>
      <c r="W447" s="156"/>
      <c r="X447" s="157"/>
      <c r="Y447" s="157"/>
      <c r="Z447" s="32"/>
      <c r="AA447" s="157"/>
      <c r="AB447" s="156"/>
      <c r="AC447" s="158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</row>
    <row r="448" ht="15.75" customHeight="1">
      <c r="A448" s="112"/>
      <c r="B448" s="24"/>
      <c r="C448" s="113"/>
      <c r="D448" s="114"/>
      <c r="E448" s="115"/>
      <c r="F448" s="115"/>
      <c r="G448" s="114"/>
      <c r="H448" s="114"/>
      <c r="I448" s="117"/>
      <c r="J448" s="118"/>
      <c r="K448" s="119"/>
      <c r="L448" s="124"/>
      <c r="M448" s="139"/>
      <c r="N448" s="44"/>
      <c r="O448" s="124"/>
      <c r="P448" s="141"/>
      <c r="Q448" s="123"/>
      <c r="R448" s="123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5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</row>
    <row r="449" ht="15.75" customHeight="1">
      <c r="A449" s="112"/>
      <c r="B449" s="24"/>
      <c r="C449" s="113"/>
      <c r="D449" s="114"/>
      <c r="E449" s="115"/>
      <c r="F449" s="115"/>
      <c r="G449" s="114"/>
      <c r="H449" s="114"/>
      <c r="I449" s="117"/>
      <c r="J449" s="118"/>
      <c r="K449" s="119"/>
      <c r="L449" s="124"/>
      <c r="M449" s="139"/>
      <c r="N449" s="44"/>
      <c r="O449" s="124"/>
      <c r="P449" s="141"/>
      <c r="Q449" s="123"/>
      <c r="R449" s="123"/>
      <c r="S449" s="4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5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</row>
    <row r="450" ht="15.75" customHeight="1">
      <c r="A450" s="112"/>
      <c r="B450" s="24"/>
      <c r="C450" s="113"/>
      <c r="D450" s="114"/>
      <c r="E450" s="115"/>
      <c r="F450" s="115"/>
      <c r="G450" s="114"/>
      <c r="H450" s="114"/>
      <c r="I450" s="117"/>
      <c r="J450" s="118"/>
      <c r="K450" s="119"/>
      <c r="L450" s="124"/>
      <c r="M450" s="139"/>
      <c r="N450" s="140"/>
      <c r="O450" s="44"/>
      <c r="P450" s="141"/>
      <c r="Q450" s="141"/>
      <c r="R450" s="123"/>
      <c r="S450" s="4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5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</row>
    <row r="451" ht="15.75" customHeight="1">
      <c r="A451" s="23"/>
      <c r="B451" s="24"/>
      <c r="C451" s="25"/>
      <c r="D451" s="26"/>
      <c r="E451" s="28"/>
      <c r="F451" s="28"/>
      <c r="G451" s="26"/>
      <c r="H451" s="26"/>
      <c r="I451" s="29"/>
      <c r="J451" s="30"/>
      <c r="K451" s="31"/>
      <c r="L451" s="88"/>
      <c r="M451" s="81"/>
      <c r="N451" s="82"/>
      <c r="O451" s="24"/>
      <c r="P451" s="79"/>
      <c r="Q451" s="80"/>
      <c r="R451" s="80"/>
      <c r="S451" s="32"/>
      <c r="T451" s="32"/>
      <c r="U451" s="32"/>
      <c r="V451" s="32"/>
      <c r="W451" s="32"/>
      <c r="X451" s="24"/>
      <c r="Y451" s="43"/>
      <c r="Z451" s="32"/>
      <c r="AA451" s="32"/>
      <c r="AB451" s="32"/>
      <c r="AC451" s="38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</row>
    <row r="452" ht="15.75" customHeight="1">
      <c r="A452" s="23"/>
      <c r="B452" s="24"/>
      <c r="C452" s="25"/>
      <c r="D452" s="26"/>
      <c r="E452" s="67"/>
      <c r="F452" s="28"/>
      <c r="G452" s="26"/>
      <c r="H452" s="26"/>
      <c r="I452" s="29"/>
      <c r="J452" s="30"/>
      <c r="K452" s="31"/>
      <c r="L452" s="24"/>
      <c r="M452" s="81"/>
      <c r="N452" s="82"/>
      <c r="O452" s="24"/>
      <c r="P452" s="52"/>
      <c r="Q452" s="52"/>
      <c r="R452" s="37"/>
      <c r="S452" s="32"/>
      <c r="T452" s="32"/>
      <c r="U452" s="32"/>
      <c r="V452" s="32"/>
      <c r="W452" s="32"/>
      <c r="X452" s="24"/>
      <c r="Y452" s="32"/>
      <c r="Z452" s="32"/>
      <c r="AA452" s="32"/>
      <c r="AB452" s="32"/>
      <c r="AC452" s="38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</row>
    <row r="453" ht="15.75" customHeight="1">
      <c r="A453" s="23"/>
      <c r="B453" s="24"/>
      <c r="C453" s="25"/>
      <c r="D453" s="26"/>
      <c r="E453" s="160"/>
      <c r="F453" s="28"/>
      <c r="G453" s="26"/>
      <c r="H453" s="26"/>
      <c r="I453" s="29"/>
      <c r="J453" s="30"/>
      <c r="K453" s="31"/>
      <c r="L453" s="32"/>
      <c r="M453" s="26"/>
      <c r="N453" s="82"/>
      <c r="O453" s="24"/>
      <c r="P453" s="79"/>
      <c r="Q453" s="37"/>
      <c r="R453" s="37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8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</row>
    <row r="454" ht="15.75" customHeight="1">
      <c r="A454" s="23"/>
      <c r="B454" s="24"/>
      <c r="C454" s="25"/>
      <c r="D454" s="26"/>
      <c r="E454" s="67"/>
      <c r="F454" s="28"/>
      <c r="G454" s="26"/>
      <c r="H454" s="26"/>
      <c r="I454" s="29"/>
      <c r="J454" s="30"/>
      <c r="K454" s="31"/>
      <c r="L454" s="32"/>
      <c r="M454" s="26"/>
      <c r="N454" s="24"/>
      <c r="O454" s="24"/>
      <c r="P454" s="79"/>
      <c r="Q454" s="37"/>
      <c r="R454" s="37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8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</row>
    <row r="455" ht="15.75" customHeight="1">
      <c r="A455" s="23"/>
      <c r="B455" s="24"/>
      <c r="C455" s="25"/>
      <c r="D455" s="26"/>
      <c r="E455" s="67"/>
      <c r="F455" s="28"/>
      <c r="G455" s="26"/>
      <c r="H455" s="26"/>
      <c r="I455" s="29"/>
      <c r="J455" s="30"/>
      <c r="K455" s="31"/>
      <c r="L455" s="24"/>
      <c r="M455" s="81"/>
      <c r="N455" s="82"/>
      <c r="O455" s="24"/>
      <c r="P455" s="79"/>
      <c r="Q455" s="37"/>
      <c r="R455" s="37"/>
      <c r="S455" s="24"/>
      <c r="T455" s="24"/>
      <c r="U455" s="32"/>
      <c r="V455" s="32"/>
      <c r="W455" s="32"/>
      <c r="X455" s="32"/>
      <c r="Y455" s="32"/>
      <c r="Z455" s="32"/>
      <c r="AA455" s="32"/>
      <c r="AB455" s="32"/>
      <c r="AC455" s="38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</row>
    <row r="456" ht="15.75" customHeight="1">
      <c r="A456" s="23"/>
      <c r="B456" s="24"/>
      <c r="C456" s="25"/>
      <c r="D456" s="26"/>
      <c r="E456" s="67"/>
      <c r="F456" s="28"/>
      <c r="G456" s="26"/>
      <c r="H456" s="26"/>
      <c r="I456" s="29"/>
      <c r="J456" s="30"/>
      <c r="K456" s="31"/>
      <c r="L456" s="24"/>
      <c r="M456" s="26"/>
      <c r="N456" s="82"/>
      <c r="O456" s="24"/>
      <c r="P456" s="79"/>
      <c r="Q456" s="79"/>
      <c r="R456" s="37"/>
      <c r="S456" s="32"/>
      <c r="T456" s="32"/>
      <c r="U456" s="32"/>
      <c r="V456" s="32"/>
      <c r="W456" s="32"/>
      <c r="X456" s="24"/>
      <c r="Y456" s="24"/>
      <c r="Z456" s="32"/>
      <c r="AA456" s="32"/>
      <c r="AB456" s="32"/>
      <c r="AC456" s="38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</row>
    <row r="457" ht="15.75" customHeight="1">
      <c r="A457" s="23"/>
      <c r="B457" s="24"/>
      <c r="C457" s="25"/>
      <c r="D457" s="26"/>
      <c r="E457" s="67"/>
      <c r="F457" s="28"/>
      <c r="G457" s="26"/>
      <c r="H457" s="26"/>
      <c r="I457" s="29"/>
      <c r="J457" s="30"/>
      <c r="K457" s="31"/>
      <c r="L457" s="24"/>
      <c r="M457" s="81"/>
      <c r="N457" s="82"/>
      <c r="O457" s="24"/>
      <c r="P457" s="79"/>
      <c r="Q457" s="79"/>
      <c r="R457" s="37"/>
      <c r="S457" s="24"/>
      <c r="T457" s="32"/>
      <c r="U457" s="32"/>
      <c r="V457" s="32"/>
      <c r="W457" s="32"/>
      <c r="X457" s="32"/>
      <c r="Y457" s="32"/>
      <c r="Z457" s="32"/>
      <c r="AA457" s="32"/>
      <c r="AB457" s="32"/>
      <c r="AC457" s="38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</row>
    <row r="458" ht="15.75" customHeight="1">
      <c r="A458" s="23"/>
      <c r="B458" s="24"/>
      <c r="C458" s="25"/>
      <c r="D458" s="26"/>
      <c r="E458" s="67"/>
      <c r="F458" s="28"/>
      <c r="G458" s="26"/>
      <c r="H458" s="26"/>
      <c r="I458" s="29"/>
      <c r="J458" s="30"/>
      <c r="K458" s="31"/>
      <c r="L458" s="24"/>
      <c r="M458" s="81"/>
      <c r="N458" s="82"/>
      <c r="O458" s="24"/>
      <c r="P458" s="79"/>
      <c r="Q458" s="79"/>
      <c r="R458" s="37"/>
      <c r="S458" s="24"/>
      <c r="T458" s="24"/>
      <c r="U458" s="32"/>
      <c r="V458" s="32"/>
      <c r="W458" s="32"/>
      <c r="X458" s="32"/>
      <c r="Y458" s="32"/>
      <c r="Z458" s="32"/>
      <c r="AA458" s="32"/>
      <c r="AB458" s="32"/>
      <c r="AC458" s="38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</row>
    <row r="459" ht="15.75" customHeight="1">
      <c r="A459" s="112"/>
      <c r="B459" s="24"/>
      <c r="C459" s="113"/>
      <c r="D459" s="114"/>
      <c r="E459" s="115"/>
      <c r="F459" s="115"/>
      <c r="G459" s="114"/>
      <c r="H459" s="114"/>
      <c r="I459" s="117"/>
      <c r="J459" s="118"/>
      <c r="K459" s="119"/>
      <c r="L459" s="44"/>
      <c r="M459" s="139"/>
      <c r="N459" s="44"/>
      <c r="O459" s="44"/>
      <c r="P459" s="141"/>
      <c r="Q459" s="123"/>
      <c r="R459" s="123"/>
      <c r="S459" s="124"/>
      <c r="T459" s="124"/>
      <c r="U459" s="124"/>
      <c r="V459" s="124"/>
      <c r="W459" s="44"/>
      <c r="X459" s="24"/>
      <c r="Y459" s="24"/>
      <c r="Z459" s="124"/>
      <c r="AA459" s="124"/>
      <c r="AB459" s="124"/>
      <c r="AC459" s="125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</row>
    <row r="460" ht="15.75" customHeight="1">
      <c r="A460" s="23"/>
      <c r="B460" s="24"/>
      <c r="C460" s="25"/>
      <c r="D460" s="26"/>
      <c r="E460" s="67"/>
      <c r="F460" s="28"/>
      <c r="G460" s="26"/>
      <c r="H460" s="26"/>
      <c r="I460" s="29"/>
      <c r="J460" s="30"/>
      <c r="K460" s="31"/>
      <c r="L460" s="161"/>
      <c r="M460" s="81"/>
      <c r="N460" s="82"/>
      <c r="O460" s="24"/>
      <c r="P460" s="162"/>
      <c r="Q460" s="163"/>
      <c r="R460" s="163"/>
      <c r="S460" s="24"/>
      <c r="T460" s="24"/>
      <c r="U460" s="24"/>
      <c r="V460" s="32"/>
      <c r="W460" s="32"/>
      <c r="X460" s="32"/>
      <c r="Y460" s="32"/>
      <c r="Z460" s="32"/>
      <c r="AA460" s="32"/>
      <c r="AB460" s="32"/>
      <c r="AC460" s="38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</row>
    <row r="461" ht="15.75" customHeight="1">
      <c r="A461" s="23"/>
      <c r="B461" s="24"/>
      <c r="C461" s="25"/>
      <c r="D461" s="26"/>
      <c r="E461" s="67"/>
      <c r="F461" s="28"/>
      <c r="G461" s="26"/>
      <c r="H461" s="26"/>
      <c r="I461" s="29"/>
      <c r="J461" s="30"/>
      <c r="K461" s="31"/>
      <c r="L461" s="47"/>
      <c r="M461" s="81"/>
      <c r="N461" s="82"/>
      <c r="O461" s="24"/>
      <c r="P461" s="79"/>
      <c r="Q461" s="79"/>
      <c r="R461" s="79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8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</row>
    <row r="462" ht="15.75" customHeight="1">
      <c r="A462" s="23"/>
      <c r="B462" s="24"/>
      <c r="C462" s="25"/>
      <c r="D462" s="26"/>
      <c r="E462" s="67"/>
      <c r="F462" s="28"/>
      <c r="G462" s="26"/>
      <c r="H462" s="26"/>
      <c r="I462" s="29"/>
      <c r="J462" s="30"/>
      <c r="K462" s="31"/>
      <c r="L462" s="24"/>
      <c r="M462" s="81"/>
      <c r="N462" s="82"/>
      <c r="O462" s="24"/>
      <c r="P462" s="79"/>
      <c r="Q462" s="79"/>
      <c r="R462" s="37"/>
      <c r="S462" s="24"/>
      <c r="T462" s="24"/>
      <c r="U462" s="32"/>
      <c r="V462" s="32"/>
      <c r="W462" s="32"/>
      <c r="X462" s="32"/>
      <c r="Y462" s="32"/>
      <c r="Z462" s="32"/>
      <c r="AA462" s="32"/>
      <c r="AB462" s="32"/>
      <c r="AC462" s="38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</row>
    <row r="463" ht="15.75" customHeight="1">
      <c r="A463" s="23"/>
      <c r="B463" s="24"/>
      <c r="C463" s="25"/>
      <c r="D463" s="26"/>
      <c r="E463" s="67"/>
      <c r="F463" s="28"/>
      <c r="G463" s="26"/>
      <c r="H463" s="26"/>
      <c r="I463" s="29"/>
      <c r="J463" s="30"/>
      <c r="K463" s="31"/>
      <c r="L463" s="24"/>
      <c r="M463" s="81"/>
      <c r="N463" s="82"/>
      <c r="O463" s="24"/>
      <c r="P463" s="79"/>
      <c r="Q463" s="37"/>
      <c r="R463" s="37"/>
      <c r="S463" s="32"/>
      <c r="T463" s="32"/>
      <c r="U463" s="32"/>
      <c r="V463" s="32"/>
      <c r="W463" s="32"/>
      <c r="X463" s="24"/>
      <c r="Y463" s="32"/>
      <c r="Z463" s="32"/>
      <c r="AA463" s="32"/>
      <c r="AB463" s="32"/>
      <c r="AC463" s="38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</row>
    <row r="464" ht="15.75" customHeight="1">
      <c r="A464" s="23"/>
      <c r="B464" s="24"/>
      <c r="C464" s="25"/>
      <c r="D464" s="26"/>
      <c r="E464" s="67"/>
      <c r="F464" s="28"/>
      <c r="G464" s="26"/>
      <c r="H464" s="26"/>
      <c r="I464" s="29"/>
      <c r="J464" s="30"/>
      <c r="K464" s="31"/>
      <c r="L464" s="32"/>
      <c r="M464" s="81"/>
      <c r="N464" s="82"/>
      <c r="O464" s="24"/>
      <c r="P464" s="79"/>
      <c r="Q464" s="37"/>
      <c r="R464" s="37"/>
      <c r="S464" s="24"/>
      <c r="T464" s="24"/>
      <c r="U464" s="32"/>
      <c r="V464" s="32"/>
      <c r="W464" s="32"/>
      <c r="X464" s="32"/>
      <c r="Y464" s="32"/>
      <c r="Z464" s="32"/>
      <c r="AA464" s="32"/>
      <c r="AB464" s="32"/>
      <c r="AC464" s="38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</row>
    <row r="465" ht="15.75" customHeight="1">
      <c r="A465" s="23"/>
      <c r="B465" s="24"/>
      <c r="C465" s="25"/>
      <c r="D465" s="26"/>
      <c r="E465" s="67"/>
      <c r="F465" s="28"/>
      <c r="G465" s="26"/>
      <c r="H465" s="26"/>
      <c r="I465" s="29"/>
      <c r="J465" s="30"/>
      <c r="K465" s="31"/>
      <c r="L465" s="24"/>
      <c r="M465" s="81"/>
      <c r="N465" s="82"/>
      <c r="O465" s="24"/>
      <c r="P465" s="79"/>
      <c r="Q465" s="79"/>
      <c r="R465" s="79"/>
      <c r="S465" s="24"/>
      <c r="T465" s="32"/>
      <c r="U465" s="32"/>
      <c r="V465" s="32"/>
      <c r="W465" s="32"/>
      <c r="X465" s="24"/>
      <c r="Y465" s="32"/>
      <c r="Z465" s="32"/>
      <c r="AA465" s="32"/>
      <c r="AB465" s="32"/>
      <c r="AC465" s="38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</row>
    <row r="466" ht="15.75" customHeight="1">
      <c r="A466" s="23"/>
      <c r="B466" s="87"/>
      <c r="C466" s="25"/>
      <c r="D466" s="26"/>
      <c r="E466" s="67"/>
      <c r="F466" s="28"/>
      <c r="G466" s="26"/>
      <c r="H466" s="26"/>
      <c r="I466" s="29"/>
      <c r="J466" s="30"/>
      <c r="K466" s="31"/>
      <c r="L466" s="24"/>
      <c r="M466" s="81"/>
      <c r="N466" s="82"/>
      <c r="O466" s="24"/>
      <c r="P466" s="79"/>
      <c r="Q466" s="79"/>
      <c r="R466" s="37"/>
      <c r="S466" s="24"/>
      <c r="T466" s="24"/>
      <c r="U466" s="32"/>
      <c r="V466" s="32"/>
      <c r="W466" s="32"/>
      <c r="X466" s="24"/>
      <c r="Y466" s="24"/>
      <c r="Z466" s="24"/>
      <c r="AA466" s="24"/>
      <c r="AB466" s="32"/>
      <c r="AC466" s="38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</row>
    <row r="467" ht="15.75" customHeight="1">
      <c r="A467" s="23"/>
      <c r="B467" s="24"/>
      <c r="C467" s="25"/>
      <c r="D467" s="26"/>
      <c r="E467" s="67"/>
      <c r="F467" s="28"/>
      <c r="G467" s="26"/>
      <c r="H467" s="26"/>
      <c r="I467" s="29"/>
      <c r="J467" s="30"/>
      <c r="K467" s="31"/>
      <c r="L467" s="24"/>
      <c r="M467" s="81"/>
      <c r="N467" s="82"/>
      <c r="O467" s="24"/>
      <c r="P467" s="79"/>
      <c r="Q467" s="79"/>
      <c r="R467" s="37"/>
      <c r="S467" s="24"/>
      <c r="T467" s="32"/>
      <c r="U467" s="32"/>
      <c r="V467" s="32"/>
      <c r="W467" s="32"/>
      <c r="X467" s="24"/>
      <c r="Y467" s="24"/>
      <c r="Z467" s="32"/>
      <c r="AA467" s="32"/>
      <c r="AB467" s="32"/>
      <c r="AC467" s="38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</row>
    <row r="468" ht="15.75" customHeight="1">
      <c r="A468" s="23"/>
      <c r="B468" s="24"/>
      <c r="C468" s="25"/>
      <c r="D468" s="26"/>
      <c r="E468" s="67"/>
      <c r="F468" s="28"/>
      <c r="G468" s="26"/>
      <c r="H468" s="26"/>
      <c r="I468" s="29"/>
      <c r="J468" s="30"/>
      <c r="K468" s="31"/>
      <c r="L468" s="32"/>
      <c r="M468" s="81"/>
      <c r="N468" s="82"/>
      <c r="O468" s="24"/>
      <c r="P468" s="79"/>
      <c r="Q468" s="79"/>
      <c r="R468" s="37"/>
      <c r="S468" s="32"/>
      <c r="T468" s="32"/>
      <c r="U468" s="32"/>
      <c r="V468" s="32"/>
      <c r="W468" s="32"/>
      <c r="X468" s="24"/>
      <c r="Y468" s="32"/>
      <c r="Z468" s="32"/>
      <c r="AA468" s="32"/>
      <c r="AB468" s="32"/>
      <c r="AC468" s="38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</row>
    <row r="469" ht="15.75" customHeight="1">
      <c r="A469" s="23"/>
      <c r="B469" s="24"/>
      <c r="C469" s="25"/>
      <c r="D469" s="26"/>
      <c r="E469" s="67"/>
      <c r="F469" s="28"/>
      <c r="G469" s="26"/>
      <c r="H469" s="26"/>
      <c r="I469" s="29"/>
      <c r="J469" s="30"/>
      <c r="K469" s="31"/>
      <c r="L469" s="24"/>
      <c r="M469" s="26"/>
      <c r="N469" s="82"/>
      <c r="O469" s="24"/>
      <c r="P469" s="79"/>
      <c r="Q469" s="79"/>
      <c r="R469" s="37"/>
      <c r="S469" s="24"/>
      <c r="T469" s="32"/>
      <c r="U469" s="32"/>
      <c r="V469" s="32"/>
      <c r="W469" s="32"/>
      <c r="X469" s="32"/>
      <c r="Y469" s="32"/>
      <c r="Z469" s="32"/>
      <c r="AA469" s="32"/>
      <c r="AB469" s="32"/>
      <c r="AC469" s="38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</row>
    <row r="470" ht="15.75" customHeight="1">
      <c r="A470" s="23"/>
      <c r="B470" s="24"/>
      <c r="C470" s="25"/>
      <c r="D470" s="26"/>
      <c r="E470" s="67"/>
      <c r="F470" s="164"/>
      <c r="G470" s="26"/>
      <c r="H470" s="26"/>
      <c r="I470" s="29"/>
      <c r="J470" s="30"/>
      <c r="K470" s="31"/>
      <c r="L470" s="24"/>
      <c r="M470" s="81"/>
      <c r="N470" s="82"/>
      <c r="O470" s="24"/>
      <c r="P470" s="79"/>
      <c r="Q470" s="79"/>
      <c r="R470" s="79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8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</row>
    <row r="471" ht="15.75" customHeight="1">
      <c r="A471" s="23"/>
      <c r="B471" s="24"/>
      <c r="C471" s="25"/>
      <c r="D471" s="26"/>
      <c r="E471" s="67"/>
      <c r="F471" s="28"/>
      <c r="G471" s="26"/>
      <c r="H471" s="26"/>
      <c r="I471" s="29"/>
      <c r="J471" s="30"/>
      <c r="K471" s="31"/>
      <c r="L471" s="24"/>
      <c r="M471" s="81"/>
      <c r="N471" s="82"/>
      <c r="O471" s="24"/>
      <c r="P471" s="79"/>
      <c r="Q471" s="37"/>
      <c r="R471" s="37"/>
      <c r="S471" s="24"/>
      <c r="T471" s="24"/>
      <c r="U471" s="24"/>
      <c r="V471" s="24"/>
      <c r="W471" s="24"/>
      <c r="X471" s="24"/>
      <c r="Y471" s="24"/>
      <c r="Z471" s="24"/>
      <c r="AA471" s="32"/>
      <c r="AB471" s="32"/>
      <c r="AC471" s="38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</row>
    <row r="472" ht="15.75" customHeight="1">
      <c r="A472" s="23"/>
      <c r="B472" s="46"/>
      <c r="C472" s="25"/>
      <c r="D472" s="26"/>
      <c r="E472" s="67"/>
      <c r="F472" s="28"/>
      <c r="G472" s="26"/>
      <c r="H472" s="26"/>
      <c r="I472" s="29"/>
      <c r="J472" s="30"/>
      <c r="K472" s="31"/>
      <c r="L472" s="24"/>
      <c r="M472" s="81"/>
      <c r="N472" s="24"/>
      <c r="O472" s="32"/>
      <c r="P472" s="79"/>
      <c r="Q472" s="79"/>
      <c r="R472" s="79"/>
      <c r="S472" s="24"/>
      <c r="T472" s="32"/>
      <c r="U472" s="32"/>
      <c r="V472" s="32"/>
      <c r="W472" s="32"/>
      <c r="X472" s="24"/>
      <c r="Y472" s="32"/>
      <c r="Z472" s="32"/>
      <c r="AA472" s="32"/>
      <c r="AB472" s="32"/>
      <c r="AC472" s="38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</row>
    <row r="473" ht="15.75" customHeight="1">
      <c r="A473" s="23"/>
      <c r="B473" s="46"/>
      <c r="C473" s="25"/>
      <c r="D473" s="26"/>
      <c r="E473" s="67"/>
      <c r="F473" s="28"/>
      <c r="G473" s="26"/>
      <c r="H473" s="26"/>
      <c r="I473" s="29"/>
      <c r="J473" s="30"/>
      <c r="K473" s="31"/>
      <c r="L473" s="24"/>
      <c r="M473" s="81"/>
      <c r="N473" s="24"/>
      <c r="O473" s="32"/>
      <c r="P473" s="79"/>
      <c r="Q473" s="79"/>
      <c r="R473" s="79"/>
      <c r="S473" s="24"/>
      <c r="T473" s="32"/>
      <c r="U473" s="32"/>
      <c r="V473" s="32"/>
      <c r="W473" s="32"/>
      <c r="X473" s="32"/>
      <c r="Y473" s="32"/>
      <c r="Z473" s="32"/>
      <c r="AA473" s="32"/>
      <c r="AB473" s="32"/>
      <c r="AC473" s="38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</row>
    <row r="474" ht="15.75" customHeight="1">
      <c r="A474" s="23"/>
      <c r="B474" s="46"/>
      <c r="C474" s="25"/>
      <c r="D474" s="26"/>
      <c r="E474" s="67"/>
      <c r="F474" s="28"/>
      <c r="G474" s="26"/>
      <c r="H474" s="26"/>
      <c r="I474" s="29"/>
      <c r="J474" s="30"/>
      <c r="K474" s="31"/>
      <c r="L474" s="24"/>
      <c r="M474" s="81"/>
      <c r="N474" s="24"/>
      <c r="O474" s="32"/>
      <c r="P474" s="79"/>
      <c r="Q474" s="79"/>
      <c r="R474" s="79"/>
      <c r="S474" s="24"/>
      <c r="T474" s="32"/>
      <c r="U474" s="32"/>
      <c r="V474" s="32"/>
      <c r="W474" s="32"/>
      <c r="X474" s="32"/>
      <c r="Y474" s="32"/>
      <c r="Z474" s="32"/>
      <c r="AA474" s="32"/>
      <c r="AB474" s="32"/>
      <c r="AC474" s="38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</row>
    <row r="475" ht="15.75" customHeight="1">
      <c r="A475" s="23"/>
      <c r="B475" s="46"/>
      <c r="C475" s="25"/>
      <c r="D475" s="26"/>
      <c r="E475" s="67"/>
      <c r="F475" s="28"/>
      <c r="G475" s="26"/>
      <c r="H475" s="26"/>
      <c r="I475" s="29"/>
      <c r="J475" s="30"/>
      <c r="K475" s="31"/>
      <c r="L475" s="24"/>
      <c r="M475" s="81"/>
      <c r="N475" s="24"/>
      <c r="O475" s="32"/>
      <c r="P475" s="79"/>
      <c r="Q475" s="79"/>
      <c r="R475" s="79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8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</row>
    <row r="476" ht="15.75" customHeight="1">
      <c r="A476" s="23"/>
      <c r="B476" s="46"/>
      <c r="C476" s="25"/>
      <c r="D476" s="26"/>
      <c r="E476" s="67"/>
      <c r="F476" s="28"/>
      <c r="G476" s="26"/>
      <c r="H476" s="26"/>
      <c r="I476" s="29"/>
      <c r="J476" s="30"/>
      <c r="K476" s="31"/>
      <c r="L476" s="24"/>
      <c r="M476" s="81"/>
      <c r="N476" s="24"/>
      <c r="O476" s="32"/>
      <c r="P476" s="79"/>
      <c r="Q476" s="79"/>
      <c r="R476" s="79"/>
      <c r="S476" s="24"/>
      <c r="T476" s="32"/>
      <c r="U476" s="32"/>
      <c r="V476" s="32"/>
      <c r="W476" s="32"/>
      <c r="X476" s="32"/>
      <c r="Y476" s="32"/>
      <c r="Z476" s="32"/>
      <c r="AA476" s="32"/>
      <c r="AB476" s="32"/>
      <c r="AC476" s="38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</row>
    <row r="477" ht="15.75" customHeight="1">
      <c r="A477" s="23"/>
      <c r="B477" s="46"/>
      <c r="C477" s="25"/>
      <c r="D477" s="26"/>
      <c r="E477" s="67"/>
      <c r="F477" s="28"/>
      <c r="G477" s="26"/>
      <c r="H477" s="26"/>
      <c r="I477" s="29"/>
      <c r="J477" s="30"/>
      <c r="K477" s="31"/>
      <c r="L477" s="24"/>
      <c r="M477" s="81"/>
      <c r="N477" s="24"/>
      <c r="O477" s="32"/>
      <c r="P477" s="79"/>
      <c r="Q477" s="79"/>
      <c r="R477" s="79"/>
      <c r="S477" s="24"/>
      <c r="T477" s="32"/>
      <c r="U477" s="32"/>
      <c r="V477" s="32"/>
      <c r="W477" s="32"/>
      <c r="X477" s="24"/>
      <c r="Y477" s="32"/>
      <c r="Z477" s="32"/>
      <c r="AA477" s="32"/>
      <c r="AB477" s="32"/>
      <c r="AC477" s="38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</row>
    <row r="478" ht="15.75" customHeight="1">
      <c r="A478" s="23"/>
      <c r="B478" s="46"/>
      <c r="C478" s="25"/>
      <c r="D478" s="26"/>
      <c r="E478" s="67"/>
      <c r="F478" s="28"/>
      <c r="G478" s="26"/>
      <c r="H478" s="26"/>
      <c r="I478" s="29"/>
      <c r="J478" s="30"/>
      <c r="K478" s="31"/>
      <c r="L478" s="24"/>
      <c r="M478" s="81"/>
      <c r="N478" s="24"/>
      <c r="O478" s="32"/>
      <c r="P478" s="79"/>
      <c r="Q478" s="79"/>
      <c r="R478" s="79"/>
      <c r="S478" s="24"/>
      <c r="T478" s="24"/>
      <c r="U478" s="32"/>
      <c r="V478" s="32"/>
      <c r="W478" s="32"/>
      <c r="X478" s="24"/>
      <c r="Y478" s="32"/>
      <c r="Z478" s="32"/>
      <c r="AA478" s="32"/>
      <c r="AB478" s="32"/>
      <c r="AC478" s="38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</row>
    <row r="479" ht="15.75" customHeight="1">
      <c r="A479" s="23"/>
      <c r="B479" s="24"/>
      <c r="C479" s="25"/>
      <c r="D479" s="26"/>
      <c r="E479" s="67"/>
      <c r="F479" s="28"/>
      <c r="G479" s="26"/>
      <c r="H479" s="26"/>
      <c r="I479" s="29"/>
      <c r="J479" s="30"/>
      <c r="K479" s="31"/>
      <c r="L479" s="24"/>
      <c r="M479" s="81"/>
      <c r="N479" s="82"/>
      <c r="O479" s="24"/>
      <c r="P479" s="79"/>
      <c r="Q479" s="79"/>
      <c r="R479" s="37"/>
      <c r="S479" s="24"/>
      <c r="T479" s="24"/>
      <c r="U479" s="24"/>
      <c r="V479" s="24"/>
      <c r="W479" s="32"/>
      <c r="X479" s="32"/>
      <c r="Y479" s="32"/>
      <c r="Z479" s="32"/>
      <c r="AA479" s="32"/>
      <c r="AB479" s="32"/>
      <c r="AC479" s="38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</row>
    <row r="480" ht="15.75" customHeight="1">
      <c r="A480" s="23"/>
      <c r="B480" s="46"/>
      <c r="C480" s="25"/>
      <c r="D480" s="26"/>
      <c r="E480" s="67"/>
      <c r="F480" s="28"/>
      <c r="G480" s="26"/>
      <c r="H480" s="26"/>
      <c r="I480" s="29"/>
      <c r="J480" s="30"/>
      <c r="K480" s="31"/>
      <c r="L480" s="47"/>
      <c r="M480" s="81"/>
      <c r="N480" s="82"/>
      <c r="O480" s="24"/>
      <c r="P480" s="79"/>
      <c r="Q480" s="79"/>
      <c r="R480" s="79"/>
      <c r="S480" s="24"/>
      <c r="T480" s="24"/>
      <c r="U480" s="32"/>
      <c r="V480" s="32"/>
      <c r="W480" s="32"/>
      <c r="X480" s="65"/>
      <c r="Y480" s="24"/>
      <c r="Z480" s="24"/>
      <c r="AA480" s="24"/>
      <c r="AB480" s="24"/>
      <c r="AC480" s="24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</row>
    <row r="481" ht="15.75" customHeight="1">
      <c r="A481" s="23"/>
      <c r="B481" s="24"/>
      <c r="C481" s="25"/>
      <c r="D481" s="26"/>
      <c r="E481" s="67"/>
      <c r="F481" s="26"/>
      <c r="G481" s="26"/>
      <c r="H481" s="26"/>
      <c r="I481" s="29"/>
      <c r="J481" s="30"/>
      <c r="K481" s="31"/>
      <c r="L481" s="47"/>
      <c r="M481" s="81"/>
      <c r="N481" s="82"/>
      <c r="O481" s="24"/>
      <c r="P481" s="79"/>
      <c r="Q481" s="37"/>
      <c r="R481" s="79"/>
      <c r="S481" s="24"/>
      <c r="T481" s="32"/>
      <c r="U481" s="32"/>
      <c r="V481" s="32"/>
      <c r="W481" s="32"/>
      <c r="X481" s="32"/>
      <c r="Y481" s="32"/>
      <c r="Z481" s="32"/>
      <c r="AA481" s="32"/>
      <c r="AB481" s="32"/>
      <c r="AC481" s="38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</row>
    <row r="482" ht="15.75" customHeight="1">
      <c r="A482" s="23"/>
      <c r="B482" s="44"/>
      <c r="C482" s="25"/>
      <c r="D482" s="26"/>
      <c r="E482" s="67"/>
      <c r="F482" s="28"/>
      <c r="G482" s="26"/>
      <c r="H482" s="26"/>
      <c r="I482" s="29"/>
      <c r="J482" s="30"/>
      <c r="K482" s="31"/>
      <c r="L482" s="24"/>
      <c r="M482" s="81"/>
      <c r="N482" s="82"/>
      <c r="O482" s="24"/>
      <c r="P482" s="79"/>
      <c r="Q482" s="37"/>
      <c r="R482" s="37"/>
      <c r="S482" s="24"/>
      <c r="T482" s="24"/>
      <c r="U482" s="32"/>
      <c r="V482" s="32"/>
      <c r="W482" s="32"/>
      <c r="X482" s="32"/>
      <c r="Y482" s="32"/>
      <c r="Z482" s="32"/>
      <c r="AA482" s="32"/>
      <c r="AB482" s="32"/>
      <c r="AC482" s="38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</row>
    <row r="483" ht="15.75" customHeight="1">
      <c r="A483" s="23"/>
      <c r="B483" s="24"/>
      <c r="C483" s="25"/>
      <c r="D483" s="26"/>
      <c r="E483" s="67"/>
      <c r="F483" s="28"/>
      <c r="G483" s="26"/>
      <c r="H483" s="26"/>
      <c r="I483" s="29"/>
      <c r="J483" s="30"/>
      <c r="K483" s="31"/>
      <c r="L483" s="24"/>
      <c r="M483" s="81"/>
      <c r="N483" s="82"/>
      <c r="O483" s="24"/>
      <c r="P483" s="79"/>
      <c r="Q483" s="37"/>
      <c r="R483" s="37"/>
      <c r="S483" s="24"/>
      <c r="T483" s="24"/>
      <c r="U483" s="24"/>
      <c r="V483" s="32"/>
      <c r="W483" s="32"/>
      <c r="X483" s="24"/>
      <c r="Y483" s="24"/>
      <c r="Z483" s="32"/>
      <c r="AA483" s="32"/>
      <c r="AB483" s="32"/>
      <c r="AC483" s="38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</row>
    <row r="484" ht="15.75" customHeight="1">
      <c r="A484" s="23"/>
      <c r="B484" s="24"/>
      <c r="C484" s="25"/>
      <c r="D484" s="26"/>
      <c r="E484" s="67"/>
      <c r="F484" s="28"/>
      <c r="G484" s="26"/>
      <c r="H484" s="26"/>
      <c r="I484" s="29"/>
      <c r="J484" s="30"/>
      <c r="K484" s="31"/>
      <c r="L484" s="32"/>
      <c r="M484" s="81"/>
      <c r="N484" s="82"/>
      <c r="O484" s="24"/>
      <c r="P484" s="79"/>
      <c r="Q484" s="37"/>
      <c r="R484" s="37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8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</row>
    <row r="485" ht="15.75" customHeight="1">
      <c r="A485" s="23"/>
      <c r="B485" s="24"/>
      <c r="C485" s="25"/>
      <c r="D485" s="26"/>
      <c r="E485" s="67"/>
      <c r="F485" s="28"/>
      <c r="G485" s="26"/>
      <c r="H485" s="26"/>
      <c r="I485" s="29"/>
      <c r="J485" s="30"/>
      <c r="K485" s="31"/>
      <c r="L485" s="111"/>
      <c r="M485" s="81"/>
      <c r="N485" s="24"/>
      <c r="O485" s="24"/>
      <c r="P485" s="79"/>
      <c r="Q485" s="37"/>
      <c r="R485" s="37"/>
      <c r="S485" s="24"/>
      <c r="T485" s="32"/>
      <c r="U485" s="32"/>
      <c r="V485" s="32"/>
      <c r="W485" s="32"/>
      <c r="X485" s="24"/>
      <c r="Y485" s="24"/>
      <c r="Z485" s="32"/>
      <c r="AA485" s="32"/>
      <c r="AB485" s="32"/>
      <c r="AC485" s="38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</row>
    <row r="486" ht="15.75" customHeight="1">
      <c r="A486" s="23"/>
      <c r="B486" s="24"/>
      <c r="C486" s="25"/>
      <c r="D486" s="26"/>
      <c r="E486" s="67"/>
      <c r="F486" s="164"/>
      <c r="G486" s="26"/>
      <c r="H486" s="30"/>
      <c r="I486" s="29"/>
      <c r="J486" s="30"/>
      <c r="K486" s="31"/>
      <c r="L486" s="24"/>
      <c r="M486" s="126"/>
      <c r="N486" s="32"/>
      <c r="O486" s="32"/>
      <c r="P486" s="37"/>
      <c r="Q486" s="37"/>
      <c r="R486" s="37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8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</row>
    <row r="487" ht="15.75" customHeight="1">
      <c r="A487" s="48"/>
      <c r="B487" s="24"/>
      <c r="C487" s="29"/>
      <c r="D487" s="26"/>
      <c r="E487" s="27"/>
      <c r="F487" s="28"/>
      <c r="G487" s="26"/>
      <c r="H487" s="26"/>
      <c r="I487" s="29"/>
      <c r="J487" s="30"/>
      <c r="K487" s="31"/>
      <c r="L487" s="24"/>
      <c r="M487" s="81"/>
      <c r="N487" s="82"/>
      <c r="O487" s="24"/>
      <c r="P487" s="79"/>
      <c r="Q487" s="79"/>
      <c r="R487" s="79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8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</row>
    <row r="488" ht="15.75" customHeight="1">
      <c r="A488" s="23"/>
      <c r="B488" s="24"/>
      <c r="C488" s="25"/>
      <c r="D488" s="26"/>
      <c r="E488" s="67"/>
      <c r="F488" s="28"/>
      <c r="G488" s="26"/>
      <c r="H488" s="26"/>
      <c r="I488" s="29"/>
      <c r="J488" s="30"/>
      <c r="K488" s="31"/>
      <c r="L488" s="24"/>
      <c r="M488" s="81"/>
      <c r="N488" s="82"/>
      <c r="O488" s="24"/>
      <c r="P488" s="79"/>
      <c r="Q488" s="79"/>
      <c r="R488" s="79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8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</row>
    <row r="489" ht="15.75" customHeight="1">
      <c r="A489" s="23"/>
      <c r="B489" s="24"/>
      <c r="C489" s="25"/>
      <c r="D489" s="26"/>
      <c r="E489" s="67"/>
      <c r="F489" s="28"/>
      <c r="G489" s="26"/>
      <c r="H489" s="26"/>
      <c r="I489" s="29"/>
      <c r="J489" s="30"/>
      <c r="K489" s="31"/>
      <c r="L489" s="32"/>
      <c r="M489" s="81"/>
      <c r="N489" s="82"/>
      <c r="O489" s="24"/>
      <c r="P489" s="79"/>
      <c r="Q489" s="79"/>
      <c r="R489" s="37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8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</row>
    <row r="490" ht="15.75" customHeight="1">
      <c r="A490" s="23"/>
      <c r="B490" s="165"/>
      <c r="C490" s="25"/>
      <c r="D490" s="26"/>
      <c r="E490" s="67"/>
      <c r="F490" s="28"/>
      <c r="G490" s="30"/>
      <c r="H490" s="30"/>
      <c r="I490" s="29"/>
      <c r="J490" s="30"/>
      <c r="K490" s="31"/>
      <c r="L490" s="32"/>
      <c r="M490" s="81"/>
      <c r="N490" s="82"/>
      <c r="O490" s="24"/>
      <c r="P490" s="79"/>
      <c r="Q490" s="79"/>
      <c r="R490" s="37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8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</row>
    <row r="491" ht="15.75" customHeight="1">
      <c r="A491" s="23"/>
      <c r="B491" s="44"/>
      <c r="C491" s="25"/>
      <c r="D491" s="26"/>
      <c r="E491" s="67"/>
      <c r="F491" s="28"/>
      <c r="G491" s="26"/>
      <c r="H491" s="26"/>
      <c r="I491" s="29"/>
      <c r="J491" s="30"/>
      <c r="K491" s="31"/>
      <c r="L491" s="24"/>
      <c r="M491" s="81"/>
      <c r="N491" s="82"/>
      <c r="O491" s="24"/>
      <c r="P491" s="79"/>
      <c r="Q491" s="79"/>
      <c r="R491" s="37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8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</row>
    <row r="492" ht="15.75" customHeight="1">
      <c r="A492" s="23"/>
      <c r="B492" s="44"/>
      <c r="C492" s="25"/>
      <c r="D492" s="26"/>
      <c r="E492" s="67"/>
      <c r="F492" s="28"/>
      <c r="G492" s="26"/>
      <c r="H492" s="26"/>
      <c r="I492" s="29"/>
      <c r="J492" s="30"/>
      <c r="K492" s="31"/>
      <c r="L492" s="166"/>
      <c r="M492" s="26"/>
      <c r="N492" s="82"/>
      <c r="O492" s="24"/>
      <c r="P492" s="79"/>
      <c r="Q492" s="79"/>
      <c r="R492" s="79"/>
      <c r="S492" s="24"/>
      <c r="T492" s="24"/>
      <c r="U492" s="24"/>
      <c r="V492" s="32"/>
      <c r="W492" s="32"/>
      <c r="X492" s="24"/>
      <c r="Y492" s="43"/>
      <c r="Z492" s="24"/>
      <c r="AA492" s="24"/>
      <c r="AB492" s="84"/>
      <c r="AC492" s="32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</row>
    <row r="493" ht="15.75" customHeight="1">
      <c r="A493" s="23"/>
      <c r="B493" s="24"/>
      <c r="C493" s="25"/>
      <c r="D493" s="26"/>
      <c r="E493" s="92"/>
      <c r="F493" s="28"/>
      <c r="G493" s="26"/>
      <c r="H493" s="26"/>
      <c r="I493" s="29"/>
      <c r="J493" s="30"/>
      <c r="K493" s="31"/>
      <c r="L493" s="47"/>
      <c r="M493" s="81"/>
      <c r="N493" s="82"/>
      <c r="O493" s="24"/>
      <c r="P493" s="79"/>
      <c r="Q493" s="79"/>
      <c r="R493" s="79"/>
      <c r="S493" s="24"/>
      <c r="T493" s="32"/>
      <c r="U493" s="32"/>
      <c r="V493" s="32"/>
      <c r="W493" s="32"/>
      <c r="X493" s="24"/>
      <c r="Y493" s="32"/>
      <c r="Z493" s="32"/>
      <c r="AA493" s="32"/>
      <c r="AB493" s="32"/>
      <c r="AC493" s="38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</row>
    <row r="494" ht="15.75" customHeight="1">
      <c r="A494" s="23"/>
      <c r="B494" s="44"/>
      <c r="C494" s="25"/>
      <c r="D494" s="26"/>
      <c r="E494" s="67"/>
      <c r="F494" s="28"/>
      <c r="G494" s="26"/>
      <c r="H494" s="26"/>
      <c r="I494" s="29"/>
      <c r="J494" s="30"/>
      <c r="K494" s="31"/>
      <c r="L494" s="41"/>
      <c r="M494" s="81"/>
      <c r="N494" s="82"/>
      <c r="O494" s="24"/>
      <c r="P494" s="79"/>
      <c r="Q494" s="79"/>
      <c r="R494" s="79"/>
      <c r="S494" s="24"/>
      <c r="T494" s="24"/>
      <c r="U494" s="32"/>
      <c r="V494" s="32"/>
      <c r="W494" s="32"/>
      <c r="X494" s="32"/>
      <c r="Y494" s="32"/>
      <c r="Z494" s="32"/>
      <c r="AA494" s="32"/>
      <c r="AB494" s="32"/>
      <c r="AC494" s="38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</row>
    <row r="495" ht="15.75" customHeight="1">
      <c r="A495" s="23"/>
      <c r="B495" s="44"/>
      <c r="C495" s="25"/>
      <c r="D495" s="26"/>
      <c r="E495" s="67"/>
      <c r="F495" s="28"/>
      <c r="G495" s="26"/>
      <c r="H495" s="26"/>
      <c r="I495" s="29"/>
      <c r="J495" s="30"/>
      <c r="K495" s="31"/>
      <c r="L495" s="44"/>
      <c r="M495" s="81"/>
      <c r="N495" s="82"/>
      <c r="O495" s="24"/>
      <c r="P495" s="79"/>
      <c r="Q495" s="79"/>
      <c r="R495" s="37"/>
      <c r="S495" s="24"/>
      <c r="T495" s="32"/>
      <c r="U495" s="32"/>
      <c r="V495" s="32"/>
      <c r="W495" s="32"/>
      <c r="X495" s="24"/>
      <c r="Y495" s="32"/>
      <c r="Z495" s="32"/>
      <c r="AA495" s="32"/>
      <c r="AB495" s="32"/>
      <c r="AC495" s="38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</row>
    <row r="496" ht="15.75" customHeight="1">
      <c r="A496" s="23"/>
      <c r="B496" s="24"/>
      <c r="C496" s="25"/>
      <c r="D496" s="26"/>
      <c r="E496" s="92"/>
      <c r="F496" s="28"/>
      <c r="G496" s="26"/>
      <c r="H496" s="26"/>
      <c r="I496" s="29"/>
      <c r="J496" s="30"/>
      <c r="K496" s="31"/>
      <c r="L496" s="24"/>
      <c r="M496" s="81"/>
      <c r="N496" s="82"/>
      <c r="O496" s="24"/>
      <c r="P496" s="37"/>
      <c r="Q496" s="79"/>
      <c r="R496" s="37"/>
      <c r="S496" s="24"/>
      <c r="T496" s="32"/>
      <c r="U496" s="32"/>
      <c r="V496" s="32"/>
      <c r="W496" s="32"/>
      <c r="X496" s="32"/>
      <c r="Y496" s="32"/>
      <c r="Z496" s="32"/>
      <c r="AA496" s="32"/>
      <c r="AB496" s="32"/>
      <c r="AC496" s="38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</row>
    <row r="497" ht="15.75" customHeight="1">
      <c r="A497" s="23"/>
      <c r="B497" s="44"/>
      <c r="C497" s="25"/>
      <c r="D497" s="26"/>
      <c r="E497" s="67"/>
      <c r="F497" s="28"/>
      <c r="G497" s="26"/>
      <c r="H497" s="26"/>
      <c r="I497" s="29"/>
      <c r="J497" s="30"/>
      <c r="K497" s="31"/>
      <c r="L497" s="44"/>
      <c r="M497" s="81"/>
      <c r="N497" s="82"/>
      <c r="O497" s="24"/>
      <c r="P497" s="79"/>
      <c r="Q497" s="79"/>
      <c r="R497" s="37"/>
      <c r="S497" s="32"/>
      <c r="T497" s="32"/>
      <c r="U497" s="32"/>
      <c r="V497" s="32"/>
      <c r="W497" s="32"/>
      <c r="X497" s="65"/>
      <c r="Y497" s="32"/>
      <c r="Z497" s="32"/>
      <c r="AA497" s="32"/>
      <c r="AB497" s="32"/>
      <c r="AC497" s="38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</row>
    <row r="498" ht="15.75" customHeight="1">
      <c r="A498" s="23"/>
      <c r="B498" s="44"/>
      <c r="C498" s="25"/>
      <c r="D498" s="26"/>
      <c r="E498" s="67"/>
      <c r="F498" s="28"/>
      <c r="G498" s="26"/>
      <c r="H498" s="26"/>
      <c r="I498" s="29"/>
      <c r="J498" s="30"/>
      <c r="K498" s="31"/>
      <c r="L498" s="24"/>
      <c r="M498" s="81"/>
      <c r="N498" s="82"/>
      <c r="O498" s="24"/>
      <c r="P498" s="79"/>
      <c r="Q498" s="79"/>
      <c r="R498" s="79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8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</row>
    <row r="499" ht="15.75" customHeight="1">
      <c r="A499" s="23"/>
      <c r="B499" s="24"/>
      <c r="C499" s="25"/>
      <c r="D499" s="26"/>
      <c r="E499" s="67"/>
      <c r="F499" s="28"/>
      <c r="G499" s="26"/>
      <c r="H499" s="26"/>
      <c r="I499" s="29"/>
      <c r="J499" s="30"/>
      <c r="K499" s="31"/>
      <c r="L499" s="24"/>
      <c r="M499" s="81"/>
      <c r="N499" s="82"/>
      <c r="O499" s="24"/>
      <c r="P499" s="79"/>
      <c r="Q499" s="79"/>
      <c r="R499" s="37"/>
      <c r="S499" s="32"/>
      <c r="T499" s="32"/>
      <c r="U499" s="32"/>
      <c r="V499" s="32"/>
      <c r="W499" s="32"/>
      <c r="X499" s="24"/>
      <c r="Y499" s="32"/>
      <c r="Z499" s="32"/>
      <c r="AA499" s="32"/>
      <c r="AB499" s="32"/>
      <c r="AC499" s="38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</row>
    <row r="500" ht="15.75" customHeight="1">
      <c r="A500" s="23"/>
      <c r="B500" s="24"/>
      <c r="C500" s="25"/>
      <c r="D500" s="26"/>
      <c r="E500" s="92"/>
      <c r="F500" s="28"/>
      <c r="G500" s="26"/>
      <c r="H500" s="26"/>
      <c r="I500" s="29"/>
      <c r="J500" s="26"/>
      <c r="K500" s="31"/>
      <c r="L500" s="24"/>
      <c r="M500" s="81"/>
      <c r="N500" s="82"/>
      <c r="O500" s="24"/>
      <c r="P500" s="79"/>
      <c r="Q500" s="79"/>
      <c r="R500" s="79"/>
      <c r="S500" s="24"/>
      <c r="T500" s="24"/>
      <c r="U500" s="32"/>
      <c r="V500" s="32"/>
      <c r="W500" s="32"/>
      <c r="X500" s="24"/>
      <c r="Y500" s="32"/>
      <c r="Z500" s="32"/>
      <c r="AA500" s="32"/>
      <c r="AB500" s="32"/>
      <c r="AC500" s="38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</row>
    <row r="501" ht="15.75" customHeight="1">
      <c r="A501" s="23"/>
      <c r="B501" s="24"/>
      <c r="C501" s="25"/>
      <c r="D501" s="26"/>
      <c r="E501" s="67"/>
      <c r="F501" s="28"/>
      <c r="G501" s="26"/>
      <c r="H501" s="26"/>
      <c r="I501" s="29"/>
      <c r="J501" s="26"/>
      <c r="K501" s="31"/>
      <c r="L501" s="167"/>
      <c r="M501" s="81"/>
      <c r="N501" s="82"/>
      <c r="O501" s="24"/>
      <c r="P501" s="79"/>
      <c r="Q501" s="79"/>
      <c r="R501" s="79"/>
      <c r="S501" s="24"/>
      <c r="T501" s="24"/>
      <c r="U501" s="24"/>
      <c r="V501" s="32"/>
      <c r="W501" s="32"/>
      <c r="X501" s="24"/>
      <c r="Y501" s="32"/>
      <c r="Z501" s="32"/>
      <c r="AA501" s="32"/>
      <c r="AB501" s="32"/>
      <c r="AC501" s="38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</row>
    <row r="502" ht="15.75" customHeight="1">
      <c r="A502" s="23"/>
      <c r="B502" s="24"/>
      <c r="C502" s="25"/>
      <c r="D502" s="26"/>
      <c r="E502" s="92"/>
      <c r="F502" s="28"/>
      <c r="G502" s="26"/>
      <c r="H502" s="26"/>
      <c r="I502" s="29"/>
      <c r="J502" s="26"/>
      <c r="K502" s="31"/>
      <c r="L502" s="24"/>
      <c r="M502" s="81"/>
      <c r="N502" s="82"/>
      <c r="O502" s="24"/>
      <c r="P502" s="79"/>
      <c r="Q502" s="79"/>
      <c r="R502" s="79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8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</row>
    <row r="503" ht="15.75" customHeight="1">
      <c r="A503" s="23"/>
      <c r="B503" s="24"/>
      <c r="C503" s="25"/>
      <c r="D503" s="26"/>
      <c r="E503" s="92"/>
      <c r="F503" s="28"/>
      <c r="G503" s="26"/>
      <c r="H503" s="26"/>
      <c r="I503" s="29"/>
      <c r="J503" s="26"/>
      <c r="K503" s="81"/>
      <c r="L503" s="24"/>
      <c r="M503" s="81"/>
      <c r="N503" s="82"/>
      <c r="O503" s="24"/>
      <c r="P503" s="79"/>
      <c r="Q503" s="79"/>
      <c r="R503" s="79"/>
      <c r="S503" s="24"/>
      <c r="T503" s="32"/>
      <c r="U503" s="32"/>
      <c r="V503" s="32"/>
      <c r="W503" s="82"/>
      <c r="X503" s="32"/>
      <c r="Y503" s="32"/>
      <c r="Z503" s="32"/>
      <c r="AA503" s="32"/>
      <c r="AB503" s="32"/>
      <c r="AC503" s="38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</row>
    <row r="504" ht="15.75" customHeight="1">
      <c r="A504" s="23"/>
      <c r="B504" s="24"/>
      <c r="C504" s="25"/>
      <c r="D504" s="26"/>
      <c r="E504" s="67"/>
      <c r="F504" s="28"/>
      <c r="G504" s="26"/>
      <c r="H504" s="26"/>
      <c r="I504" s="29"/>
      <c r="J504" s="26"/>
      <c r="K504" s="31"/>
      <c r="L504" s="24"/>
      <c r="M504" s="81"/>
      <c r="N504" s="82"/>
      <c r="O504" s="24"/>
      <c r="P504" s="37"/>
      <c r="Q504" s="37"/>
      <c r="R504" s="37"/>
      <c r="S504" s="32"/>
      <c r="T504" s="32"/>
      <c r="U504" s="32"/>
      <c r="V504" s="32"/>
      <c r="W504" s="32"/>
      <c r="X504" s="24"/>
      <c r="Y504" s="32"/>
      <c r="Z504" s="32"/>
      <c r="AA504" s="32"/>
      <c r="AB504" s="32"/>
      <c r="AC504" s="38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</row>
    <row r="505" ht="15.75" customHeight="1">
      <c r="A505" s="23"/>
      <c r="B505" s="24"/>
      <c r="C505" s="25"/>
      <c r="D505" s="26"/>
      <c r="E505" s="67"/>
      <c r="F505" s="28"/>
      <c r="G505" s="26"/>
      <c r="H505" s="26"/>
      <c r="I505" s="29"/>
      <c r="J505" s="26"/>
      <c r="K505" s="31"/>
      <c r="L505" s="168"/>
      <c r="M505" s="26"/>
      <c r="N505" s="82"/>
      <c r="O505" s="24"/>
      <c r="P505" s="79"/>
      <c r="Q505" s="79"/>
      <c r="R505" s="79"/>
      <c r="S505" s="79"/>
      <c r="T505" s="24"/>
      <c r="U505" s="32"/>
      <c r="V505" s="32"/>
      <c r="W505" s="32"/>
      <c r="X505" s="32"/>
      <c r="Y505" s="32"/>
      <c r="Z505" s="32"/>
      <c r="AA505" s="32"/>
      <c r="AB505" s="32"/>
      <c r="AC505" s="38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</row>
    <row r="506" ht="15.75" customHeight="1">
      <c r="A506" s="23"/>
      <c r="B506" s="24"/>
      <c r="C506" s="25"/>
      <c r="D506" s="26"/>
      <c r="E506" s="67"/>
      <c r="F506" s="28"/>
      <c r="G506" s="26"/>
      <c r="H506" s="26"/>
      <c r="I506" s="29"/>
      <c r="J506" s="26"/>
      <c r="K506" s="31"/>
      <c r="L506" s="24"/>
      <c r="M506" s="81"/>
      <c r="N506" s="82"/>
      <c r="O506" s="24"/>
      <c r="P506" s="37"/>
      <c r="Q506" s="37"/>
      <c r="R506" s="37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8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</row>
    <row r="507" ht="15.75" customHeight="1">
      <c r="A507" s="23"/>
      <c r="B507" s="46"/>
      <c r="C507" s="25"/>
      <c r="D507" s="26"/>
      <c r="E507" s="67"/>
      <c r="F507" s="28"/>
      <c r="G507" s="26"/>
      <c r="H507" s="26"/>
      <c r="I507" s="29"/>
      <c r="J507" s="26"/>
      <c r="K507" s="31"/>
      <c r="L507" s="24"/>
      <c r="M507" s="81"/>
      <c r="N507" s="82"/>
      <c r="O507" s="24"/>
      <c r="P507" s="79"/>
      <c r="Q507" s="79"/>
      <c r="R507" s="79"/>
      <c r="S507" s="24"/>
      <c r="T507" s="32"/>
      <c r="U507" s="32"/>
      <c r="V507" s="32"/>
      <c r="W507" s="32"/>
      <c r="X507" s="24"/>
      <c r="Y507" s="32"/>
      <c r="Z507" s="32"/>
      <c r="AA507" s="32"/>
      <c r="AB507" s="32"/>
      <c r="AC507" s="38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</row>
    <row r="508" ht="15.75" customHeight="1">
      <c r="A508" s="23"/>
      <c r="B508" s="46"/>
      <c r="C508" s="25"/>
      <c r="D508" s="26"/>
      <c r="E508" s="67"/>
      <c r="F508" s="28"/>
      <c r="G508" s="26"/>
      <c r="H508" s="26"/>
      <c r="I508" s="29"/>
      <c r="J508" s="26"/>
      <c r="K508" s="31"/>
      <c r="L508" s="24"/>
      <c r="M508" s="81"/>
      <c r="N508" s="82"/>
      <c r="O508" s="24"/>
      <c r="P508" s="79"/>
      <c r="Q508" s="79"/>
      <c r="R508" s="79"/>
      <c r="S508" s="24"/>
      <c r="T508" s="32"/>
      <c r="U508" s="32"/>
      <c r="V508" s="32"/>
      <c r="W508" s="32"/>
      <c r="X508" s="32"/>
      <c r="Y508" s="32"/>
      <c r="Z508" s="32"/>
      <c r="AA508" s="32"/>
      <c r="AB508" s="32"/>
      <c r="AC508" s="38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</row>
    <row r="509" ht="15.75" customHeight="1">
      <c r="A509" s="23"/>
      <c r="B509" s="24"/>
      <c r="C509" s="25"/>
      <c r="D509" s="26"/>
      <c r="E509" s="67"/>
      <c r="F509" s="28"/>
      <c r="G509" s="26"/>
      <c r="H509" s="26"/>
      <c r="I509" s="29"/>
      <c r="J509" s="26"/>
      <c r="K509" s="31"/>
      <c r="L509" s="24"/>
      <c r="M509" s="81"/>
      <c r="N509" s="82"/>
      <c r="O509" s="24"/>
      <c r="P509" s="79"/>
      <c r="Q509" s="79"/>
      <c r="R509" s="79"/>
      <c r="S509" s="24"/>
      <c r="T509" s="24"/>
      <c r="U509" s="32"/>
      <c r="V509" s="32"/>
      <c r="W509" s="32"/>
      <c r="X509" s="24"/>
      <c r="Y509" s="24"/>
      <c r="Z509" s="32"/>
      <c r="AA509" s="32"/>
      <c r="AB509" s="32"/>
      <c r="AC509" s="38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</row>
    <row r="510" ht="15.75" customHeight="1">
      <c r="A510" s="23"/>
      <c r="B510" s="24"/>
      <c r="C510" s="25"/>
      <c r="D510" s="26"/>
      <c r="E510" s="67"/>
      <c r="F510" s="28"/>
      <c r="G510" s="26"/>
      <c r="H510" s="26"/>
      <c r="I510" s="29"/>
      <c r="J510" s="26"/>
      <c r="K510" s="31"/>
      <c r="L510" s="24"/>
      <c r="M510" s="81"/>
      <c r="N510" s="82"/>
      <c r="O510" s="24"/>
      <c r="P510" s="79"/>
      <c r="Q510" s="79"/>
      <c r="R510" s="79"/>
      <c r="S510" s="24"/>
      <c r="T510" s="24"/>
      <c r="U510" s="32"/>
      <c r="V510" s="32"/>
      <c r="W510" s="32"/>
      <c r="X510" s="32"/>
      <c r="Y510" s="32"/>
      <c r="Z510" s="32"/>
      <c r="AA510" s="32"/>
      <c r="AB510" s="32"/>
      <c r="AC510" s="38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</row>
    <row r="511" ht="15.75" customHeight="1">
      <c r="A511" s="23"/>
      <c r="B511" s="24"/>
      <c r="C511" s="25"/>
      <c r="D511" s="26"/>
      <c r="E511" s="67"/>
      <c r="F511" s="28"/>
      <c r="G511" s="26"/>
      <c r="H511" s="26"/>
      <c r="I511" s="29"/>
      <c r="J511" s="26"/>
      <c r="K511" s="31"/>
      <c r="L511" s="24"/>
      <c r="M511" s="81"/>
      <c r="N511" s="82"/>
      <c r="O511" s="24"/>
      <c r="P511" s="79"/>
      <c r="Q511" s="79"/>
      <c r="R511" s="79"/>
      <c r="S511" s="24"/>
      <c r="T511" s="32"/>
      <c r="U511" s="32"/>
      <c r="V511" s="32"/>
      <c r="W511" s="32"/>
      <c r="X511" s="24"/>
      <c r="Y511" s="24"/>
      <c r="Z511" s="32"/>
      <c r="AA511" s="32"/>
      <c r="AB511" s="32"/>
      <c r="AC511" s="38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</row>
    <row r="512" ht="15.75" customHeight="1">
      <c r="A512" s="23"/>
      <c r="B512" s="24"/>
      <c r="C512" s="25"/>
      <c r="D512" s="26"/>
      <c r="E512" s="67"/>
      <c r="F512" s="28"/>
      <c r="G512" s="26"/>
      <c r="H512" s="26"/>
      <c r="I512" s="29"/>
      <c r="J512" s="26"/>
      <c r="K512" s="31"/>
      <c r="L512" s="24"/>
      <c r="M512" s="81"/>
      <c r="N512" s="82"/>
      <c r="O512" s="24"/>
      <c r="P512" s="79"/>
      <c r="Q512" s="79"/>
      <c r="R512" s="79"/>
      <c r="S512" s="24"/>
      <c r="T512" s="24"/>
      <c r="U512" s="24"/>
      <c r="V512" s="24"/>
      <c r="W512" s="32"/>
      <c r="X512" s="24"/>
      <c r="Y512" s="24"/>
      <c r="Z512" s="24"/>
      <c r="AA512" s="24"/>
      <c r="AB512" s="24"/>
      <c r="AC512" s="24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</row>
    <row r="513" ht="15.75" customHeight="1">
      <c r="A513" s="23"/>
      <c r="B513" s="24"/>
      <c r="C513" s="25"/>
      <c r="D513" s="26"/>
      <c r="E513" s="67"/>
      <c r="F513" s="28"/>
      <c r="G513" s="26"/>
      <c r="H513" s="26"/>
      <c r="I513" s="29"/>
      <c r="J513" s="26"/>
      <c r="K513" s="31"/>
      <c r="L513" s="47"/>
      <c r="M513" s="81"/>
      <c r="N513" s="82"/>
      <c r="O513" s="24"/>
      <c r="P513" s="37"/>
      <c r="Q513" s="37"/>
      <c r="R513" s="37"/>
      <c r="S513" s="24"/>
      <c r="T513" s="24"/>
      <c r="U513" s="32"/>
      <c r="V513" s="32"/>
      <c r="W513" s="32"/>
      <c r="X513" s="24"/>
      <c r="Y513" s="24"/>
      <c r="Z513" s="24"/>
      <c r="AA513" s="32"/>
      <c r="AB513" s="32"/>
      <c r="AC513" s="38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</row>
    <row r="514" ht="15.75" customHeight="1">
      <c r="A514" s="23"/>
      <c r="B514" s="24"/>
      <c r="C514" s="25"/>
      <c r="D514" s="26"/>
      <c r="E514" s="67"/>
      <c r="F514" s="28"/>
      <c r="G514" s="26"/>
      <c r="H514" s="26"/>
      <c r="I514" s="29"/>
      <c r="J514" s="26"/>
      <c r="K514" s="31"/>
      <c r="L514" s="24"/>
      <c r="M514" s="81"/>
      <c r="N514" s="82"/>
      <c r="O514" s="24"/>
      <c r="P514" s="37"/>
      <c r="Q514" s="37"/>
      <c r="R514" s="37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8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</row>
    <row r="515" ht="15.75" customHeight="1">
      <c r="A515" s="23"/>
      <c r="B515" s="24"/>
      <c r="C515" s="25"/>
      <c r="D515" s="26"/>
      <c r="E515" s="67"/>
      <c r="F515" s="28"/>
      <c r="G515" s="26"/>
      <c r="H515" s="26"/>
      <c r="I515" s="29"/>
      <c r="J515" s="26"/>
      <c r="K515" s="81"/>
      <c r="L515" s="24"/>
      <c r="M515" s="81"/>
      <c r="N515" s="82"/>
      <c r="O515" s="24"/>
      <c r="P515" s="37"/>
      <c r="Q515" s="37"/>
      <c r="R515" s="37"/>
      <c r="S515" s="24"/>
      <c r="T515" s="24"/>
      <c r="U515" s="24"/>
      <c r="V515" s="24"/>
      <c r="W515" s="24"/>
      <c r="X515" s="24"/>
      <c r="Y515" s="32"/>
      <c r="Z515" s="32"/>
      <c r="AA515" s="32"/>
      <c r="AB515" s="32"/>
      <c r="AC515" s="38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</row>
    <row r="516" ht="15.75" customHeight="1">
      <c r="A516" s="23"/>
      <c r="B516" s="24"/>
      <c r="C516" s="25"/>
      <c r="D516" s="26"/>
      <c r="E516" s="67"/>
      <c r="F516" s="28"/>
      <c r="G516" s="26"/>
      <c r="H516" s="26"/>
      <c r="I516" s="29"/>
      <c r="J516" s="26"/>
      <c r="K516" s="31"/>
      <c r="L516" s="24"/>
      <c r="M516" s="81"/>
      <c r="N516" s="82"/>
      <c r="O516" s="24"/>
      <c r="P516" s="79"/>
      <c r="Q516" s="79"/>
      <c r="R516" s="79"/>
      <c r="S516" s="24"/>
      <c r="T516" s="24"/>
      <c r="U516" s="24"/>
      <c r="V516" s="32"/>
      <c r="W516" s="32"/>
      <c r="X516" s="24"/>
      <c r="Y516" s="24"/>
      <c r="Z516" s="24"/>
      <c r="AA516" s="32"/>
      <c r="AB516" s="32"/>
      <c r="AC516" s="38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</row>
    <row r="517" ht="15.75" customHeight="1">
      <c r="A517" s="23"/>
      <c r="B517" s="24"/>
      <c r="C517" s="25"/>
      <c r="D517" s="26"/>
      <c r="E517" s="169"/>
      <c r="F517" s="28"/>
      <c r="G517" s="26"/>
      <c r="H517" s="26"/>
      <c r="I517" s="29"/>
      <c r="J517" s="26"/>
      <c r="K517" s="31"/>
      <c r="L517" s="170"/>
      <c r="M517" s="26"/>
      <c r="N517" s="82"/>
      <c r="O517" s="24"/>
      <c r="P517" s="79"/>
      <c r="Q517" s="79"/>
      <c r="R517" s="79"/>
      <c r="S517" s="32"/>
      <c r="T517" s="32"/>
      <c r="U517" s="32"/>
      <c r="V517" s="32"/>
      <c r="W517" s="32"/>
      <c r="X517" s="24"/>
      <c r="Y517" s="24"/>
      <c r="Z517" s="32"/>
      <c r="AA517" s="32"/>
      <c r="AB517" s="32"/>
      <c r="AC517" s="38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</row>
    <row r="518" ht="15.75" customHeight="1">
      <c r="A518" s="48"/>
      <c r="B518" s="46"/>
      <c r="C518" s="29"/>
      <c r="D518" s="26"/>
      <c r="E518" s="171"/>
      <c r="F518" s="28"/>
      <c r="G518" s="30"/>
      <c r="H518" s="26"/>
      <c r="I518" s="29"/>
      <c r="J518" s="26"/>
      <c r="K518" s="31"/>
      <c r="L518" s="24"/>
      <c r="M518" s="81"/>
      <c r="N518" s="52"/>
      <c r="O518" s="52"/>
      <c r="P518" s="172"/>
      <c r="Q518" s="172"/>
      <c r="R518" s="172"/>
      <c r="S518" s="24"/>
      <c r="T518" s="24"/>
      <c r="U518" s="53"/>
      <c r="V518" s="53"/>
      <c r="W518" s="53"/>
      <c r="X518" s="24"/>
      <c r="Y518" s="24"/>
      <c r="Z518" s="53"/>
      <c r="AA518" s="53"/>
      <c r="AB518" s="32"/>
      <c r="AC518" s="38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</row>
    <row r="519" ht="15.75" customHeight="1">
      <c r="A519" s="48"/>
      <c r="B519" s="173"/>
      <c r="C519" s="29"/>
      <c r="D519" s="26"/>
      <c r="E519" s="27"/>
      <c r="F519" s="28"/>
      <c r="G519" s="30"/>
      <c r="H519" s="26"/>
      <c r="I519" s="29"/>
      <c r="J519" s="26"/>
      <c r="K519" s="31"/>
      <c r="L519" s="24"/>
      <c r="M519" s="81"/>
      <c r="N519" s="52"/>
      <c r="O519" s="52"/>
      <c r="P519" s="172"/>
      <c r="Q519" s="172"/>
      <c r="R519" s="172"/>
      <c r="S519" s="24"/>
      <c r="T519" s="24"/>
      <c r="U519" s="53"/>
      <c r="V519" s="53"/>
      <c r="W519" s="53"/>
      <c r="X519" s="24"/>
      <c r="Y519" s="24"/>
      <c r="Z519" s="24"/>
      <c r="AA519" s="24"/>
      <c r="AB519" s="24"/>
      <c r="AC519" s="38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</row>
    <row r="520" ht="15.75" customHeight="1">
      <c r="A520" s="23"/>
      <c r="B520" s="174"/>
      <c r="C520" s="25"/>
      <c r="D520" s="26"/>
      <c r="E520" s="67"/>
      <c r="F520" s="28"/>
      <c r="G520" s="26"/>
      <c r="H520" s="26"/>
      <c r="I520" s="29"/>
      <c r="J520" s="26"/>
      <c r="K520" s="31"/>
      <c r="L520" s="24"/>
      <c r="M520" s="81"/>
      <c r="N520" s="24"/>
      <c r="O520" s="24"/>
      <c r="P520" s="37"/>
      <c r="Q520" s="37"/>
      <c r="R520" s="37"/>
      <c r="S520" s="24"/>
      <c r="T520" s="32"/>
      <c r="U520" s="32"/>
      <c r="V520" s="32"/>
      <c r="W520" s="32"/>
      <c r="X520" s="24"/>
      <c r="Y520" s="32"/>
      <c r="Z520" s="32"/>
      <c r="AA520" s="32"/>
      <c r="AB520" s="32"/>
      <c r="AC520" s="38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</row>
    <row r="521" ht="15.75" customHeight="1">
      <c r="A521" s="23"/>
      <c r="B521" s="24"/>
      <c r="C521" s="25"/>
      <c r="D521" s="26"/>
      <c r="E521" s="67"/>
      <c r="F521" s="28"/>
      <c r="G521" s="26"/>
      <c r="H521" s="26"/>
      <c r="I521" s="29"/>
      <c r="J521" s="26"/>
      <c r="K521" s="31"/>
      <c r="L521" s="24"/>
      <c r="M521" s="26"/>
      <c r="N521" s="82"/>
      <c r="O521" s="82"/>
      <c r="P521" s="37"/>
      <c r="Q521" s="37"/>
      <c r="R521" s="37"/>
      <c r="S521" s="24"/>
      <c r="T521" s="24"/>
      <c r="U521" s="24"/>
      <c r="V521" s="32"/>
      <c r="W521" s="32"/>
      <c r="X521" s="24"/>
      <c r="Y521" s="32"/>
      <c r="Z521" s="32"/>
      <c r="AA521" s="32"/>
      <c r="AB521" s="32"/>
      <c r="AC521" s="38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</row>
    <row r="522" ht="15.75" customHeight="1">
      <c r="A522" s="23"/>
      <c r="B522" s="24"/>
      <c r="C522" s="25"/>
      <c r="D522" s="26"/>
      <c r="E522" s="67"/>
      <c r="F522" s="28"/>
      <c r="G522" s="26"/>
      <c r="H522" s="26"/>
      <c r="I522" s="29"/>
      <c r="J522" s="26"/>
      <c r="K522" s="31"/>
      <c r="L522" s="24"/>
      <c r="M522" s="26"/>
      <c r="N522" s="82"/>
      <c r="O522" s="82"/>
      <c r="P522" s="37"/>
      <c r="Q522" s="37"/>
      <c r="R522" s="37"/>
      <c r="S522" s="24"/>
      <c r="T522" s="24"/>
      <c r="U522" s="32"/>
      <c r="V522" s="32"/>
      <c r="W522" s="32"/>
      <c r="X522" s="24"/>
      <c r="Y522" s="32"/>
      <c r="Z522" s="32"/>
      <c r="AA522" s="32"/>
      <c r="AB522" s="32"/>
      <c r="AC522" s="38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</row>
    <row r="523" ht="15.75" customHeight="1">
      <c r="A523" s="23"/>
      <c r="B523" s="175"/>
      <c r="C523" s="25"/>
      <c r="D523" s="26"/>
      <c r="E523" s="67"/>
      <c r="F523" s="28"/>
      <c r="G523" s="26"/>
      <c r="H523" s="26"/>
      <c r="I523" s="29"/>
      <c r="J523" s="26"/>
      <c r="K523" s="31"/>
      <c r="L523" s="24"/>
      <c r="M523" s="81"/>
      <c r="N523" s="82"/>
      <c r="O523" s="82"/>
      <c r="P523" s="37"/>
      <c r="Q523" s="37"/>
      <c r="R523" s="37"/>
      <c r="S523" s="24"/>
      <c r="T523" s="24"/>
      <c r="U523" s="24"/>
      <c r="V523" s="32"/>
      <c r="W523" s="32"/>
      <c r="X523" s="24"/>
      <c r="Y523" s="32"/>
      <c r="Z523" s="32"/>
      <c r="AA523" s="32"/>
      <c r="AB523" s="32"/>
      <c r="AC523" s="38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</row>
    <row r="524" ht="15.75" customHeight="1">
      <c r="A524" s="23"/>
      <c r="B524" s="24"/>
      <c r="C524" s="25"/>
      <c r="D524" s="26"/>
      <c r="E524" s="67"/>
      <c r="F524" s="28"/>
      <c r="G524" s="26"/>
      <c r="H524" s="26"/>
      <c r="I524" s="29"/>
      <c r="J524" s="26"/>
      <c r="K524" s="31"/>
      <c r="L524" s="24"/>
      <c r="M524" s="26"/>
      <c r="N524" s="82"/>
      <c r="O524" s="82"/>
      <c r="P524" s="37"/>
      <c r="Q524" s="37"/>
      <c r="R524" s="37"/>
      <c r="S524" s="32"/>
      <c r="T524" s="32"/>
      <c r="U524" s="32"/>
      <c r="V524" s="32"/>
      <c r="W524" s="32"/>
      <c r="X524" s="24"/>
      <c r="Y524" s="32"/>
      <c r="Z524" s="32"/>
      <c r="AA524" s="32"/>
      <c r="AB524" s="32"/>
      <c r="AC524" s="38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</row>
    <row r="525" ht="15.75" customHeight="1">
      <c r="A525" s="23"/>
      <c r="B525" s="24"/>
      <c r="C525" s="25"/>
      <c r="D525" s="26"/>
      <c r="E525" s="67"/>
      <c r="F525" s="28"/>
      <c r="G525" s="26"/>
      <c r="H525" s="26"/>
      <c r="I525" s="29"/>
      <c r="J525" s="26"/>
      <c r="K525" s="31"/>
      <c r="L525" s="24"/>
      <c r="M525" s="26"/>
      <c r="N525" s="82"/>
      <c r="O525" s="82"/>
      <c r="P525" s="37"/>
      <c r="Q525" s="37"/>
      <c r="R525" s="37"/>
      <c r="S525" s="24"/>
      <c r="T525" s="32"/>
      <c r="U525" s="32"/>
      <c r="V525" s="32"/>
      <c r="W525" s="32"/>
      <c r="X525" s="32"/>
      <c r="Y525" s="32"/>
      <c r="Z525" s="32"/>
      <c r="AA525" s="32"/>
      <c r="AB525" s="32"/>
      <c r="AC525" s="38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</row>
    <row r="526" ht="15.75" customHeight="1">
      <c r="A526" s="23"/>
      <c r="B526" s="24"/>
      <c r="C526" s="25"/>
      <c r="D526" s="26"/>
      <c r="E526" s="67"/>
      <c r="F526" s="28"/>
      <c r="G526" s="26"/>
      <c r="H526" s="26"/>
      <c r="I526" s="29"/>
      <c r="J526" s="26"/>
      <c r="K526" s="31"/>
      <c r="L526" s="176"/>
      <c r="M526" s="26"/>
      <c r="N526" s="82"/>
      <c r="O526" s="82"/>
      <c r="P526" s="37"/>
      <c r="Q526" s="37"/>
      <c r="R526" s="37"/>
      <c r="S526" s="32"/>
      <c r="T526" s="32"/>
      <c r="U526" s="32"/>
      <c r="V526" s="32"/>
      <c r="W526" s="32"/>
      <c r="X526" s="24"/>
      <c r="Y526" s="32"/>
      <c r="Z526" s="32"/>
      <c r="AA526" s="32"/>
      <c r="AB526" s="32"/>
      <c r="AC526" s="55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</row>
    <row r="527" ht="15.75" customHeight="1">
      <c r="A527" s="23"/>
      <c r="B527" s="24"/>
      <c r="C527" s="25"/>
      <c r="D527" s="26"/>
      <c r="E527" s="67"/>
      <c r="F527" s="177"/>
      <c r="G527" s="26"/>
      <c r="H527" s="26"/>
      <c r="I527" s="29"/>
      <c r="J527" s="26"/>
      <c r="K527" s="31"/>
      <c r="L527" s="24"/>
      <c r="M527" s="26"/>
      <c r="N527" s="82"/>
      <c r="O527" s="82"/>
      <c r="P527" s="37"/>
      <c r="Q527" s="37"/>
      <c r="R527" s="37"/>
      <c r="S527" s="24"/>
      <c r="T527" s="24"/>
      <c r="U527" s="32"/>
      <c r="V527" s="32"/>
      <c r="W527" s="32"/>
      <c r="X527" s="24"/>
      <c r="Y527" s="32"/>
      <c r="Z527" s="32"/>
      <c r="AA527" s="32"/>
      <c r="AB527" s="32"/>
      <c r="AC527" s="38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</row>
    <row r="528" ht="15.75" customHeight="1">
      <c r="A528" s="23"/>
      <c r="B528" s="24"/>
      <c r="C528" s="25"/>
      <c r="D528" s="26"/>
      <c r="E528" s="67"/>
      <c r="F528" s="28"/>
      <c r="G528" s="26"/>
      <c r="H528" s="26"/>
      <c r="I528" s="29"/>
      <c r="J528" s="26"/>
      <c r="K528" s="31"/>
      <c r="L528" s="32"/>
      <c r="M528" s="26"/>
      <c r="N528" s="82"/>
      <c r="O528" s="82"/>
      <c r="P528" s="37"/>
      <c r="Q528" s="37"/>
      <c r="R528" s="37"/>
      <c r="S528" s="24"/>
      <c r="T528" s="32"/>
      <c r="U528" s="32"/>
      <c r="V528" s="32"/>
      <c r="W528" s="32"/>
      <c r="X528" s="32"/>
      <c r="Y528" s="32"/>
      <c r="Z528" s="32"/>
      <c r="AA528" s="32"/>
      <c r="AB528" s="32"/>
      <c r="AC528" s="38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</row>
    <row r="529" ht="15.75" customHeight="1">
      <c r="A529" s="23"/>
      <c r="B529" s="76"/>
      <c r="C529" s="25"/>
      <c r="D529" s="26"/>
      <c r="E529" s="67"/>
      <c r="F529" s="28"/>
      <c r="G529" s="26"/>
      <c r="H529" s="26"/>
      <c r="I529" s="29"/>
      <c r="J529" s="26"/>
      <c r="K529" s="31"/>
      <c r="L529" s="47"/>
      <c r="M529" s="26"/>
      <c r="N529" s="82"/>
      <c r="O529" s="82"/>
      <c r="P529" s="37"/>
      <c r="Q529" s="37"/>
      <c r="R529" s="37"/>
      <c r="S529" s="24"/>
      <c r="T529" s="24"/>
      <c r="U529" s="24"/>
      <c r="V529" s="32"/>
      <c r="W529" s="32"/>
      <c r="X529" s="24"/>
      <c r="Y529" s="24"/>
      <c r="Z529" s="24"/>
      <c r="AA529" s="32"/>
      <c r="AB529" s="32"/>
      <c r="AC529" s="38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</row>
    <row r="530" ht="15.75" customHeight="1">
      <c r="A530" s="48"/>
      <c r="B530" s="178"/>
      <c r="C530" s="29"/>
      <c r="D530" s="26"/>
      <c r="E530" s="27"/>
      <c r="F530" s="49"/>
      <c r="G530" s="26"/>
      <c r="H530" s="30"/>
      <c r="I530" s="29"/>
      <c r="J530" s="30"/>
      <c r="K530" s="30"/>
      <c r="L530" s="24"/>
      <c r="M530" s="126"/>
      <c r="N530" s="52"/>
      <c r="O530" s="52"/>
      <c r="P530" s="53"/>
      <c r="Q530" s="53"/>
      <c r="R530" s="53"/>
      <c r="S530" s="32"/>
      <c r="T530" s="32"/>
      <c r="U530" s="32"/>
      <c r="V530" s="53"/>
      <c r="W530" s="53"/>
      <c r="X530" s="32"/>
      <c r="Y530" s="32"/>
      <c r="Z530" s="32"/>
      <c r="AA530" s="53"/>
      <c r="AB530" s="53"/>
      <c r="AC530" s="55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</row>
    <row r="531" ht="15.75" customHeight="1">
      <c r="A531" s="23"/>
      <c r="B531" s="24"/>
      <c r="C531" s="25"/>
      <c r="D531" s="26"/>
      <c r="E531" s="67"/>
      <c r="F531" s="28"/>
      <c r="G531" s="26"/>
      <c r="H531" s="26"/>
      <c r="I531" s="29"/>
      <c r="J531" s="26"/>
      <c r="K531" s="31"/>
      <c r="L531" s="32"/>
      <c r="M531" s="26"/>
      <c r="N531" s="82"/>
      <c r="O531" s="82"/>
      <c r="P531" s="37"/>
      <c r="Q531" s="37"/>
      <c r="R531" s="37"/>
      <c r="S531" s="24"/>
      <c r="T531" s="24"/>
      <c r="U531" s="32"/>
      <c r="V531" s="32"/>
      <c r="W531" s="32"/>
      <c r="X531" s="32"/>
      <c r="Y531" s="32"/>
      <c r="Z531" s="32"/>
      <c r="AA531" s="32"/>
      <c r="AB531" s="32"/>
      <c r="AC531" s="38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</row>
    <row r="532" ht="15.75" customHeight="1">
      <c r="A532" s="23"/>
      <c r="B532" s="24"/>
      <c r="C532" s="25"/>
      <c r="D532" s="26"/>
      <c r="E532" s="92"/>
      <c r="F532" s="28"/>
      <c r="G532" s="26"/>
      <c r="H532" s="26"/>
      <c r="I532" s="29"/>
      <c r="J532" s="26"/>
      <c r="K532" s="31"/>
      <c r="L532" s="32"/>
      <c r="M532" s="26"/>
      <c r="N532" s="82"/>
      <c r="O532" s="82"/>
      <c r="P532" s="37"/>
      <c r="Q532" s="37"/>
      <c r="R532" s="37"/>
      <c r="S532" s="24"/>
      <c r="T532" s="32"/>
      <c r="U532" s="32"/>
      <c r="V532" s="32"/>
      <c r="W532" s="32"/>
      <c r="X532" s="32"/>
      <c r="Y532" s="32"/>
      <c r="Z532" s="32"/>
      <c r="AA532" s="32"/>
      <c r="AB532" s="32"/>
      <c r="AC532" s="38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</row>
    <row r="533" ht="15.75" customHeight="1">
      <c r="A533" s="23"/>
      <c r="B533" s="24"/>
      <c r="C533" s="25"/>
      <c r="D533" s="26"/>
      <c r="E533" s="67"/>
      <c r="F533" s="177"/>
      <c r="G533" s="26"/>
      <c r="H533" s="26"/>
      <c r="I533" s="29"/>
      <c r="J533" s="26"/>
      <c r="K533" s="31"/>
      <c r="L533" s="47"/>
      <c r="M533" s="26"/>
      <c r="N533" s="82"/>
      <c r="O533" s="82"/>
      <c r="P533" s="37"/>
      <c r="Q533" s="37"/>
      <c r="R533" s="37"/>
      <c r="S533" s="24"/>
      <c r="T533" s="24"/>
      <c r="U533" s="24"/>
      <c r="V533" s="24"/>
      <c r="W533" s="24"/>
      <c r="X533" s="24"/>
      <c r="Y533" s="24"/>
      <c r="Z533" s="24"/>
      <c r="AA533" s="24"/>
      <c r="AB533" s="32"/>
      <c r="AC533" s="38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</row>
    <row r="534" ht="15.75" customHeight="1">
      <c r="A534" s="23"/>
      <c r="B534" s="24"/>
      <c r="C534" s="25"/>
      <c r="D534" s="26"/>
      <c r="E534" s="67"/>
      <c r="F534" s="28"/>
      <c r="G534" s="26"/>
      <c r="H534" s="26"/>
      <c r="I534" s="29"/>
      <c r="J534" s="26"/>
      <c r="K534" s="31"/>
      <c r="L534" s="24"/>
      <c r="M534" s="26"/>
      <c r="N534" s="82"/>
      <c r="O534" s="82"/>
      <c r="P534" s="37"/>
      <c r="Q534" s="37"/>
      <c r="R534" s="37"/>
      <c r="S534" s="24"/>
      <c r="T534" s="32"/>
      <c r="U534" s="32"/>
      <c r="V534" s="32"/>
      <c r="W534" s="32"/>
      <c r="X534" s="24"/>
      <c r="Y534" s="32"/>
      <c r="Z534" s="32"/>
      <c r="AA534" s="32"/>
      <c r="AB534" s="32"/>
      <c r="AC534" s="38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</row>
    <row r="535" ht="15.75" customHeight="1">
      <c r="A535" s="23"/>
      <c r="B535" s="24"/>
      <c r="C535" s="25"/>
      <c r="D535" s="26"/>
      <c r="E535" s="67"/>
      <c r="F535" s="28"/>
      <c r="G535" s="26"/>
      <c r="H535" s="26"/>
      <c r="I535" s="29"/>
      <c r="J535" s="26"/>
      <c r="K535" s="31"/>
      <c r="L535" s="24"/>
      <c r="M535" s="26"/>
      <c r="N535" s="82"/>
      <c r="O535" s="82"/>
      <c r="P535" s="37"/>
      <c r="Q535" s="37"/>
      <c r="R535" s="37"/>
      <c r="S535" s="24"/>
      <c r="T535" s="32"/>
      <c r="U535" s="32"/>
      <c r="V535" s="32"/>
      <c r="W535" s="32"/>
      <c r="X535" s="32"/>
      <c r="Y535" s="32"/>
      <c r="Z535" s="32"/>
      <c r="AA535" s="32"/>
      <c r="AB535" s="32"/>
      <c r="AC535" s="38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</row>
    <row r="536" ht="15.75" customHeight="1">
      <c r="A536" s="23"/>
      <c r="B536" s="24"/>
      <c r="C536" s="25"/>
      <c r="D536" s="26"/>
      <c r="E536" s="67"/>
      <c r="F536" s="28"/>
      <c r="G536" s="26"/>
      <c r="H536" s="26"/>
      <c r="I536" s="29"/>
      <c r="J536" s="26"/>
      <c r="K536" s="31"/>
      <c r="L536" s="24"/>
      <c r="M536" s="26"/>
      <c r="N536" s="82"/>
      <c r="O536" s="82"/>
      <c r="P536" s="37"/>
      <c r="Q536" s="37"/>
      <c r="R536" s="37"/>
      <c r="S536" s="24"/>
      <c r="T536" s="24"/>
      <c r="U536" s="32"/>
      <c r="V536" s="32"/>
      <c r="W536" s="32"/>
      <c r="X536" s="24"/>
      <c r="Y536" s="24"/>
      <c r="Z536" s="24"/>
      <c r="AA536" s="32"/>
      <c r="AB536" s="32"/>
      <c r="AC536" s="38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</row>
    <row r="537" ht="15.75" customHeight="1">
      <c r="A537" s="23"/>
      <c r="B537" s="46"/>
      <c r="C537" s="25"/>
      <c r="D537" s="26"/>
      <c r="E537" s="67"/>
      <c r="F537" s="28"/>
      <c r="G537" s="26"/>
      <c r="H537" s="26"/>
      <c r="I537" s="29"/>
      <c r="J537" s="26"/>
      <c r="K537" s="31"/>
      <c r="L537" s="44"/>
      <c r="M537" s="26"/>
      <c r="N537" s="82"/>
      <c r="O537" s="82"/>
      <c r="P537" s="37"/>
      <c r="Q537" s="37"/>
      <c r="R537" s="37"/>
      <c r="S537" s="24"/>
      <c r="T537" s="24"/>
      <c r="U537" s="32"/>
      <c r="V537" s="32"/>
      <c r="W537" s="32"/>
      <c r="X537" s="32"/>
      <c r="Y537" s="32"/>
      <c r="Z537" s="32"/>
      <c r="AA537" s="32"/>
      <c r="AB537" s="32"/>
      <c r="AC537" s="38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</row>
    <row r="538" ht="15.75" customHeight="1">
      <c r="A538" s="23"/>
      <c r="B538" s="24"/>
      <c r="C538" s="25"/>
      <c r="D538" s="26"/>
      <c r="E538" s="92"/>
      <c r="F538" s="28"/>
      <c r="G538" s="26"/>
      <c r="H538" s="26"/>
      <c r="I538" s="29"/>
      <c r="J538" s="26"/>
      <c r="K538" s="31"/>
      <c r="L538" s="47"/>
      <c r="M538" s="26"/>
      <c r="N538" s="24"/>
      <c r="O538" s="24"/>
      <c r="P538" s="37"/>
      <c r="Q538" s="37"/>
      <c r="R538" s="37"/>
      <c r="S538" s="24"/>
      <c r="T538" s="32"/>
      <c r="U538" s="32"/>
      <c r="V538" s="32"/>
      <c r="W538" s="32"/>
      <c r="X538" s="24"/>
      <c r="Y538" s="24"/>
      <c r="Z538" s="24"/>
      <c r="AA538" s="32"/>
      <c r="AB538" s="32"/>
      <c r="AC538" s="38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</row>
    <row r="539" ht="15.75" customHeight="1">
      <c r="A539" s="23"/>
      <c r="B539" s="24"/>
      <c r="C539" s="25"/>
      <c r="D539" s="26"/>
      <c r="E539" s="92"/>
      <c r="F539" s="28"/>
      <c r="G539" s="26"/>
      <c r="H539" s="26"/>
      <c r="I539" s="29"/>
      <c r="J539" s="26"/>
      <c r="K539" s="31"/>
      <c r="L539" s="24"/>
      <c r="M539" s="26"/>
      <c r="N539" s="82"/>
      <c r="O539" s="82"/>
      <c r="P539" s="37"/>
      <c r="Q539" s="37"/>
      <c r="R539" s="37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8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</row>
    <row r="540" ht="15.75" customHeight="1">
      <c r="A540" s="48"/>
      <c r="B540" s="32"/>
      <c r="C540" s="29"/>
      <c r="D540" s="26"/>
      <c r="E540" s="179"/>
      <c r="F540" s="28"/>
      <c r="G540" s="30"/>
      <c r="H540" s="30"/>
      <c r="I540" s="29"/>
      <c r="J540" s="30"/>
      <c r="K540" s="31"/>
      <c r="L540" s="24"/>
      <c r="M540" s="26"/>
      <c r="N540" s="82"/>
      <c r="O540" s="82"/>
      <c r="P540" s="172"/>
      <c r="Q540" s="172"/>
      <c r="R540" s="172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38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</row>
    <row r="541" ht="15.75" customHeight="1">
      <c r="A541" s="48"/>
      <c r="B541" s="175"/>
      <c r="C541" s="29"/>
      <c r="D541" s="26"/>
      <c r="E541" s="92"/>
      <c r="F541" s="58"/>
      <c r="G541" s="26"/>
      <c r="H541" s="30"/>
      <c r="I541" s="29"/>
      <c r="J541" s="30"/>
      <c r="K541" s="31"/>
      <c r="L541" s="24"/>
      <c r="M541" s="126"/>
      <c r="N541" s="52"/>
      <c r="O541" s="61"/>
      <c r="P541" s="172"/>
      <c r="Q541" s="172"/>
      <c r="R541" s="172"/>
      <c r="S541" s="32"/>
      <c r="T541" s="53"/>
      <c r="U541" s="53"/>
      <c r="V541" s="53"/>
      <c r="W541" s="53"/>
      <c r="X541" s="32"/>
      <c r="Y541" s="53"/>
      <c r="Z541" s="53"/>
      <c r="AA541" s="53"/>
      <c r="AB541" s="32"/>
      <c r="AC541" s="38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</row>
    <row r="542" ht="15.75" customHeight="1">
      <c r="A542" s="23"/>
      <c r="B542" s="24"/>
      <c r="C542" s="25"/>
      <c r="D542" s="26"/>
      <c r="E542" s="67"/>
      <c r="F542" s="28"/>
      <c r="G542" s="26"/>
      <c r="H542" s="26"/>
      <c r="I542" s="29"/>
      <c r="J542" s="26"/>
      <c r="K542" s="31"/>
      <c r="L542" s="32"/>
      <c r="M542" s="26"/>
      <c r="N542" s="82"/>
      <c r="O542" s="82"/>
      <c r="P542" s="37"/>
      <c r="Q542" s="37"/>
      <c r="R542" s="37"/>
      <c r="S542" s="24"/>
      <c r="T542" s="32"/>
      <c r="U542" s="32"/>
      <c r="V542" s="32"/>
      <c r="W542" s="32"/>
      <c r="X542" s="24"/>
      <c r="Y542" s="32"/>
      <c r="Z542" s="32"/>
      <c r="AA542" s="32"/>
      <c r="AB542" s="32"/>
      <c r="AC542" s="38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</row>
    <row r="543" ht="15.75" customHeight="1">
      <c r="A543" s="23"/>
      <c r="B543" s="24"/>
      <c r="C543" s="25"/>
      <c r="D543" s="26"/>
      <c r="E543" s="92"/>
      <c r="F543" s="28"/>
      <c r="G543" s="26"/>
      <c r="H543" s="26"/>
      <c r="I543" s="29"/>
      <c r="J543" s="26"/>
      <c r="K543" s="31"/>
      <c r="L543" s="24"/>
      <c r="M543" s="26"/>
      <c r="N543" s="82"/>
      <c r="O543" s="82"/>
      <c r="P543" s="37"/>
      <c r="Q543" s="37"/>
      <c r="R543" s="37"/>
      <c r="S543" s="32"/>
      <c r="T543" s="32"/>
      <c r="U543" s="32"/>
      <c r="V543" s="32"/>
      <c r="W543" s="32"/>
      <c r="X543" s="24"/>
      <c r="Y543" s="24"/>
      <c r="Z543" s="32"/>
      <c r="AA543" s="32"/>
      <c r="AB543" s="32"/>
      <c r="AC543" s="38"/>
      <c r="AD543" s="180"/>
      <c r="AE543" s="180"/>
      <c r="AF543" s="180"/>
      <c r="AG543" s="180"/>
      <c r="AH543" s="180"/>
      <c r="AI543" s="180"/>
      <c r="AJ543" s="180"/>
      <c r="AK543" s="180"/>
      <c r="AL543" s="180"/>
      <c r="AM543" s="180"/>
      <c r="AN543" s="180"/>
      <c r="AO543" s="180"/>
      <c r="AP543" s="180"/>
      <c r="AQ543" s="180"/>
      <c r="AR543" s="180"/>
      <c r="AS543" s="180"/>
      <c r="AT543" s="180"/>
      <c r="AU543" s="180"/>
    </row>
    <row r="544" ht="15.75" customHeight="1">
      <c r="A544" s="23"/>
      <c r="B544" s="24"/>
      <c r="C544" s="25"/>
      <c r="D544" s="26"/>
      <c r="E544" s="92"/>
      <c r="F544" s="28"/>
      <c r="G544" s="26"/>
      <c r="H544" s="26"/>
      <c r="I544" s="29"/>
      <c r="J544" s="26"/>
      <c r="K544" s="31"/>
      <c r="L544" s="24"/>
      <c r="M544" s="26"/>
      <c r="N544" s="82"/>
      <c r="O544" s="82"/>
      <c r="P544" s="37"/>
      <c r="Q544" s="37"/>
      <c r="R544" s="37"/>
      <c r="S544" s="24"/>
      <c r="T544" s="24"/>
      <c r="U544" s="24"/>
      <c r="V544" s="24"/>
      <c r="W544" s="24"/>
      <c r="X544" s="32"/>
      <c r="Y544" s="32"/>
      <c r="Z544" s="32"/>
      <c r="AA544" s="32"/>
      <c r="AB544" s="32"/>
      <c r="AC544" s="38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</row>
    <row r="545" ht="15.75" customHeight="1">
      <c r="A545" s="23"/>
      <c r="B545" s="24"/>
      <c r="C545" s="25"/>
      <c r="D545" s="26"/>
      <c r="E545" s="67"/>
      <c r="F545" s="28"/>
      <c r="G545" s="26"/>
      <c r="H545" s="26"/>
      <c r="I545" s="29"/>
      <c r="J545" s="26"/>
      <c r="K545" s="31"/>
      <c r="L545" s="24"/>
      <c r="M545" s="81"/>
      <c r="N545" s="82"/>
      <c r="O545" s="82"/>
      <c r="P545" s="37"/>
      <c r="Q545" s="37"/>
      <c r="R545" s="37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8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</row>
    <row r="546" ht="15.75" customHeight="1">
      <c r="A546" s="23"/>
      <c r="B546" s="24"/>
      <c r="C546" s="25"/>
      <c r="D546" s="26"/>
      <c r="E546" s="181"/>
      <c r="F546" s="28"/>
      <c r="G546" s="26"/>
      <c r="H546" s="26"/>
      <c r="I546" s="29"/>
      <c r="J546" s="26"/>
      <c r="K546" s="81"/>
      <c r="L546" s="182"/>
      <c r="M546" s="26"/>
      <c r="N546" s="82"/>
      <c r="O546" s="82"/>
      <c r="P546" s="37"/>
      <c r="Q546" s="37"/>
      <c r="R546" s="37"/>
      <c r="S546" s="32"/>
      <c r="T546" s="32"/>
      <c r="U546" s="32"/>
      <c r="V546" s="32"/>
      <c r="W546" s="32"/>
      <c r="X546" s="24"/>
      <c r="Y546" s="32"/>
      <c r="Z546" s="32"/>
      <c r="AA546" s="32"/>
      <c r="AB546" s="32"/>
      <c r="AC546" s="38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</row>
    <row r="547" ht="15.75" customHeight="1">
      <c r="A547" s="48"/>
      <c r="B547" s="124"/>
      <c r="C547" s="29"/>
      <c r="D547" s="26"/>
      <c r="E547" s="27"/>
      <c r="F547" s="58"/>
      <c r="G547" s="30"/>
      <c r="H547" s="26"/>
      <c r="I547" s="29"/>
      <c r="J547" s="26"/>
      <c r="K547" s="50"/>
      <c r="L547" s="54"/>
      <c r="M547" s="126"/>
      <c r="N547" s="52"/>
      <c r="O547" s="82"/>
      <c r="P547" s="53"/>
      <c r="Q547" s="53"/>
      <c r="R547" s="53"/>
      <c r="S547" s="53"/>
      <c r="T547" s="53"/>
      <c r="U547" s="53"/>
      <c r="V547" s="53"/>
      <c r="W547" s="53"/>
      <c r="X547" s="32"/>
      <c r="Y547" s="53"/>
      <c r="Z547" s="53"/>
      <c r="AA547" s="53"/>
      <c r="AB547" s="53"/>
      <c r="AC547" s="55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</row>
    <row r="548" ht="15.75" customHeight="1">
      <c r="A548" s="23"/>
      <c r="B548" s="24"/>
      <c r="C548" s="25"/>
      <c r="D548" s="26"/>
      <c r="E548" s="92"/>
      <c r="F548" s="28"/>
      <c r="G548" s="26"/>
      <c r="H548" s="26"/>
      <c r="I548" s="29"/>
      <c r="J548" s="26"/>
      <c r="K548" s="31"/>
      <c r="L548" s="47"/>
      <c r="M548" s="26"/>
      <c r="N548" s="82"/>
      <c r="O548" s="82"/>
      <c r="P548" s="37"/>
      <c r="Q548" s="37"/>
      <c r="R548" s="37"/>
      <c r="S548" s="24"/>
      <c r="T548" s="32"/>
      <c r="U548" s="32"/>
      <c r="V548" s="32"/>
      <c r="W548" s="32"/>
      <c r="X548" s="24"/>
      <c r="Y548" s="32"/>
      <c r="Z548" s="32"/>
      <c r="AA548" s="32"/>
      <c r="AB548" s="32"/>
      <c r="AC548" s="38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</row>
    <row r="549" ht="15.75" customHeight="1">
      <c r="A549" s="23"/>
      <c r="B549" s="24"/>
      <c r="C549" s="25"/>
      <c r="D549" s="26"/>
      <c r="E549" s="67"/>
      <c r="F549" s="28"/>
      <c r="G549" s="26"/>
      <c r="H549" s="26"/>
      <c r="I549" s="29"/>
      <c r="J549" s="26"/>
      <c r="K549" s="31"/>
      <c r="L549" s="24"/>
      <c r="M549" s="26"/>
      <c r="N549" s="82"/>
      <c r="O549" s="82"/>
      <c r="P549" s="37"/>
      <c r="Q549" s="37"/>
      <c r="R549" s="37"/>
      <c r="S549" s="32"/>
      <c r="T549" s="32"/>
      <c r="U549" s="32"/>
      <c r="V549" s="32"/>
      <c r="W549" s="32"/>
      <c r="X549" s="24"/>
      <c r="Y549" s="24"/>
      <c r="Z549" s="32"/>
      <c r="AA549" s="32"/>
      <c r="AB549" s="32"/>
      <c r="AC549" s="38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</row>
    <row r="550" ht="15.75" customHeight="1">
      <c r="A550" s="23"/>
      <c r="B550" s="24"/>
      <c r="C550" s="25"/>
      <c r="D550" s="26"/>
      <c r="E550" s="67"/>
      <c r="F550" s="99"/>
      <c r="G550" s="26"/>
      <c r="H550" s="26"/>
      <c r="I550" s="29"/>
      <c r="J550" s="26"/>
      <c r="K550" s="31"/>
      <c r="L550" s="137"/>
      <c r="M550" s="26"/>
      <c r="N550" s="82"/>
      <c r="O550" s="82"/>
      <c r="P550" s="37"/>
      <c r="Q550" s="37"/>
      <c r="R550" s="37"/>
      <c r="S550" s="24"/>
      <c r="T550" s="32"/>
      <c r="U550" s="32"/>
      <c r="V550" s="32"/>
      <c r="W550" s="32"/>
      <c r="X550" s="24"/>
      <c r="Y550" s="32"/>
      <c r="Z550" s="32"/>
      <c r="AA550" s="32"/>
      <c r="AB550" s="32"/>
      <c r="AC550" s="38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</row>
    <row r="551" ht="15.75" customHeight="1">
      <c r="A551" s="23"/>
      <c r="B551" s="24"/>
      <c r="C551" s="25"/>
      <c r="D551" s="26"/>
      <c r="E551" s="67"/>
      <c r="F551" s="99"/>
      <c r="G551" s="26"/>
      <c r="H551" s="26"/>
      <c r="I551" s="29"/>
      <c r="J551" s="26"/>
      <c r="K551" s="31"/>
      <c r="L551" s="24"/>
      <c r="M551" s="26"/>
      <c r="N551" s="82"/>
      <c r="O551" s="82"/>
      <c r="P551" s="137"/>
      <c r="Q551" s="137"/>
      <c r="R551" s="137"/>
      <c r="S551" s="24"/>
      <c r="T551" s="32"/>
      <c r="U551" s="32"/>
      <c r="V551" s="32"/>
      <c r="W551" s="32"/>
      <c r="X551" s="32"/>
      <c r="Y551" s="32"/>
      <c r="Z551" s="32"/>
      <c r="AA551" s="32"/>
      <c r="AB551" s="32"/>
      <c r="AC551" s="38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</row>
    <row r="552" ht="15.75" customHeight="1">
      <c r="A552" s="23"/>
      <c r="B552" s="24"/>
      <c r="C552" s="25"/>
      <c r="D552" s="26"/>
      <c r="E552" s="92"/>
      <c r="F552" s="28"/>
      <c r="G552" s="26"/>
      <c r="H552" s="26"/>
      <c r="I552" s="29"/>
      <c r="J552" s="26"/>
      <c r="K552" s="31"/>
      <c r="L552" s="24"/>
      <c r="M552" s="26"/>
      <c r="N552" s="82"/>
      <c r="O552" s="82"/>
      <c r="P552" s="37"/>
      <c r="Q552" s="37"/>
      <c r="R552" s="37"/>
      <c r="S552" s="24"/>
      <c r="T552" s="32"/>
      <c r="U552" s="32"/>
      <c r="V552" s="32"/>
      <c r="W552" s="32"/>
      <c r="X552" s="24"/>
      <c r="Y552" s="24"/>
      <c r="Z552" s="24"/>
      <c r="AA552" s="32"/>
      <c r="AB552" s="32"/>
      <c r="AC552" s="38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</row>
    <row r="553" ht="15.75" customHeight="1">
      <c r="A553" s="23"/>
      <c r="B553" s="24"/>
      <c r="C553" s="25"/>
      <c r="D553" s="26"/>
      <c r="E553" s="92"/>
      <c r="F553" s="58"/>
      <c r="G553" s="26"/>
      <c r="H553" s="26"/>
      <c r="I553" s="29"/>
      <c r="J553" s="26"/>
      <c r="K553" s="31"/>
      <c r="L553" s="24"/>
      <c r="M553" s="26"/>
      <c r="N553" s="82"/>
      <c r="O553" s="82"/>
      <c r="P553" s="37"/>
      <c r="Q553" s="37"/>
      <c r="R553" s="37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8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</row>
    <row r="554" ht="15.75" customHeight="1">
      <c r="A554" s="23"/>
      <c r="B554" s="46"/>
      <c r="C554" s="25"/>
      <c r="D554" s="26"/>
      <c r="E554" s="67"/>
      <c r="F554" s="183"/>
      <c r="G554" s="26"/>
      <c r="H554" s="26"/>
      <c r="I554" s="29"/>
      <c r="J554" s="26"/>
      <c r="K554" s="81"/>
      <c r="L554" s="24"/>
      <c r="M554" s="26"/>
      <c r="N554" s="82"/>
      <c r="O554" s="82"/>
      <c r="P554" s="37"/>
      <c r="Q554" s="37"/>
      <c r="R554" s="37"/>
      <c r="S554" s="24"/>
      <c r="T554" s="32"/>
      <c r="U554" s="32"/>
      <c r="V554" s="32"/>
      <c r="W554" s="32"/>
      <c r="X554" s="32"/>
      <c r="Y554" s="32"/>
      <c r="Z554" s="32"/>
      <c r="AA554" s="32"/>
      <c r="AB554" s="53"/>
      <c r="AC554" s="38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</row>
    <row r="555" ht="15.75" customHeight="1">
      <c r="A555" s="23"/>
      <c r="B555" s="24"/>
      <c r="C555" s="25"/>
      <c r="D555" s="26"/>
      <c r="E555" s="92"/>
      <c r="F555" s="28"/>
      <c r="G555" s="26"/>
      <c r="H555" s="26"/>
      <c r="I555" s="29"/>
      <c r="J555" s="26"/>
      <c r="K555" s="31"/>
      <c r="L555" s="184"/>
      <c r="M555" s="26"/>
      <c r="N555" s="82"/>
      <c r="O555" s="82"/>
      <c r="P555" s="37"/>
      <c r="Q555" s="37"/>
      <c r="R555" s="37"/>
      <c r="S555" s="32"/>
      <c r="T555" s="32"/>
      <c r="U555" s="32"/>
      <c r="V555" s="32"/>
      <c r="W555" s="32"/>
      <c r="X555" s="32"/>
      <c r="Y555" s="32"/>
      <c r="Z555" s="32"/>
      <c r="AA555" s="32"/>
      <c r="AB555" s="53"/>
      <c r="AC555" s="38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</row>
    <row r="556" ht="15.75" customHeight="1">
      <c r="A556" s="23"/>
      <c r="B556" s="24"/>
      <c r="C556" s="29"/>
      <c r="D556" s="25"/>
      <c r="E556" s="179"/>
      <c r="F556" s="28"/>
      <c r="G556" s="30"/>
      <c r="H556" s="153"/>
      <c r="I556" s="29"/>
      <c r="J556" s="153"/>
      <c r="K556" s="31"/>
      <c r="L556" s="24"/>
      <c r="M556" s="126"/>
      <c r="N556" s="52"/>
      <c r="O556" s="52"/>
      <c r="P556" s="37"/>
      <c r="Q556" s="37"/>
      <c r="R556" s="37"/>
      <c r="S556" s="185"/>
      <c r="T556" s="32"/>
      <c r="U556" s="32"/>
      <c r="V556" s="32"/>
      <c r="W556" s="32"/>
      <c r="X556" s="32"/>
      <c r="Y556" s="32"/>
      <c r="Z556" s="32"/>
      <c r="AA556" s="32"/>
      <c r="AB556" s="32"/>
      <c r="AC556" s="38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</row>
    <row r="557" ht="15.75" customHeight="1">
      <c r="A557" s="23"/>
      <c r="B557" s="24"/>
      <c r="C557" s="25"/>
      <c r="D557" s="26"/>
      <c r="E557" s="67"/>
      <c r="F557" s="28"/>
      <c r="G557" s="26"/>
      <c r="H557" s="26"/>
      <c r="I557" s="29"/>
      <c r="J557" s="26"/>
      <c r="K557" s="31"/>
      <c r="L557" s="24"/>
      <c r="M557" s="26"/>
      <c r="N557" s="82"/>
      <c r="O557" s="82"/>
      <c r="P557" s="37"/>
      <c r="Q557" s="37"/>
      <c r="R557" s="37"/>
      <c r="S557" s="32"/>
      <c r="T557" s="32"/>
      <c r="U557" s="32"/>
      <c r="V557" s="32"/>
      <c r="W557" s="32"/>
      <c r="X557" s="24"/>
      <c r="Y557" s="32"/>
      <c r="Z557" s="32"/>
      <c r="AA557" s="32"/>
      <c r="AB557" s="32"/>
      <c r="AC557" s="38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</row>
    <row r="558" ht="15.75" customHeight="1">
      <c r="A558" s="23"/>
      <c r="B558" s="24"/>
      <c r="C558" s="25"/>
      <c r="D558" s="26"/>
      <c r="E558" s="67"/>
      <c r="F558" s="28"/>
      <c r="G558" s="26"/>
      <c r="H558" s="26"/>
      <c r="I558" s="29"/>
      <c r="J558" s="26"/>
      <c r="K558" s="31"/>
      <c r="L558" s="24"/>
      <c r="M558" s="26"/>
      <c r="N558" s="82"/>
      <c r="O558" s="82"/>
      <c r="P558" s="37"/>
      <c r="Q558" s="37"/>
      <c r="R558" s="37"/>
      <c r="S558" s="24"/>
      <c r="T558" s="24"/>
      <c r="U558" s="32"/>
      <c r="V558" s="32"/>
      <c r="W558" s="32"/>
      <c r="X558" s="24"/>
      <c r="Y558" s="32"/>
      <c r="Z558" s="32"/>
      <c r="AA558" s="32"/>
      <c r="AB558" s="32"/>
      <c r="AC558" s="38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</row>
    <row r="559" ht="15.75" customHeight="1">
      <c r="A559" s="23"/>
      <c r="B559" s="186"/>
      <c r="C559" s="25"/>
      <c r="D559" s="26"/>
      <c r="E559" s="92"/>
      <c r="F559" s="28"/>
      <c r="G559" s="26"/>
      <c r="H559" s="26"/>
      <c r="I559" s="29"/>
      <c r="J559" s="26"/>
      <c r="K559" s="31"/>
      <c r="L559" s="24"/>
      <c r="M559" s="26"/>
      <c r="N559" s="82"/>
      <c r="O559" s="82"/>
      <c r="P559" s="37"/>
      <c r="Q559" s="37"/>
      <c r="R559" s="37"/>
      <c r="S559" s="24"/>
      <c r="T559" s="24"/>
      <c r="U559" s="32"/>
      <c r="V559" s="32"/>
      <c r="W559" s="32"/>
      <c r="X559" s="24"/>
      <c r="Y559" s="24"/>
      <c r="Z559" s="32"/>
      <c r="AA559" s="32"/>
      <c r="AB559" s="32"/>
      <c r="AC559" s="38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</row>
    <row r="560" ht="15.75" customHeight="1">
      <c r="A560" s="23"/>
      <c r="B560" s="44"/>
      <c r="C560" s="25"/>
      <c r="D560" s="26"/>
      <c r="E560" s="67"/>
      <c r="F560" s="28"/>
      <c r="G560" s="26"/>
      <c r="H560" s="26"/>
      <c r="I560" s="29"/>
      <c r="J560" s="26"/>
      <c r="K560" s="31"/>
      <c r="L560" s="187"/>
      <c r="M560" s="26"/>
      <c r="N560" s="24"/>
      <c r="O560" s="24"/>
      <c r="P560" s="37"/>
      <c r="Q560" s="37"/>
      <c r="R560" s="37"/>
      <c r="S560" s="24"/>
      <c r="T560" s="24"/>
      <c r="U560" s="24"/>
      <c r="V560" s="32"/>
      <c r="W560" s="32"/>
      <c r="X560" s="24"/>
      <c r="Y560" s="32"/>
      <c r="Z560" s="32"/>
      <c r="AA560" s="32"/>
      <c r="AB560" s="32"/>
      <c r="AC560" s="38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</row>
    <row r="561" ht="15.75" customHeight="1">
      <c r="A561" s="23"/>
      <c r="B561" s="24"/>
      <c r="C561" s="25"/>
      <c r="D561" s="26"/>
      <c r="E561" s="67"/>
      <c r="F561" s="28"/>
      <c r="G561" s="26"/>
      <c r="H561" s="26"/>
      <c r="I561" s="29"/>
      <c r="J561" s="26"/>
      <c r="K561" s="31"/>
      <c r="L561" s="187"/>
      <c r="M561" s="26"/>
      <c r="N561" s="82"/>
      <c r="O561" s="82"/>
      <c r="P561" s="37"/>
      <c r="Q561" s="37"/>
      <c r="R561" s="37"/>
      <c r="S561" s="24"/>
      <c r="T561" s="32"/>
      <c r="U561" s="32"/>
      <c r="V561" s="32"/>
      <c r="W561" s="32"/>
      <c r="X561" s="32"/>
      <c r="Y561" s="32"/>
      <c r="Z561" s="32"/>
      <c r="AA561" s="32"/>
      <c r="AB561" s="32"/>
      <c r="AC561" s="38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</row>
    <row r="562" ht="15.75" customHeight="1">
      <c r="A562" s="23"/>
      <c r="B562" s="24"/>
      <c r="C562" s="25"/>
      <c r="D562" s="26"/>
      <c r="E562" s="67"/>
      <c r="F562" s="28"/>
      <c r="G562" s="26"/>
      <c r="H562" s="26"/>
      <c r="I562" s="29"/>
      <c r="J562" s="26"/>
      <c r="K562" s="31"/>
      <c r="L562" s="24"/>
      <c r="M562" s="126"/>
      <c r="N562" s="82"/>
      <c r="O562" s="82"/>
      <c r="P562" s="37"/>
      <c r="Q562" s="37"/>
      <c r="R562" s="37"/>
      <c r="S562" s="24"/>
      <c r="T562" s="24"/>
      <c r="U562" s="32"/>
      <c r="V562" s="32"/>
      <c r="W562" s="32"/>
      <c r="X562" s="24"/>
      <c r="Y562" s="24"/>
      <c r="Z562" s="32"/>
      <c r="AA562" s="32"/>
      <c r="AB562" s="32"/>
      <c r="AC562" s="38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</row>
    <row r="563" ht="15.75" customHeight="1">
      <c r="A563" s="48"/>
      <c r="B563" s="24"/>
      <c r="C563" s="29"/>
      <c r="D563" s="26"/>
      <c r="E563" s="27"/>
      <c r="F563" s="28"/>
      <c r="G563" s="30"/>
      <c r="H563" s="26"/>
      <c r="I563" s="29"/>
      <c r="J563" s="26"/>
      <c r="K563" s="31"/>
      <c r="L563" s="24"/>
      <c r="M563" s="26"/>
      <c r="N563" s="53"/>
      <c r="O563" s="53"/>
      <c r="P563" s="172"/>
      <c r="Q563" s="172"/>
      <c r="R563" s="172"/>
      <c r="S563" s="32"/>
      <c r="T563" s="24"/>
      <c r="U563" s="53"/>
      <c r="V563" s="53"/>
      <c r="W563" s="53"/>
      <c r="X563" s="53"/>
      <c r="Y563" s="53"/>
      <c r="Z563" s="53"/>
      <c r="AA563" s="53"/>
      <c r="AB563" s="53"/>
      <c r="AC563" s="38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</row>
    <row r="564" ht="15.75" customHeight="1">
      <c r="A564" s="23"/>
      <c r="B564" s="24"/>
      <c r="C564" s="25"/>
      <c r="D564" s="26"/>
      <c r="E564" s="67"/>
      <c r="F564" s="28"/>
      <c r="G564" s="26"/>
      <c r="H564" s="26"/>
      <c r="I564" s="29"/>
      <c r="J564" s="26"/>
      <c r="K564" s="31"/>
      <c r="L564" s="24"/>
      <c r="M564" s="26"/>
      <c r="N564" s="26"/>
      <c r="O564" s="26"/>
      <c r="P564" s="37"/>
      <c r="Q564" s="37"/>
      <c r="R564" s="37"/>
      <c r="S564" s="24"/>
      <c r="T564" s="32"/>
      <c r="U564" s="32"/>
      <c r="V564" s="32"/>
      <c r="W564" s="32"/>
      <c r="X564" s="24"/>
      <c r="Y564" s="32"/>
      <c r="Z564" s="32"/>
      <c r="AA564" s="32"/>
      <c r="AB564" s="32"/>
      <c r="AC564" s="38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</row>
    <row r="565" ht="15.75" customHeight="1">
      <c r="A565" s="23"/>
      <c r="B565" s="24"/>
      <c r="C565" s="25"/>
      <c r="D565" s="26"/>
      <c r="E565" s="67"/>
      <c r="F565" s="28"/>
      <c r="G565" s="26"/>
      <c r="H565" s="26"/>
      <c r="I565" s="29"/>
      <c r="J565" s="26"/>
      <c r="K565" s="31"/>
      <c r="L565" s="24"/>
      <c r="M565" s="26"/>
      <c r="N565" s="82"/>
      <c r="O565" s="82"/>
      <c r="P565" s="37"/>
      <c r="Q565" s="37"/>
      <c r="R565" s="37"/>
      <c r="S565" s="24"/>
      <c r="T565" s="24"/>
      <c r="U565" s="32"/>
      <c r="V565" s="32"/>
      <c r="W565" s="32"/>
      <c r="X565" s="24"/>
      <c r="Y565" s="43"/>
      <c r="Z565" s="32"/>
      <c r="AA565" s="32"/>
      <c r="AB565" s="32"/>
      <c r="AC565" s="38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</row>
    <row r="566" ht="15.75" customHeight="1">
      <c r="A566" s="23"/>
      <c r="B566" s="24"/>
      <c r="C566" s="25"/>
      <c r="D566" s="26"/>
      <c r="E566" s="67"/>
      <c r="F566" s="58"/>
      <c r="G566" s="26"/>
      <c r="H566" s="26"/>
      <c r="I566" s="29"/>
      <c r="J566" s="26"/>
      <c r="K566" s="31"/>
      <c r="L566" s="47"/>
      <c r="M566" s="126"/>
      <c r="N566" s="82"/>
      <c r="O566" s="82"/>
      <c r="P566" s="37"/>
      <c r="Q566" s="37"/>
      <c r="R566" s="37"/>
      <c r="S566" s="24"/>
      <c r="T566" s="32"/>
      <c r="U566" s="32"/>
      <c r="V566" s="32"/>
      <c r="W566" s="32"/>
      <c r="X566" s="24"/>
      <c r="Y566" s="24"/>
      <c r="Z566" s="32"/>
      <c r="AA566" s="32"/>
      <c r="AB566" s="32"/>
      <c r="AC566" s="38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</row>
    <row r="567" ht="15.75" customHeight="1">
      <c r="A567" s="23"/>
      <c r="B567" s="24"/>
      <c r="C567" s="25"/>
      <c r="D567" s="26"/>
      <c r="E567" s="67"/>
      <c r="F567" s="28"/>
      <c r="G567" s="26"/>
      <c r="H567" s="26"/>
      <c r="I567" s="29"/>
      <c r="J567" s="26"/>
      <c r="K567" s="31"/>
      <c r="L567" s="24"/>
      <c r="M567" s="126"/>
      <c r="N567" s="82"/>
      <c r="O567" s="82"/>
      <c r="P567" s="37"/>
      <c r="Q567" s="37"/>
      <c r="R567" s="37"/>
      <c r="S567" s="24"/>
      <c r="T567" s="24"/>
      <c r="U567" s="24"/>
      <c r="V567" s="32"/>
      <c r="W567" s="32"/>
      <c r="X567" s="24"/>
      <c r="Y567" s="24"/>
      <c r="Z567" s="24"/>
      <c r="AA567" s="24"/>
      <c r="AB567" s="32"/>
      <c r="AC567" s="38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</row>
    <row r="568" ht="15.75" customHeight="1">
      <c r="A568" s="23"/>
      <c r="B568" s="24"/>
      <c r="C568" s="25"/>
      <c r="D568" s="26"/>
      <c r="E568" s="67"/>
      <c r="F568" s="28"/>
      <c r="G568" s="26"/>
      <c r="H568" s="26"/>
      <c r="I568" s="29"/>
      <c r="J568" s="26"/>
      <c r="K568" s="31"/>
      <c r="L568" s="24"/>
      <c r="M568" s="126"/>
      <c r="N568" s="82"/>
      <c r="O568" s="82"/>
      <c r="P568" s="37"/>
      <c r="Q568" s="37"/>
      <c r="R568" s="37"/>
      <c r="S568" s="24"/>
      <c r="T568" s="32"/>
      <c r="U568" s="32"/>
      <c r="V568" s="32"/>
      <c r="W568" s="32"/>
      <c r="X568" s="24"/>
      <c r="Y568" s="24"/>
      <c r="Z568" s="32"/>
      <c r="AA568" s="32"/>
      <c r="AB568" s="32"/>
      <c r="AC568" s="38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</row>
    <row r="569" ht="15.75" customHeight="1">
      <c r="A569" s="23"/>
      <c r="B569" s="24"/>
      <c r="C569" s="25"/>
      <c r="D569" s="26"/>
      <c r="E569" s="67"/>
      <c r="F569" s="28"/>
      <c r="G569" s="26"/>
      <c r="H569" s="26"/>
      <c r="I569" s="29"/>
      <c r="J569" s="26"/>
      <c r="K569" s="31"/>
      <c r="L569" s="24"/>
      <c r="M569" s="126"/>
      <c r="N569" s="82"/>
      <c r="O569" s="82"/>
      <c r="P569" s="37"/>
      <c r="Q569" s="37"/>
      <c r="R569" s="37"/>
      <c r="S569" s="24"/>
      <c r="T569" s="24"/>
      <c r="U569" s="32"/>
      <c r="V569" s="32"/>
      <c r="W569" s="32"/>
      <c r="X569" s="24"/>
      <c r="Y569" s="24"/>
      <c r="Z569" s="24"/>
      <c r="AA569" s="24"/>
      <c r="AB569" s="24"/>
      <c r="AC569" s="38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</row>
    <row r="570" ht="15.75" customHeight="1">
      <c r="A570" s="23"/>
      <c r="B570" s="24"/>
      <c r="C570" s="25"/>
      <c r="D570" s="26"/>
      <c r="E570" s="67"/>
      <c r="F570" s="28"/>
      <c r="G570" s="26"/>
      <c r="H570" s="26"/>
      <c r="I570" s="29"/>
      <c r="J570" s="26"/>
      <c r="K570" s="31"/>
      <c r="L570" s="77"/>
      <c r="M570" s="126"/>
      <c r="N570" s="82"/>
      <c r="O570" s="82"/>
      <c r="P570" s="37"/>
      <c r="Q570" s="37"/>
      <c r="R570" s="37"/>
      <c r="S570" s="24"/>
      <c r="T570" s="32"/>
      <c r="U570" s="32"/>
      <c r="V570" s="32"/>
      <c r="W570" s="32"/>
      <c r="X570" s="32"/>
      <c r="Y570" s="32"/>
      <c r="Z570" s="32"/>
      <c r="AA570" s="32"/>
      <c r="AB570" s="32"/>
      <c r="AC570" s="38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</row>
    <row r="571" ht="15.75" customHeight="1">
      <c r="A571" s="23"/>
      <c r="B571" s="24"/>
      <c r="C571" s="25"/>
      <c r="D571" s="26"/>
      <c r="E571" s="67"/>
      <c r="F571" s="28"/>
      <c r="G571" s="26"/>
      <c r="H571" s="26"/>
      <c r="I571" s="29"/>
      <c r="J571" s="26"/>
      <c r="K571" s="31"/>
      <c r="L571" s="82"/>
      <c r="M571" s="126"/>
      <c r="N571" s="24"/>
      <c r="O571" s="24"/>
      <c r="P571" s="37"/>
      <c r="Q571" s="37"/>
      <c r="R571" s="37"/>
      <c r="S571" s="24"/>
      <c r="T571" s="24"/>
      <c r="U571" s="24"/>
      <c r="V571" s="24"/>
      <c r="W571" s="32"/>
      <c r="X571" s="24"/>
      <c r="Y571" s="24"/>
      <c r="Z571" s="32"/>
      <c r="AA571" s="32"/>
      <c r="AB571" s="32"/>
      <c r="AC571" s="38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</row>
    <row r="572" ht="15.75" customHeight="1">
      <c r="A572" s="23"/>
      <c r="B572" s="24"/>
      <c r="C572" s="25"/>
      <c r="D572" s="26"/>
      <c r="E572" s="67"/>
      <c r="F572" s="28"/>
      <c r="G572" s="26"/>
      <c r="H572" s="26"/>
      <c r="I572" s="29"/>
      <c r="J572" s="26"/>
      <c r="K572" s="31"/>
      <c r="L572" s="24"/>
      <c r="M572" s="126"/>
      <c r="N572" s="82"/>
      <c r="O572" s="82"/>
      <c r="P572" s="37"/>
      <c r="Q572" s="37"/>
      <c r="R572" s="37"/>
      <c r="S572" s="32"/>
      <c r="T572" s="32"/>
      <c r="U572" s="32"/>
      <c r="V572" s="32"/>
      <c r="W572" s="32"/>
      <c r="X572" s="24"/>
      <c r="Y572" s="24"/>
      <c r="Z572" s="32"/>
      <c r="AA572" s="32"/>
      <c r="AB572" s="32"/>
      <c r="AC572" s="38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</row>
    <row r="573" ht="15.75" customHeight="1">
      <c r="A573" s="23"/>
      <c r="B573" s="24"/>
      <c r="C573" s="25"/>
      <c r="D573" s="26"/>
      <c r="E573" s="67"/>
      <c r="F573" s="28"/>
      <c r="G573" s="26"/>
      <c r="H573" s="26"/>
      <c r="I573" s="29"/>
      <c r="J573" s="26"/>
      <c r="K573" s="31"/>
      <c r="L573" s="24"/>
      <c r="M573" s="126"/>
      <c r="N573" s="82"/>
      <c r="O573" s="82"/>
      <c r="P573" s="37"/>
      <c r="Q573" s="37"/>
      <c r="R573" s="37"/>
      <c r="S573" s="24"/>
      <c r="T573" s="32"/>
      <c r="U573" s="32"/>
      <c r="V573" s="32"/>
      <c r="W573" s="32"/>
      <c r="X573" s="24"/>
      <c r="Y573" s="32"/>
      <c r="Z573" s="32"/>
      <c r="AA573" s="32"/>
      <c r="AB573" s="32"/>
      <c r="AC573" s="38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</row>
    <row r="574" ht="15.75" customHeight="1">
      <c r="A574" s="23"/>
      <c r="B574" s="24"/>
      <c r="C574" s="25"/>
      <c r="D574" s="26"/>
      <c r="E574" s="67"/>
      <c r="F574" s="28"/>
      <c r="G574" s="26"/>
      <c r="H574" s="26"/>
      <c r="I574" s="29"/>
      <c r="J574" s="26"/>
      <c r="K574" s="31"/>
      <c r="L574" s="24"/>
      <c r="M574" s="126"/>
      <c r="N574" s="24"/>
      <c r="O574" s="24"/>
      <c r="P574" s="37"/>
      <c r="Q574" s="37"/>
      <c r="R574" s="37"/>
      <c r="S574" s="24"/>
      <c r="T574" s="24"/>
      <c r="U574" s="24"/>
      <c r="V574" s="24"/>
      <c r="W574" s="24"/>
      <c r="X574" s="24"/>
      <c r="Y574" s="24"/>
      <c r="Z574" s="24"/>
      <c r="AA574" s="32"/>
      <c r="AB574" s="32"/>
      <c r="AC574" s="38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</row>
    <row r="575" ht="15.75" customHeight="1">
      <c r="A575" s="23"/>
      <c r="B575" s="24"/>
      <c r="C575" s="25"/>
      <c r="D575" s="26"/>
      <c r="E575" s="67"/>
      <c r="F575" s="28"/>
      <c r="G575" s="26"/>
      <c r="H575" s="26"/>
      <c r="I575" s="29"/>
      <c r="J575" s="26"/>
      <c r="K575" s="31"/>
      <c r="L575" s="24"/>
      <c r="M575" s="126"/>
      <c r="N575" s="24"/>
      <c r="O575" s="24"/>
      <c r="P575" s="37"/>
      <c r="Q575" s="37"/>
      <c r="R575" s="37"/>
      <c r="S575" s="24"/>
      <c r="T575" s="24"/>
      <c r="U575" s="24"/>
      <c r="V575" s="24"/>
      <c r="W575" s="32"/>
      <c r="X575" s="24"/>
      <c r="Y575" s="24"/>
      <c r="Z575" s="24"/>
      <c r="AA575" s="32"/>
      <c r="AB575" s="32"/>
      <c r="AC575" s="38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</row>
    <row r="576" ht="15.75" customHeight="1">
      <c r="A576" s="23"/>
      <c r="B576" s="24"/>
      <c r="C576" s="25"/>
      <c r="D576" s="26"/>
      <c r="E576" s="67"/>
      <c r="F576" s="28"/>
      <c r="G576" s="26"/>
      <c r="H576" s="26"/>
      <c r="I576" s="29"/>
      <c r="J576" s="26"/>
      <c r="K576" s="31"/>
      <c r="L576" s="24"/>
      <c r="M576" s="126"/>
      <c r="N576" s="24"/>
      <c r="O576" s="24"/>
      <c r="P576" s="37"/>
      <c r="Q576" s="37"/>
      <c r="R576" s="37"/>
      <c r="S576" s="24"/>
      <c r="T576" s="32"/>
      <c r="U576" s="32"/>
      <c r="V576" s="32"/>
      <c r="W576" s="32"/>
      <c r="X576" s="24"/>
      <c r="Y576" s="24"/>
      <c r="Z576" s="24"/>
      <c r="AA576" s="24"/>
      <c r="AB576" s="24"/>
      <c r="AC576" s="38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</row>
    <row r="577" ht="15.75" customHeight="1">
      <c r="A577" s="48"/>
      <c r="B577" s="32"/>
      <c r="C577" s="29"/>
      <c r="D577" s="26"/>
      <c r="E577" s="27"/>
      <c r="F577" s="177"/>
      <c r="G577" s="26"/>
      <c r="H577" s="30"/>
      <c r="I577" s="29"/>
      <c r="J577" s="30"/>
      <c r="K577" s="31"/>
      <c r="L577" s="24"/>
      <c r="M577" s="126"/>
      <c r="N577" s="52"/>
      <c r="O577" s="52"/>
      <c r="P577" s="37"/>
      <c r="Q577" s="37"/>
      <c r="R577" s="37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8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</row>
    <row r="578" ht="15.75" customHeight="1">
      <c r="A578" s="48"/>
      <c r="B578" s="32"/>
      <c r="C578" s="29"/>
      <c r="D578" s="26"/>
      <c r="E578" s="179"/>
      <c r="F578" s="58"/>
      <c r="G578" s="26"/>
      <c r="H578" s="30"/>
      <c r="I578" s="29"/>
      <c r="J578" s="30"/>
      <c r="K578" s="31"/>
      <c r="L578" s="32"/>
      <c r="M578" s="126"/>
      <c r="N578" s="52"/>
      <c r="O578" s="52"/>
      <c r="P578" s="172"/>
      <c r="Q578" s="172"/>
      <c r="R578" s="17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8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</row>
    <row r="579" ht="15.75" customHeight="1">
      <c r="A579" s="23"/>
      <c r="B579" s="24"/>
      <c r="C579" s="25"/>
      <c r="D579" s="26"/>
      <c r="E579" s="92"/>
      <c r="F579" s="28"/>
      <c r="G579" s="26"/>
      <c r="H579" s="26"/>
      <c r="I579" s="29"/>
      <c r="J579" s="26"/>
      <c r="K579" s="31"/>
      <c r="L579" s="24"/>
      <c r="M579" s="126"/>
      <c r="N579" s="82"/>
      <c r="O579" s="82"/>
      <c r="P579" s="37"/>
      <c r="Q579" s="37"/>
      <c r="R579" s="37"/>
      <c r="S579" s="24"/>
      <c r="T579" s="24"/>
      <c r="U579" s="24"/>
      <c r="V579" s="24"/>
      <c r="W579" s="24"/>
      <c r="X579" s="32"/>
      <c r="Y579" s="32"/>
      <c r="Z579" s="32"/>
      <c r="AA579" s="32"/>
      <c r="AB579" s="32"/>
      <c r="AC579" s="38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</row>
    <row r="580" ht="15.75" customHeight="1">
      <c r="A580" s="23"/>
      <c r="B580" s="24"/>
      <c r="C580" s="25"/>
      <c r="D580" s="26"/>
      <c r="E580" s="67"/>
      <c r="F580" s="58"/>
      <c r="G580" s="26"/>
      <c r="H580" s="26"/>
      <c r="I580" s="29"/>
      <c r="J580" s="26"/>
      <c r="K580" s="31"/>
      <c r="L580" s="32"/>
      <c r="M580" s="26"/>
      <c r="N580" s="82"/>
      <c r="O580" s="82"/>
      <c r="P580" s="37"/>
      <c r="Q580" s="37"/>
      <c r="R580" s="37"/>
      <c r="S580" s="24"/>
      <c r="T580" s="24"/>
      <c r="U580" s="32"/>
      <c r="V580" s="32"/>
      <c r="W580" s="32"/>
      <c r="X580" s="32"/>
      <c r="Y580" s="32"/>
      <c r="Z580" s="32"/>
      <c r="AA580" s="32"/>
      <c r="AB580" s="32"/>
      <c r="AC580" s="38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</row>
    <row r="581" ht="15.75" customHeight="1">
      <c r="A581" s="23"/>
      <c r="B581" s="24"/>
      <c r="C581" s="25"/>
      <c r="D581" s="26"/>
      <c r="E581" s="92"/>
      <c r="F581" s="28"/>
      <c r="G581" s="26"/>
      <c r="H581" s="26"/>
      <c r="I581" s="29"/>
      <c r="J581" s="26"/>
      <c r="K581" s="31"/>
      <c r="L581" s="32"/>
      <c r="M581" s="126"/>
      <c r="N581" s="82"/>
      <c r="O581" s="82"/>
      <c r="P581" s="37"/>
      <c r="Q581" s="37"/>
      <c r="R581" s="37"/>
      <c r="S581" s="24"/>
      <c r="T581" s="24"/>
      <c r="U581" s="32"/>
      <c r="V581" s="32"/>
      <c r="W581" s="32"/>
      <c r="X581" s="32"/>
      <c r="Y581" s="32"/>
      <c r="Z581" s="32"/>
      <c r="AA581" s="32"/>
      <c r="AB581" s="32"/>
      <c r="AC581" s="38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</row>
    <row r="582" ht="15.75" customHeight="1">
      <c r="A582" s="23"/>
      <c r="B582" s="24"/>
      <c r="C582" s="25"/>
      <c r="D582" s="26"/>
      <c r="E582" s="67"/>
      <c r="F582" s="58"/>
      <c r="G582" s="26"/>
      <c r="H582" s="26"/>
      <c r="I582" s="29"/>
      <c r="J582" s="26"/>
      <c r="K582" s="31"/>
      <c r="L582" s="32"/>
      <c r="M582" s="126"/>
      <c r="N582" s="82"/>
      <c r="O582" s="82"/>
      <c r="P582" s="37"/>
      <c r="Q582" s="37"/>
      <c r="R582" s="37"/>
      <c r="S582" s="24"/>
      <c r="T582" s="24"/>
      <c r="U582" s="24"/>
      <c r="V582" s="24"/>
      <c r="W582" s="32"/>
      <c r="X582" s="32"/>
      <c r="Y582" s="32"/>
      <c r="Z582" s="32"/>
      <c r="AA582" s="32"/>
      <c r="AB582" s="32"/>
      <c r="AC582" s="38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</row>
    <row r="583" ht="15.75" customHeight="1">
      <c r="A583" s="23"/>
      <c r="B583" s="24"/>
      <c r="C583" s="25"/>
      <c r="D583" s="26"/>
      <c r="E583" s="67"/>
      <c r="F583" s="28"/>
      <c r="G583" s="26"/>
      <c r="H583" s="26"/>
      <c r="I583" s="29"/>
      <c r="J583" s="26"/>
      <c r="K583" s="31"/>
      <c r="L583" s="32"/>
      <c r="M583" s="188"/>
      <c r="N583" s="82"/>
      <c r="O583" s="82"/>
      <c r="P583" s="37"/>
      <c r="Q583" s="37"/>
      <c r="R583" s="37"/>
      <c r="S583" s="32"/>
      <c r="T583" s="32"/>
      <c r="U583" s="32"/>
      <c r="V583" s="32"/>
      <c r="W583" s="32"/>
      <c r="X583" s="24"/>
      <c r="Y583" s="24"/>
      <c r="Z583" s="24"/>
      <c r="AA583" s="32"/>
      <c r="AB583" s="32"/>
      <c r="AC583" s="38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</row>
    <row r="584" ht="15.75" customHeight="1">
      <c r="A584" s="23"/>
      <c r="B584" s="24"/>
      <c r="C584" s="25"/>
      <c r="D584" s="26"/>
      <c r="E584" s="67"/>
      <c r="F584" s="28"/>
      <c r="G584" s="26"/>
      <c r="H584" s="26"/>
      <c r="I584" s="29"/>
      <c r="J584" s="26"/>
      <c r="K584" s="31"/>
      <c r="L584" s="32"/>
      <c r="M584" s="188"/>
      <c r="N584" s="82"/>
      <c r="O584" s="82"/>
      <c r="P584" s="37"/>
      <c r="Q584" s="37"/>
      <c r="R584" s="37"/>
      <c r="S584" s="24"/>
      <c r="T584" s="24"/>
      <c r="U584" s="32"/>
      <c r="V584" s="32"/>
      <c r="W584" s="32"/>
      <c r="X584" s="32"/>
      <c r="Y584" s="32"/>
      <c r="Z584" s="32"/>
      <c r="AA584" s="32"/>
      <c r="AB584" s="32"/>
      <c r="AC584" s="38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</row>
    <row r="585" ht="15.75" customHeight="1">
      <c r="A585" s="23"/>
      <c r="B585" s="24"/>
      <c r="C585" s="25"/>
      <c r="D585" s="26"/>
      <c r="E585" s="67"/>
      <c r="F585" s="28"/>
      <c r="G585" s="26"/>
      <c r="H585" s="26"/>
      <c r="I585" s="29"/>
      <c r="J585" s="26"/>
      <c r="K585" s="31"/>
      <c r="L585" s="24"/>
      <c r="M585" s="188"/>
      <c r="N585" s="82"/>
      <c r="O585" s="82"/>
      <c r="P585" s="37"/>
      <c r="Q585" s="37"/>
      <c r="R585" s="37"/>
      <c r="S585" s="24"/>
      <c r="T585" s="24"/>
      <c r="U585" s="24"/>
      <c r="V585" s="32"/>
      <c r="W585" s="32"/>
      <c r="X585" s="24"/>
      <c r="Y585" s="32"/>
      <c r="Z585" s="32"/>
      <c r="AA585" s="32"/>
      <c r="AB585" s="32"/>
      <c r="AC585" s="38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</row>
    <row r="586" ht="15.75" customHeight="1">
      <c r="A586" s="23"/>
      <c r="B586" s="24"/>
      <c r="C586" s="25"/>
      <c r="D586" s="26"/>
      <c r="E586" s="67"/>
      <c r="F586" s="28"/>
      <c r="G586" s="26"/>
      <c r="H586" s="26"/>
      <c r="I586" s="29"/>
      <c r="J586" s="26"/>
      <c r="K586" s="31"/>
      <c r="L586" s="32"/>
      <c r="M586" s="188"/>
      <c r="N586" s="82"/>
      <c r="O586" s="82"/>
      <c r="P586" s="37"/>
      <c r="Q586" s="37"/>
      <c r="R586" s="37"/>
      <c r="S586" s="24"/>
      <c r="T586" s="32"/>
      <c r="U586" s="32"/>
      <c r="V586" s="32"/>
      <c r="W586" s="32"/>
      <c r="X586" s="24"/>
      <c r="Y586" s="24"/>
      <c r="Z586" s="24"/>
      <c r="AA586" s="24"/>
      <c r="AB586" s="24"/>
      <c r="AC586" s="38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</row>
    <row r="587" ht="15.75" customHeight="1">
      <c r="A587" s="23"/>
      <c r="B587" s="44"/>
      <c r="C587" s="25"/>
      <c r="D587" s="26"/>
      <c r="E587" s="67"/>
      <c r="F587" s="28"/>
      <c r="G587" s="26"/>
      <c r="H587" s="26"/>
      <c r="I587" s="29"/>
      <c r="J587" s="26"/>
      <c r="K587" s="31"/>
      <c r="L587" s="32"/>
      <c r="M587" s="188"/>
      <c r="N587" s="82"/>
      <c r="O587" s="82"/>
      <c r="P587" s="37"/>
      <c r="Q587" s="37"/>
      <c r="R587" s="37"/>
      <c r="S587" s="24"/>
      <c r="T587" s="32"/>
      <c r="U587" s="32"/>
      <c r="V587" s="32"/>
      <c r="W587" s="32"/>
      <c r="X587" s="32"/>
      <c r="Y587" s="32"/>
      <c r="Z587" s="32"/>
      <c r="AA587" s="32"/>
      <c r="AB587" s="32"/>
      <c r="AC587" s="38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</row>
    <row r="588" ht="15.75" customHeight="1">
      <c r="A588" s="189"/>
      <c r="B588" s="84"/>
      <c r="C588" s="29"/>
      <c r="D588" s="26"/>
      <c r="E588" s="67"/>
      <c r="F588" s="28"/>
      <c r="G588" s="126"/>
      <c r="H588" s="25"/>
      <c r="I588" s="29"/>
      <c r="J588" s="25"/>
      <c r="K588" s="31"/>
      <c r="L588" s="24"/>
      <c r="M588" s="188"/>
      <c r="N588" s="82"/>
      <c r="O588" s="82"/>
      <c r="P588" s="190"/>
      <c r="Q588" s="190"/>
      <c r="R588" s="190"/>
      <c r="S588" s="84"/>
      <c r="T588" s="38"/>
      <c r="U588" s="38"/>
      <c r="V588" s="38"/>
      <c r="W588" s="38"/>
      <c r="X588" s="84"/>
      <c r="Y588" s="84"/>
      <c r="Z588" s="38"/>
      <c r="AA588" s="38"/>
      <c r="AB588" s="38"/>
      <c r="AC588" s="38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</row>
    <row r="589" ht="15.75" customHeight="1">
      <c r="A589" s="48"/>
      <c r="B589" s="32"/>
      <c r="C589" s="29"/>
      <c r="D589" s="26"/>
      <c r="E589" s="67"/>
      <c r="F589" s="28"/>
      <c r="G589" s="30"/>
      <c r="H589" s="30"/>
      <c r="I589" s="29"/>
      <c r="J589" s="30"/>
      <c r="K589" s="31"/>
      <c r="L589" s="32"/>
      <c r="M589" s="126"/>
      <c r="N589" s="32"/>
      <c r="O589" s="32"/>
      <c r="P589" s="37"/>
      <c r="Q589" s="37"/>
      <c r="R589" s="37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8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</row>
    <row r="590" ht="15.75" customHeight="1">
      <c r="A590" s="48"/>
      <c r="B590" s="32"/>
      <c r="C590" s="29"/>
      <c r="D590" s="26"/>
      <c r="E590" s="67"/>
      <c r="F590" s="28"/>
      <c r="G590" s="30"/>
      <c r="H590" s="30"/>
      <c r="I590" s="29"/>
      <c r="J590" s="30"/>
      <c r="K590" s="31"/>
      <c r="L590" s="32"/>
      <c r="M590" s="126"/>
      <c r="N590" s="32"/>
      <c r="O590" s="32"/>
      <c r="P590" s="37"/>
      <c r="Q590" s="37"/>
      <c r="R590" s="37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8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</row>
    <row r="591" ht="15.75" customHeight="1">
      <c r="A591" s="48"/>
      <c r="B591" s="32"/>
      <c r="C591" s="29"/>
      <c r="D591" s="26"/>
      <c r="E591" s="67"/>
      <c r="F591" s="28"/>
      <c r="G591" s="30"/>
      <c r="H591" s="30"/>
      <c r="I591" s="29"/>
      <c r="J591" s="30"/>
      <c r="K591" s="31"/>
      <c r="L591" s="32"/>
      <c r="M591" s="126"/>
      <c r="N591" s="32"/>
      <c r="O591" s="32"/>
      <c r="P591" s="37"/>
      <c r="Q591" s="37"/>
      <c r="R591" s="37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8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</row>
    <row r="592" ht="15.75" customHeight="1">
      <c r="A592" s="48"/>
      <c r="B592" s="32"/>
      <c r="C592" s="29"/>
      <c r="D592" s="26"/>
      <c r="E592" s="67"/>
      <c r="F592" s="28"/>
      <c r="G592" s="30"/>
      <c r="H592" s="30"/>
      <c r="I592" s="29"/>
      <c r="J592" s="30"/>
      <c r="K592" s="31"/>
      <c r="L592" s="32"/>
      <c r="M592" s="126"/>
      <c r="N592" s="32"/>
      <c r="O592" s="32"/>
      <c r="P592" s="37"/>
      <c r="Q592" s="37"/>
      <c r="R592" s="37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8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</row>
    <row r="593" ht="15.75" customHeight="1">
      <c r="A593" s="48"/>
      <c r="B593" s="32"/>
      <c r="C593" s="29"/>
      <c r="D593" s="26"/>
      <c r="E593" s="67"/>
      <c r="F593" s="28"/>
      <c r="G593" s="30"/>
      <c r="H593" s="30"/>
      <c r="I593" s="29"/>
      <c r="J593" s="30"/>
      <c r="K593" s="31"/>
      <c r="L593" s="32"/>
      <c r="M593" s="126"/>
      <c r="N593" s="32"/>
      <c r="O593" s="32"/>
      <c r="P593" s="37"/>
      <c r="Q593" s="37"/>
      <c r="R593" s="37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8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</row>
    <row r="594" ht="15.75" customHeight="1">
      <c r="A594" s="48"/>
      <c r="B594" s="32"/>
      <c r="C594" s="29"/>
      <c r="D594" s="26"/>
      <c r="E594" s="67"/>
      <c r="F594" s="28"/>
      <c r="G594" s="30"/>
      <c r="H594" s="30"/>
      <c r="I594" s="29"/>
      <c r="J594" s="30"/>
      <c r="K594" s="31"/>
      <c r="L594" s="32"/>
      <c r="M594" s="126"/>
      <c r="N594" s="32"/>
      <c r="O594" s="32"/>
      <c r="P594" s="37"/>
      <c r="Q594" s="37"/>
      <c r="R594" s="37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8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</row>
    <row r="595" ht="15.75" customHeight="1">
      <c r="A595" s="48"/>
      <c r="B595" s="32"/>
      <c r="C595" s="29"/>
      <c r="D595" s="26"/>
      <c r="E595" s="67"/>
      <c r="F595" s="28"/>
      <c r="G595" s="30"/>
      <c r="H595" s="30"/>
      <c r="I595" s="29"/>
      <c r="J595" s="30"/>
      <c r="K595" s="31"/>
      <c r="L595" s="32"/>
      <c r="M595" s="126"/>
      <c r="N595" s="32"/>
      <c r="O595" s="32"/>
      <c r="P595" s="37"/>
      <c r="Q595" s="37"/>
      <c r="R595" s="37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8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</row>
    <row r="596" ht="15.75" customHeight="1">
      <c r="A596" s="48"/>
      <c r="B596" s="32"/>
      <c r="C596" s="29"/>
      <c r="D596" s="26"/>
      <c r="E596" s="67"/>
      <c r="F596" s="28"/>
      <c r="G596" s="30"/>
      <c r="H596" s="30"/>
      <c r="I596" s="29"/>
      <c r="J596" s="30"/>
      <c r="K596" s="31"/>
      <c r="L596" s="32"/>
      <c r="M596" s="126"/>
      <c r="N596" s="32"/>
      <c r="O596" s="32"/>
      <c r="P596" s="37"/>
      <c r="Q596" s="37"/>
      <c r="R596" s="37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8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</row>
    <row r="597" ht="15.75" customHeight="1">
      <c r="A597" s="48"/>
      <c r="B597" s="32"/>
      <c r="C597" s="29"/>
      <c r="D597" s="26"/>
      <c r="E597" s="67"/>
      <c r="F597" s="28"/>
      <c r="G597" s="30"/>
      <c r="H597" s="30"/>
      <c r="I597" s="29"/>
      <c r="J597" s="30"/>
      <c r="K597" s="31"/>
      <c r="L597" s="32"/>
      <c r="M597" s="126"/>
      <c r="N597" s="32"/>
      <c r="O597" s="32"/>
      <c r="P597" s="37"/>
      <c r="Q597" s="37"/>
      <c r="R597" s="37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8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</row>
    <row r="598" ht="15.75" customHeight="1">
      <c r="A598" s="48"/>
      <c r="B598" s="32"/>
      <c r="C598" s="29"/>
      <c r="D598" s="26"/>
      <c r="E598" s="67"/>
      <c r="F598" s="28"/>
      <c r="G598" s="30"/>
      <c r="H598" s="30"/>
      <c r="I598" s="29"/>
      <c r="J598" s="30"/>
      <c r="K598" s="31"/>
      <c r="L598" s="32"/>
      <c r="M598" s="126"/>
      <c r="N598" s="32"/>
      <c r="O598" s="32"/>
      <c r="P598" s="37"/>
      <c r="Q598" s="37"/>
      <c r="R598" s="37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8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</row>
    <row r="599" ht="15.75" customHeight="1">
      <c r="A599" s="48"/>
      <c r="B599" s="32"/>
      <c r="C599" s="29"/>
      <c r="D599" s="26"/>
      <c r="E599" s="67"/>
      <c r="F599" s="28"/>
      <c r="G599" s="30"/>
      <c r="H599" s="30"/>
      <c r="I599" s="29"/>
      <c r="J599" s="30"/>
      <c r="K599" s="31"/>
      <c r="L599" s="32"/>
      <c r="M599" s="126"/>
      <c r="N599" s="32"/>
      <c r="O599" s="32"/>
      <c r="P599" s="37"/>
      <c r="Q599" s="37"/>
      <c r="R599" s="37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8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</row>
    <row r="600" ht="15.75" customHeight="1">
      <c r="A600" s="48"/>
      <c r="B600" s="32"/>
      <c r="C600" s="29"/>
      <c r="D600" s="26"/>
      <c r="E600" s="67"/>
      <c r="F600" s="28"/>
      <c r="G600" s="30"/>
      <c r="H600" s="30"/>
      <c r="I600" s="29"/>
      <c r="J600" s="30"/>
      <c r="K600" s="31"/>
      <c r="L600" s="32"/>
      <c r="M600" s="126"/>
      <c r="N600" s="32"/>
      <c r="O600" s="32"/>
      <c r="P600" s="37"/>
      <c r="Q600" s="37"/>
      <c r="R600" s="37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8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</row>
    <row r="601" ht="15.75" customHeight="1">
      <c r="A601" s="48"/>
      <c r="B601" s="32"/>
      <c r="C601" s="29"/>
      <c r="D601" s="26"/>
      <c r="E601" s="67"/>
      <c r="F601" s="28"/>
      <c r="G601" s="30"/>
      <c r="H601" s="30"/>
      <c r="I601" s="29"/>
      <c r="J601" s="30"/>
      <c r="K601" s="31"/>
      <c r="L601" s="32"/>
      <c r="M601" s="126"/>
      <c r="N601" s="32"/>
      <c r="O601" s="32"/>
      <c r="P601" s="37"/>
      <c r="Q601" s="37"/>
      <c r="R601" s="37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8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</row>
    <row r="602" ht="15.75" customHeight="1">
      <c r="A602" s="48"/>
      <c r="B602" s="32"/>
      <c r="C602" s="29"/>
      <c r="D602" s="26"/>
      <c r="E602" s="67"/>
      <c r="F602" s="28"/>
      <c r="G602" s="30"/>
      <c r="H602" s="30"/>
      <c r="I602" s="29"/>
      <c r="J602" s="30"/>
      <c r="K602" s="31"/>
      <c r="L602" s="32"/>
      <c r="M602" s="126"/>
      <c r="N602" s="32"/>
      <c r="O602" s="32"/>
      <c r="P602" s="37"/>
      <c r="Q602" s="37"/>
      <c r="R602" s="37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8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</row>
    <row r="603" ht="15.75" customHeight="1">
      <c r="A603" s="48"/>
      <c r="B603" s="32"/>
      <c r="C603" s="29"/>
      <c r="D603" s="26"/>
      <c r="E603" s="67"/>
      <c r="F603" s="28"/>
      <c r="G603" s="30"/>
      <c r="H603" s="30"/>
      <c r="I603" s="29"/>
      <c r="J603" s="30"/>
      <c r="K603" s="31"/>
      <c r="L603" s="32"/>
      <c r="M603" s="126"/>
      <c r="N603" s="32"/>
      <c r="O603" s="32"/>
      <c r="P603" s="37"/>
      <c r="Q603" s="37"/>
      <c r="R603" s="37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8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</row>
    <row r="604" ht="15.75" customHeight="1">
      <c r="A604" s="48"/>
      <c r="B604" s="32"/>
      <c r="C604" s="29"/>
      <c r="D604" s="26"/>
      <c r="E604" s="67"/>
      <c r="F604" s="28"/>
      <c r="G604" s="30"/>
      <c r="H604" s="30"/>
      <c r="I604" s="29"/>
      <c r="J604" s="30"/>
      <c r="K604" s="31"/>
      <c r="L604" s="32"/>
      <c r="M604" s="126"/>
      <c r="N604" s="32"/>
      <c r="O604" s="32"/>
      <c r="P604" s="37"/>
      <c r="Q604" s="37"/>
      <c r="R604" s="37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8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</row>
    <row r="605" ht="15.75" customHeight="1">
      <c r="A605" s="48"/>
      <c r="B605" s="32"/>
      <c r="C605" s="29"/>
      <c r="D605" s="26"/>
      <c r="E605" s="67"/>
      <c r="F605" s="28"/>
      <c r="G605" s="30"/>
      <c r="H605" s="30"/>
      <c r="I605" s="29"/>
      <c r="J605" s="30"/>
      <c r="K605" s="31"/>
      <c r="L605" s="32"/>
      <c r="M605" s="126"/>
      <c r="N605" s="32"/>
      <c r="O605" s="32"/>
      <c r="P605" s="37"/>
      <c r="Q605" s="37"/>
      <c r="R605" s="37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8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</row>
    <row r="606" ht="15.75" customHeight="1">
      <c r="A606" s="48"/>
      <c r="B606" s="32"/>
      <c r="C606" s="29"/>
      <c r="D606" s="26"/>
      <c r="E606" s="67"/>
      <c r="F606" s="28"/>
      <c r="G606" s="30"/>
      <c r="H606" s="30"/>
      <c r="I606" s="29"/>
      <c r="J606" s="30"/>
      <c r="K606" s="31"/>
      <c r="L606" s="32"/>
      <c r="M606" s="126"/>
      <c r="N606" s="32"/>
      <c r="O606" s="32"/>
      <c r="P606" s="37"/>
      <c r="Q606" s="37"/>
      <c r="R606" s="37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8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</row>
    <row r="607" ht="15.75" customHeight="1">
      <c r="A607" s="48"/>
      <c r="B607" s="32"/>
      <c r="C607" s="29"/>
      <c r="D607" s="26"/>
      <c r="E607" s="67"/>
      <c r="F607" s="28"/>
      <c r="G607" s="30"/>
      <c r="H607" s="30"/>
      <c r="I607" s="29"/>
      <c r="J607" s="30"/>
      <c r="K607" s="31"/>
      <c r="L607" s="32"/>
      <c r="M607" s="126"/>
      <c r="N607" s="32"/>
      <c r="O607" s="32"/>
      <c r="P607" s="37"/>
      <c r="Q607" s="37"/>
      <c r="R607" s="37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8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</row>
    <row r="608" ht="15.75" customHeight="1">
      <c r="A608" s="48"/>
      <c r="B608" s="32"/>
      <c r="C608" s="29"/>
      <c r="D608" s="26"/>
      <c r="E608" s="67"/>
      <c r="F608" s="28"/>
      <c r="G608" s="30"/>
      <c r="H608" s="30"/>
      <c r="I608" s="29"/>
      <c r="J608" s="30"/>
      <c r="K608" s="31"/>
      <c r="L608" s="32"/>
      <c r="M608" s="126"/>
      <c r="N608" s="32"/>
      <c r="O608" s="32"/>
      <c r="P608" s="37"/>
      <c r="Q608" s="37"/>
      <c r="R608" s="37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8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</row>
    <row r="609" ht="15.75" customHeight="1">
      <c r="A609" s="48"/>
      <c r="B609" s="32"/>
      <c r="C609" s="29"/>
      <c r="D609" s="26"/>
      <c r="E609" s="67"/>
      <c r="F609" s="28"/>
      <c r="G609" s="30"/>
      <c r="H609" s="30"/>
      <c r="I609" s="29"/>
      <c r="J609" s="30"/>
      <c r="K609" s="31"/>
      <c r="L609" s="32"/>
      <c r="M609" s="126"/>
      <c r="N609" s="32"/>
      <c r="O609" s="32"/>
      <c r="P609" s="37"/>
      <c r="Q609" s="37"/>
      <c r="R609" s="37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8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</row>
    <row r="610" ht="15.75" customHeight="1">
      <c r="A610" s="48"/>
      <c r="B610" s="32"/>
      <c r="C610" s="29"/>
      <c r="D610" s="26"/>
      <c r="E610" s="67"/>
      <c r="F610" s="28"/>
      <c r="G610" s="30"/>
      <c r="H610" s="30"/>
      <c r="I610" s="29"/>
      <c r="J610" s="30"/>
      <c r="K610" s="31"/>
      <c r="L610" s="32"/>
      <c r="M610" s="126"/>
      <c r="N610" s="32"/>
      <c r="O610" s="32"/>
      <c r="P610" s="37"/>
      <c r="Q610" s="37"/>
      <c r="R610" s="37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8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</row>
    <row r="611" ht="15.75" customHeight="1">
      <c r="A611" s="48"/>
      <c r="B611" s="32"/>
      <c r="C611" s="29"/>
      <c r="D611" s="26"/>
      <c r="E611" s="67"/>
      <c r="F611" s="28"/>
      <c r="G611" s="30"/>
      <c r="H611" s="30"/>
      <c r="I611" s="29"/>
      <c r="J611" s="30"/>
      <c r="K611" s="31"/>
      <c r="L611" s="32"/>
      <c r="M611" s="126"/>
      <c r="N611" s="32"/>
      <c r="O611" s="32"/>
      <c r="P611" s="37"/>
      <c r="Q611" s="37"/>
      <c r="R611" s="37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8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</row>
    <row r="612" ht="15.75" customHeight="1">
      <c r="A612" s="48"/>
      <c r="B612" s="32"/>
      <c r="C612" s="29"/>
      <c r="D612" s="26"/>
      <c r="E612" s="67"/>
      <c r="F612" s="28"/>
      <c r="G612" s="30"/>
      <c r="H612" s="30"/>
      <c r="I612" s="29"/>
      <c r="J612" s="30"/>
      <c r="K612" s="31"/>
      <c r="L612" s="32"/>
      <c r="M612" s="126"/>
      <c r="N612" s="32"/>
      <c r="O612" s="32"/>
      <c r="P612" s="37"/>
      <c r="Q612" s="37"/>
      <c r="R612" s="37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8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</row>
    <row r="613" ht="15.75" customHeight="1">
      <c r="A613" s="48"/>
      <c r="B613" s="32"/>
      <c r="C613" s="29"/>
      <c r="D613" s="26"/>
      <c r="E613" s="67"/>
      <c r="F613" s="28"/>
      <c r="G613" s="30"/>
      <c r="H613" s="30"/>
      <c r="I613" s="29"/>
      <c r="J613" s="30"/>
      <c r="K613" s="31"/>
      <c r="L613" s="32"/>
      <c r="M613" s="126"/>
      <c r="N613" s="32"/>
      <c r="O613" s="32"/>
      <c r="P613" s="37"/>
      <c r="Q613" s="37"/>
      <c r="R613" s="37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8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</row>
    <row r="614" ht="15.75" customHeight="1">
      <c r="A614" s="48"/>
      <c r="B614" s="32"/>
      <c r="C614" s="29"/>
      <c r="D614" s="26"/>
      <c r="E614" s="67"/>
      <c r="F614" s="28"/>
      <c r="G614" s="30"/>
      <c r="H614" s="30"/>
      <c r="I614" s="29"/>
      <c r="J614" s="30"/>
      <c r="K614" s="31"/>
      <c r="L614" s="32"/>
      <c r="M614" s="126"/>
      <c r="N614" s="32"/>
      <c r="O614" s="32"/>
      <c r="P614" s="37"/>
      <c r="Q614" s="37"/>
      <c r="R614" s="37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8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</row>
    <row r="615" ht="15.75" customHeight="1">
      <c r="A615" s="48"/>
      <c r="B615" s="32"/>
      <c r="C615" s="29"/>
      <c r="D615" s="26"/>
      <c r="E615" s="67"/>
      <c r="F615" s="28"/>
      <c r="G615" s="30"/>
      <c r="H615" s="30"/>
      <c r="I615" s="29"/>
      <c r="J615" s="30"/>
      <c r="K615" s="31"/>
      <c r="L615" s="32"/>
      <c r="M615" s="126"/>
      <c r="N615" s="32"/>
      <c r="O615" s="32"/>
      <c r="P615" s="37"/>
      <c r="Q615" s="37"/>
      <c r="R615" s="37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8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</row>
    <row r="616" ht="15.75" customHeight="1">
      <c r="A616" s="48"/>
      <c r="B616" s="32"/>
      <c r="C616" s="29"/>
      <c r="D616" s="26"/>
      <c r="E616" s="67"/>
      <c r="F616" s="28"/>
      <c r="G616" s="30"/>
      <c r="H616" s="30"/>
      <c r="I616" s="29"/>
      <c r="J616" s="30"/>
      <c r="K616" s="31"/>
      <c r="L616" s="32"/>
      <c r="M616" s="126"/>
      <c r="N616" s="32"/>
      <c r="O616" s="32"/>
      <c r="P616" s="37"/>
      <c r="Q616" s="37"/>
      <c r="R616" s="37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8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</row>
    <row r="617" ht="15.75" customHeight="1">
      <c r="A617" s="48"/>
      <c r="B617" s="32"/>
      <c r="C617" s="29"/>
      <c r="D617" s="26"/>
      <c r="E617" s="67"/>
      <c r="F617" s="28"/>
      <c r="G617" s="30"/>
      <c r="H617" s="30"/>
      <c r="I617" s="29"/>
      <c r="J617" s="30"/>
      <c r="K617" s="31"/>
      <c r="L617" s="32"/>
      <c r="M617" s="126"/>
      <c r="N617" s="32"/>
      <c r="O617" s="32"/>
      <c r="P617" s="37"/>
      <c r="Q617" s="37"/>
      <c r="R617" s="37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8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</row>
    <row r="618" ht="15.75" customHeight="1">
      <c r="A618" s="48"/>
      <c r="B618" s="32"/>
      <c r="C618" s="29"/>
      <c r="D618" s="26"/>
      <c r="E618" s="67"/>
      <c r="F618" s="28"/>
      <c r="G618" s="30"/>
      <c r="H618" s="30"/>
      <c r="I618" s="29"/>
      <c r="J618" s="30"/>
      <c r="K618" s="31"/>
      <c r="L618" s="32"/>
      <c r="M618" s="126"/>
      <c r="N618" s="32"/>
      <c r="O618" s="32"/>
      <c r="P618" s="37"/>
      <c r="Q618" s="37"/>
      <c r="R618" s="37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8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</row>
    <row r="619" ht="15.75" customHeight="1">
      <c r="A619" s="48"/>
      <c r="B619" s="32"/>
      <c r="C619" s="29"/>
      <c r="D619" s="26"/>
      <c r="E619" s="67"/>
      <c r="F619" s="28"/>
      <c r="G619" s="30"/>
      <c r="H619" s="30"/>
      <c r="I619" s="29"/>
      <c r="J619" s="30"/>
      <c r="K619" s="31"/>
      <c r="L619" s="32"/>
      <c r="M619" s="126"/>
      <c r="N619" s="32"/>
      <c r="O619" s="32"/>
      <c r="P619" s="37"/>
      <c r="Q619" s="37"/>
      <c r="R619" s="37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8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</row>
    <row r="620" ht="15.75" customHeight="1">
      <c r="A620" s="48"/>
      <c r="B620" s="32"/>
      <c r="C620" s="29"/>
      <c r="D620" s="26"/>
      <c r="E620" s="67"/>
      <c r="F620" s="28"/>
      <c r="G620" s="30"/>
      <c r="H620" s="30"/>
      <c r="I620" s="29"/>
      <c r="J620" s="30"/>
      <c r="K620" s="31"/>
      <c r="L620" s="32"/>
      <c r="M620" s="126"/>
      <c r="N620" s="32"/>
      <c r="O620" s="32"/>
      <c r="P620" s="37"/>
      <c r="Q620" s="37"/>
      <c r="R620" s="37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8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</row>
    <row r="621" ht="15.75" customHeight="1">
      <c r="A621" s="48"/>
      <c r="B621" s="32"/>
      <c r="C621" s="29"/>
      <c r="D621" s="26"/>
      <c r="E621" s="67"/>
      <c r="F621" s="28"/>
      <c r="G621" s="30"/>
      <c r="H621" s="30"/>
      <c r="I621" s="29"/>
      <c r="J621" s="30"/>
      <c r="K621" s="31"/>
      <c r="L621" s="32"/>
      <c r="M621" s="126"/>
      <c r="N621" s="32"/>
      <c r="O621" s="32"/>
      <c r="P621" s="37"/>
      <c r="Q621" s="37"/>
      <c r="R621" s="37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8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</row>
    <row r="622" ht="15.75" customHeight="1">
      <c r="A622" s="48"/>
      <c r="B622" s="32"/>
      <c r="C622" s="29"/>
      <c r="D622" s="26"/>
      <c r="E622" s="67"/>
      <c r="F622" s="28"/>
      <c r="G622" s="30"/>
      <c r="H622" s="30"/>
      <c r="I622" s="29"/>
      <c r="J622" s="30"/>
      <c r="K622" s="31"/>
      <c r="L622" s="32"/>
      <c r="M622" s="126"/>
      <c r="N622" s="32"/>
      <c r="O622" s="32"/>
      <c r="P622" s="37"/>
      <c r="Q622" s="37"/>
      <c r="R622" s="37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8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</row>
    <row r="623" ht="15.75" customHeight="1">
      <c r="A623" s="48"/>
      <c r="B623" s="32"/>
      <c r="C623" s="29"/>
      <c r="D623" s="26"/>
      <c r="E623" s="67"/>
      <c r="F623" s="28"/>
      <c r="G623" s="30"/>
      <c r="H623" s="30"/>
      <c r="I623" s="29"/>
      <c r="J623" s="30"/>
      <c r="K623" s="31"/>
      <c r="L623" s="32"/>
      <c r="M623" s="126"/>
      <c r="N623" s="32"/>
      <c r="O623" s="32"/>
      <c r="P623" s="37"/>
      <c r="Q623" s="37"/>
      <c r="R623" s="37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8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</row>
    <row r="624" ht="15.75" customHeight="1">
      <c r="A624" s="48"/>
      <c r="B624" s="32"/>
      <c r="C624" s="29"/>
      <c r="D624" s="26"/>
      <c r="E624" s="67"/>
      <c r="F624" s="28"/>
      <c r="G624" s="30"/>
      <c r="H624" s="30"/>
      <c r="I624" s="29"/>
      <c r="J624" s="30"/>
      <c r="K624" s="31"/>
      <c r="L624" s="32"/>
      <c r="M624" s="126"/>
      <c r="N624" s="32"/>
      <c r="O624" s="32"/>
      <c r="P624" s="37"/>
      <c r="Q624" s="37"/>
      <c r="R624" s="37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8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</row>
    <row r="625" ht="15.75" customHeight="1">
      <c r="A625" s="48"/>
      <c r="B625" s="32"/>
      <c r="C625" s="29"/>
      <c r="D625" s="26"/>
      <c r="E625" s="67"/>
      <c r="F625" s="28"/>
      <c r="G625" s="30"/>
      <c r="H625" s="30"/>
      <c r="I625" s="29"/>
      <c r="J625" s="30"/>
      <c r="K625" s="31"/>
      <c r="L625" s="32"/>
      <c r="M625" s="126"/>
      <c r="N625" s="32"/>
      <c r="O625" s="32"/>
      <c r="P625" s="37"/>
      <c r="Q625" s="37"/>
      <c r="R625" s="37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8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</row>
    <row r="626" ht="15.75" customHeight="1">
      <c r="A626" s="48"/>
      <c r="B626" s="32"/>
      <c r="C626" s="29"/>
      <c r="D626" s="26"/>
      <c r="E626" s="67"/>
      <c r="F626" s="28"/>
      <c r="G626" s="30"/>
      <c r="H626" s="30"/>
      <c r="I626" s="29"/>
      <c r="J626" s="30"/>
      <c r="K626" s="31"/>
      <c r="L626" s="32"/>
      <c r="M626" s="126"/>
      <c r="N626" s="32"/>
      <c r="O626" s="32"/>
      <c r="P626" s="37"/>
      <c r="Q626" s="37"/>
      <c r="R626" s="37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8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</row>
    <row r="627" ht="15.75" customHeight="1">
      <c r="A627" s="48"/>
      <c r="B627" s="32"/>
      <c r="C627" s="29"/>
      <c r="D627" s="26"/>
      <c r="E627" s="67"/>
      <c r="F627" s="28"/>
      <c r="G627" s="30"/>
      <c r="H627" s="30"/>
      <c r="I627" s="29"/>
      <c r="J627" s="30"/>
      <c r="K627" s="31"/>
      <c r="L627" s="32"/>
      <c r="M627" s="126"/>
      <c r="N627" s="32"/>
      <c r="O627" s="32"/>
      <c r="P627" s="37"/>
      <c r="Q627" s="37"/>
      <c r="R627" s="37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8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</row>
    <row r="628" ht="15.75" customHeight="1">
      <c r="A628" s="48"/>
      <c r="B628" s="32"/>
      <c r="C628" s="29"/>
      <c r="D628" s="26"/>
      <c r="E628" s="67"/>
      <c r="F628" s="28"/>
      <c r="G628" s="30"/>
      <c r="H628" s="30"/>
      <c r="I628" s="29"/>
      <c r="J628" s="30"/>
      <c r="K628" s="31"/>
      <c r="L628" s="32"/>
      <c r="M628" s="126"/>
      <c r="N628" s="32"/>
      <c r="O628" s="32"/>
      <c r="P628" s="37"/>
      <c r="Q628" s="37"/>
      <c r="R628" s="37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8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</row>
    <row r="629" ht="15.75" customHeight="1">
      <c r="A629" s="48"/>
      <c r="B629" s="32"/>
      <c r="C629" s="29"/>
      <c r="D629" s="26"/>
      <c r="E629" s="67"/>
      <c r="F629" s="28"/>
      <c r="G629" s="30"/>
      <c r="H629" s="30"/>
      <c r="I629" s="29"/>
      <c r="J629" s="30"/>
      <c r="K629" s="31"/>
      <c r="L629" s="32"/>
      <c r="M629" s="126"/>
      <c r="N629" s="32"/>
      <c r="O629" s="32"/>
      <c r="P629" s="37"/>
      <c r="Q629" s="37"/>
      <c r="R629" s="37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8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</row>
    <row r="630" ht="15.75" customHeight="1">
      <c r="A630" s="48"/>
      <c r="B630" s="32"/>
      <c r="C630" s="29"/>
      <c r="D630" s="26"/>
      <c r="E630" s="67"/>
      <c r="F630" s="28"/>
      <c r="G630" s="30"/>
      <c r="H630" s="30"/>
      <c r="I630" s="29"/>
      <c r="J630" s="30"/>
      <c r="K630" s="31"/>
      <c r="L630" s="32"/>
      <c r="M630" s="126"/>
      <c r="N630" s="32"/>
      <c r="O630" s="32"/>
      <c r="P630" s="37"/>
      <c r="Q630" s="37"/>
      <c r="R630" s="37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8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</row>
    <row r="631" ht="15.75" customHeight="1">
      <c r="A631" s="48"/>
      <c r="B631" s="32"/>
      <c r="C631" s="29"/>
      <c r="D631" s="26"/>
      <c r="E631" s="67"/>
      <c r="F631" s="28"/>
      <c r="G631" s="30"/>
      <c r="H631" s="30"/>
      <c r="I631" s="29"/>
      <c r="J631" s="30"/>
      <c r="K631" s="31"/>
      <c r="L631" s="32"/>
      <c r="M631" s="126"/>
      <c r="N631" s="32"/>
      <c r="O631" s="32"/>
      <c r="P631" s="37"/>
      <c r="Q631" s="37"/>
      <c r="R631" s="37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8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</row>
    <row r="632" ht="15.75" customHeight="1">
      <c r="A632" s="48"/>
      <c r="B632" s="32"/>
      <c r="C632" s="29"/>
      <c r="D632" s="26"/>
      <c r="E632" s="67"/>
      <c r="F632" s="28"/>
      <c r="G632" s="30"/>
      <c r="H632" s="30"/>
      <c r="I632" s="29"/>
      <c r="J632" s="30"/>
      <c r="K632" s="31"/>
      <c r="L632" s="32"/>
      <c r="M632" s="126"/>
      <c r="N632" s="32"/>
      <c r="O632" s="32"/>
      <c r="P632" s="37"/>
      <c r="Q632" s="37"/>
      <c r="R632" s="37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8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</row>
    <row r="633" ht="15.75" customHeight="1">
      <c r="A633" s="48"/>
      <c r="B633" s="32"/>
      <c r="C633" s="29"/>
      <c r="D633" s="26"/>
      <c r="E633" s="67"/>
      <c r="F633" s="28"/>
      <c r="G633" s="30"/>
      <c r="H633" s="30"/>
      <c r="I633" s="29"/>
      <c r="J633" s="30"/>
      <c r="K633" s="31"/>
      <c r="L633" s="32"/>
      <c r="M633" s="126"/>
      <c r="N633" s="32"/>
      <c r="O633" s="32"/>
      <c r="P633" s="37"/>
      <c r="Q633" s="37"/>
      <c r="R633" s="37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8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</row>
    <row r="634" ht="15.75" customHeight="1">
      <c r="A634" s="48"/>
      <c r="B634" s="32"/>
      <c r="C634" s="29"/>
      <c r="D634" s="26"/>
      <c r="E634" s="67"/>
      <c r="F634" s="28"/>
      <c r="G634" s="30"/>
      <c r="H634" s="30"/>
      <c r="I634" s="29"/>
      <c r="J634" s="30"/>
      <c r="K634" s="31"/>
      <c r="L634" s="32"/>
      <c r="M634" s="126"/>
      <c r="N634" s="32"/>
      <c r="O634" s="32"/>
      <c r="P634" s="37"/>
      <c r="Q634" s="37"/>
      <c r="R634" s="37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8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</row>
    <row r="635" ht="15.75" customHeight="1">
      <c r="A635" s="48"/>
      <c r="B635" s="32"/>
      <c r="C635" s="29"/>
      <c r="D635" s="26"/>
      <c r="E635" s="67"/>
      <c r="F635" s="28"/>
      <c r="G635" s="30"/>
      <c r="H635" s="30"/>
      <c r="I635" s="29"/>
      <c r="J635" s="30"/>
      <c r="K635" s="31"/>
      <c r="L635" s="32"/>
      <c r="M635" s="126"/>
      <c r="N635" s="32"/>
      <c r="O635" s="32"/>
      <c r="P635" s="37"/>
      <c r="Q635" s="37"/>
      <c r="R635" s="37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8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</row>
    <row r="636" ht="15.75" customHeight="1">
      <c r="A636" s="48"/>
      <c r="B636" s="32"/>
      <c r="C636" s="29"/>
      <c r="D636" s="26"/>
      <c r="E636" s="67"/>
      <c r="F636" s="28"/>
      <c r="G636" s="30"/>
      <c r="H636" s="30"/>
      <c r="I636" s="29"/>
      <c r="J636" s="30"/>
      <c r="K636" s="31"/>
      <c r="L636" s="32"/>
      <c r="M636" s="126"/>
      <c r="N636" s="32"/>
      <c r="O636" s="32"/>
      <c r="P636" s="37"/>
      <c r="Q636" s="37"/>
      <c r="R636" s="37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8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</row>
    <row r="637" ht="15.75" customHeight="1">
      <c r="A637" s="48"/>
      <c r="B637" s="32"/>
      <c r="C637" s="29"/>
      <c r="D637" s="26"/>
      <c r="E637" s="67"/>
      <c r="F637" s="28"/>
      <c r="G637" s="30"/>
      <c r="H637" s="30"/>
      <c r="I637" s="29"/>
      <c r="J637" s="30"/>
      <c r="K637" s="31"/>
      <c r="L637" s="32"/>
      <c r="M637" s="126"/>
      <c r="N637" s="32"/>
      <c r="O637" s="32"/>
      <c r="P637" s="37"/>
      <c r="Q637" s="37"/>
      <c r="R637" s="37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8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</row>
    <row r="638" ht="15.75" customHeight="1">
      <c r="A638" s="48"/>
      <c r="B638" s="32"/>
      <c r="C638" s="29"/>
      <c r="D638" s="26"/>
      <c r="E638" s="67"/>
      <c r="F638" s="28"/>
      <c r="G638" s="30"/>
      <c r="H638" s="30"/>
      <c r="I638" s="29"/>
      <c r="J638" s="30"/>
      <c r="K638" s="31"/>
      <c r="L638" s="32"/>
      <c r="M638" s="126"/>
      <c r="N638" s="32"/>
      <c r="O638" s="32"/>
      <c r="P638" s="37"/>
      <c r="Q638" s="37"/>
      <c r="R638" s="37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8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</row>
    <row r="639" ht="15.75" customHeight="1">
      <c r="A639" s="48"/>
      <c r="B639" s="32"/>
      <c r="C639" s="29"/>
      <c r="D639" s="26"/>
      <c r="E639" s="67"/>
      <c r="F639" s="28"/>
      <c r="G639" s="30"/>
      <c r="H639" s="30"/>
      <c r="I639" s="29"/>
      <c r="J639" s="30"/>
      <c r="K639" s="31"/>
      <c r="L639" s="32"/>
      <c r="M639" s="126"/>
      <c r="N639" s="32"/>
      <c r="O639" s="32"/>
      <c r="P639" s="37"/>
      <c r="Q639" s="37"/>
      <c r="R639" s="37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8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</row>
    <row r="640" ht="15.75" customHeight="1">
      <c r="A640" s="48"/>
      <c r="B640" s="32"/>
      <c r="C640" s="29"/>
      <c r="D640" s="26"/>
      <c r="E640" s="67"/>
      <c r="F640" s="28"/>
      <c r="G640" s="30"/>
      <c r="H640" s="30"/>
      <c r="I640" s="29"/>
      <c r="J640" s="30"/>
      <c r="K640" s="31"/>
      <c r="L640" s="32"/>
      <c r="M640" s="126"/>
      <c r="N640" s="32"/>
      <c r="O640" s="32"/>
      <c r="P640" s="37"/>
      <c r="Q640" s="37"/>
      <c r="R640" s="37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8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</row>
    <row r="641" ht="15.75" customHeight="1">
      <c r="A641" s="48"/>
      <c r="B641" s="32"/>
      <c r="C641" s="29"/>
      <c r="D641" s="26"/>
      <c r="E641" s="67"/>
      <c r="F641" s="28"/>
      <c r="G641" s="30"/>
      <c r="H641" s="30"/>
      <c r="I641" s="29"/>
      <c r="J641" s="30"/>
      <c r="K641" s="31"/>
      <c r="L641" s="32"/>
      <c r="M641" s="126"/>
      <c r="N641" s="32"/>
      <c r="O641" s="32"/>
      <c r="P641" s="37"/>
      <c r="Q641" s="37"/>
      <c r="R641" s="37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8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</row>
    <row r="642" ht="15.75" customHeight="1">
      <c r="A642" s="48"/>
      <c r="B642" s="32"/>
      <c r="C642" s="29"/>
      <c r="D642" s="26"/>
      <c r="E642" s="67"/>
      <c r="F642" s="28"/>
      <c r="G642" s="30"/>
      <c r="H642" s="30"/>
      <c r="I642" s="29"/>
      <c r="J642" s="30"/>
      <c r="K642" s="31"/>
      <c r="L642" s="32"/>
      <c r="M642" s="126"/>
      <c r="N642" s="32"/>
      <c r="O642" s="32"/>
      <c r="P642" s="37"/>
      <c r="Q642" s="37"/>
      <c r="R642" s="37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8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</row>
    <row r="643" ht="15.75" customHeight="1">
      <c r="A643" s="48"/>
      <c r="B643" s="32"/>
      <c r="C643" s="29"/>
      <c r="D643" s="26"/>
      <c r="E643" s="67"/>
      <c r="F643" s="28"/>
      <c r="G643" s="30"/>
      <c r="H643" s="30"/>
      <c r="I643" s="29"/>
      <c r="J643" s="30"/>
      <c r="K643" s="31"/>
      <c r="L643" s="32"/>
      <c r="M643" s="126"/>
      <c r="N643" s="32"/>
      <c r="O643" s="32"/>
      <c r="P643" s="37"/>
      <c r="Q643" s="37"/>
      <c r="R643" s="37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8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</row>
    <row r="644" ht="15.75" customHeight="1">
      <c r="A644" s="48"/>
      <c r="B644" s="32"/>
      <c r="C644" s="29"/>
      <c r="D644" s="26"/>
      <c r="E644" s="67"/>
      <c r="F644" s="28"/>
      <c r="G644" s="30"/>
      <c r="H644" s="30"/>
      <c r="I644" s="29"/>
      <c r="J644" s="30"/>
      <c r="K644" s="31"/>
      <c r="L644" s="32"/>
      <c r="M644" s="126"/>
      <c r="N644" s="32"/>
      <c r="O644" s="32"/>
      <c r="P644" s="37"/>
      <c r="Q644" s="37"/>
      <c r="R644" s="37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8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</row>
    <row r="645" ht="15.75" customHeight="1">
      <c r="A645" s="48"/>
      <c r="B645" s="32"/>
      <c r="C645" s="29"/>
      <c r="D645" s="26"/>
      <c r="E645" s="67"/>
      <c r="F645" s="28"/>
      <c r="G645" s="30"/>
      <c r="H645" s="30"/>
      <c r="I645" s="29"/>
      <c r="J645" s="30"/>
      <c r="K645" s="31"/>
      <c r="L645" s="32"/>
      <c r="M645" s="126"/>
      <c r="N645" s="32"/>
      <c r="O645" s="32"/>
      <c r="P645" s="37"/>
      <c r="Q645" s="37"/>
      <c r="R645" s="37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8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</row>
    <row r="646" ht="15.75" customHeight="1">
      <c r="A646" s="48"/>
      <c r="B646" s="32"/>
      <c r="C646" s="29"/>
      <c r="D646" s="26"/>
      <c r="E646" s="67"/>
      <c r="F646" s="28"/>
      <c r="G646" s="30"/>
      <c r="H646" s="30"/>
      <c r="I646" s="29"/>
      <c r="J646" s="30"/>
      <c r="K646" s="31"/>
      <c r="L646" s="32"/>
      <c r="M646" s="126"/>
      <c r="N646" s="32"/>
      <c r="O646" s="32"/>
      <c r="P646" s="37"/>
      <c r="Q646" s="37"/>
      <c r="R646" s="37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8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</row>
    <row r="647" ht="15.75" customHeight="1">
      <c r="A647" s="48"/>
      <c r="B647" s="32"/>
      <c r="C647" s="29"/>
      <c r="D647" s="26"/>
      <c r="E647" s="67"/>
      <c r="F647" s="28"/>
      <c r="G647" s="30"/>
      <c r="H647" s="30"/>
      <c r="I647" s="29"/>
      <c r="J647" s="30"/>
      <c r="K647" s="31"/>
      <c r="L647" s="32"/>
      <c r="M647" s="126"/>
      <c r="N647" s="32"/>
      <c r="O647" s="32"/>
      <c r="P647" s="37"/>
      <c r="Q647" s="37"/>
      <c r="R647" s="37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8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</row>
    <row r="648" ht="15.75" customHeight="1">
      <c r="A648" s="48"/>
      <c r="B648" s="32"/>
      <c r="C648" s="29"/>
      <c r="D648" s="26"/>
      <c r="E648" s="67"/>
      <c r="F648" s="28"/>
      <c r="G648" s="30"/>
      <c r="H648" s="30"/>
      <c r="I648" s="29"/>
      <c r="J648" s="30"/>
      <c r="K648" s="31"/>
      <c r="L648" s="32"/>
      <c r="M648" s="126"/>
      <c r="N648" s="32"/>
      <c r="O648" s="32"/>
      <c r="P648" s="37"/>
      <c r="Q648" s="37"/>
      <c r="R648" s="37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8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</row>
    <row r="649" ht="15.75" customHeight="1">
      <c r="A649" s="48"/>
      <c r="B649" s="32"/>
      <c r="C649" s="29"/>
      <c r="D649" s="26"/>
      <c r="E649" s="67"/>
      <c r="F649" s="28"/>
      <c r="G649" s="30"/>
      <c r="H649" s="30"/>
      <c r="I649" s="29"/>
      <c r="J649" s="30"/>
      <c r="K649" s="31"/>
      <c r="L649" s="32"/>
      <c r="M649" s="126"/>
      <c r="N649" s="32"/>
      <c r="O649" s="32"/>
      <c r="P649" s="37"/>
      <c r="Q649" s="37"/>
      <c r="R649" s="37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8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</row>
    <row r="650" ht="15.75" customHeight="1">
      <c r="A650" s="48"/>
      <c r="B650" s="32"/>
      <c r="C650" s="29"/>
      <c r="D650" s="26"/>
      <c r="E650" s="67"/>
      <c r="F650" s="28"/>
      <c r="G650" s="30"/>
      <c r="H650" s="30"/>
      <c r="I650" s="29"/>
      <c r="J650" s="30"/>
      <c r="K650" s="31"/>
      <c r="L650" s="32"/>
      <c r="M650" s="126"/>
      <c r="N650" s="32"/>
      <c r="O650" s="32"/>
      <c r="P650" s="37"/>
      <c r="Q650" s="37"/>
      <c r="R650" s="37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8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</row>
    <row r="651" ht="15.75" customHeight="1">
      <c r="A651" s="48"/>
      <c r="B651" s="32"/>
      <c r="C651" s="29"/>
      <c r="D651" s="26"/>
      <c r="E651" s="67"/>
      <c r="F651" s="28"/>
      <c r="G651" s="30"/>
      <c r="H651" s="30"/>
      <c r="I651" s="29"/>
      <c r="J651" s="30"/>
      <c r="K651" s="31"/>
      <c r="L651" s="32"/>
      <c r="M651" s="126"/>
      <c r="N651" s="32"/>
      <c r="O651" s="32"/>
      <c r="P651" s="37"/>
      <c r="Q651" s="37"/>
      <c r="R651" s="37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8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</row>
    <row r="652" ht="15.75" customHeight="1">
      <c r="A652" s="48"/>
      <c r="B652" s="32"/>
      <c r="C652" s="29"/>
      <c r="D652" s="26"/>
      <c r="E652" s="67"/>
      <c r="F652" s="28"/>
      <c r="G652" s="30"/>
      <c r="H652" s="30"/>
      <c r="I652" s="29"/>
      <c r="J652" s="30"/>
      <c r="K652" s="31"/>
      <c r="L652" s="32"/>
      <c r="M652" s="126"/>
      <c r="N652" s="32"/>
      <c r="O652" s="32"/>
      <c r="P652" s="37"/>
      <c r="Q652" s="37"/>
      <c r="R652" s="37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8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</row>
    <row r="653" ht="15.75" customHeight="1">
      <c r="A653" s="48"/>
      <c r="B653" s="32"/>
      <c r="C653" s="29"/>
      <c r="D653" s="26"/>
      <c r="E653" s="67"/>
      <c r="F653" s="28"/>
      <c r="G653" s="30"/>
      <c r="H653" s="30"/>
      <c r="I653" s="29"/>
      <c r="J653" s="30"/>
      <c r="K653" s="31"/>
      <c r="L653" s="32"/>
      <c r="M653" s="126"/>
      <c r="N653" s="32"/>
      <c r="O653" s="32"/>
      <c r="P653" s="37"/>
      <c r="Q653" s="37"/>
      <c r="R653" s="37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8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</row>
    <row r="654" ht="15.75" customHeight="1">
      <c r="A654" s="48"/>
      <c r="B654" s="32"/>
      <c r="C654" s="29"/>
      <c r="D654" s="26"/>
      <c r="E654" s="67"/>
      <c r="F654" s="28"/>
      <c r="G654" s="30"/>
      <c r="H654" s="30"/>
      <c r="I654" s="29"/>
      <c r="J654" s="30"/>
      <c r="K654" s="31"/>
      <c r="L654" s="32"/>
      <c r="M654" s="126"/>
      <c r="N654" s="32"/>
      <c r="O654" s="32"/>
      <c r="P654" s="37"/>
      <c r="Q654" s="37"/>
      <c r="R654" s="37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8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</row>
    <row r="655" ht="15.75" customHeight="1">
      <c r="A655" s="48"/>
      <c r="B655" s="32"/>
      <c r="C655" s="29"/>
      <c r="D655" s="26"/>
      <c r="E655" s="67"/>
      <c r="F655" s="28"/>
      <c r="G655" s="30"/>
      <c r="H655" s="30"/>
      <c r="I655" s="29"/>
      <c r="J655" s="30"/>
      <c r="K655" s="31"/>
      <c r="L655" s="32"/>
      <c r="M655" s="126"/>
      <c r="N655" s="32"/>
      <c r="O655" s="32"/>
      <c r="P655" s="37"/>
      <c r="Q655" s="37"/>
      <c r="R655" s="37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8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</row>
    <row r="656" ht="15.75" customHeight="1">
      <c r="A656" s="48"/>
      <c r="B656" s="32"/>
      <c r="C656" s="29"/>
      <c r="D656" s="26"/>
      <c r="E656" s="67"/>
      <c r="F656" s="28"/>
      <c r="G656" s="30"/>
      <c r="H656" s="30"/>
      <c r="I656" s="29"/>
      <c r="J656" s="30"/>
      <c r="K656" s="31"/>
      <c r="L656" s="32"/>
      <c r="M656" s="126"/>
      <c r="N656" s="32"/>
      <c r="O656" s="32"/>
      <c r="P656" s="37"/>
      <c r="Q656" s="37"/>
      <c r="R656" s="37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8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</row>
    <row r="657" ht="15.75" customHeight="1">
      <c r="A657" s="48"/>
      <c r="B657" s="32"/>
      <c r="C657" s="29"/>
      <c r="D657" s="26"/>
      <c r="E657" s="67"/>
      <c r="F657" s="28"/>
      <c r="G657" s="30"/>
      <c r="H657" s="30"/>
      <c r="I657" s="29"/>
      <c r="J657" s="30"/>
      <c r="K657" s="31"/>
      <c r="L657" s="32"/>
      <c r="M657" s="126"/>
      <c r="N657" s="32"/>
      <c r="O657" s="32"/>
      <c r="P657" s="37"/>
      <c r="Q657" s="37"/>
      <c r="R657" s="37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8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</row>
    <row r="658" ht="15.75" customHeight="1">
      <c r="A658" s="48"/>
      <c r="B658" s="32"/>
      <c r="C658" s="29"/>
      <c r="D658" s="26"/>
      <c r="E658" s="67"/>
      <c r="F658" s="28"/>
      <c r="G658" s="30"/>
      <c r="H658" s="30"/>
      <c r="I658" s="29"/>
      <c r="J658" s="30"/>
      <c r="K658" s="31"/>
      <c r="L658" s="32"/>
      <c r="M658" s="126"/>
      <c r="N658" s="32"/>
      <c r="O658" s="32"/>
      <c r="P658" s="37"/>
      <c r="Q658" s="37"/>
      <c r="R658" s="37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8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</row>
    <row r="659" ht="15.75" customHeight="1">
      <c r="A659" s="48"/>
      <c r="B659" s="32"/>
      <c r="C659" s="29"/>
      <c r="D659" s="26"/>
      <c r="E659" s="67"/>
      <c r="F659" s="28"/>
      <c r="G659" s="30"/>
      <c r="H659" s="30"/>
      <c r="I659" s="29"/>
      <c r="J659" s="30"/>
      <c r="K659" s="31"/>
      <c r="L659" s="32"/>
      <c r="M659" s="126"/>
      <c r="N659" s="32"/>
      <c r="O659" s="32"/>
      <c r="P659" s="37"/>
      <c r="Q659" s="37"/>
      <c r="R659" s="37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8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</row>
    <row r="660" ht="15.75" customHeight="1">
      <c r="A660" s="48"/>
      <c r="B660" s="32"/>
      <c r="C660" s="29"/>
      <c r="D660" s="26"/>
      <c r="E660" s="67"/>
      <c r="F660" s="28"/>
      <c r="G660" s="30"/>
      <c r="H660" s="30"/>
      <c r="I660" s="29"/>
      <c r="J660" s="30"/>
      <c r="K660" s="31"/>
      <c r="L660" s="32"/>
      <c r="M660" s="126"/>
      <c r="N660" s="32"/>
      <c r="O660" s="32"/>
      <c r="P660" s="37"/>
      <c r="Q660" s="37"/>
      <c r="R660" s="37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8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</row>
    <row r="661" ht="15.75" customHeight="1">
      <c r="A661" s="48"/>
      <c r="B661" s="32"/>
      <c r="C661" s="29"/>
      <c r="D661" s="26"/>
      <c r="E661" s="67"/>
      <c r="F661" s="28"/>
      <c r="G661" s="30"/>
      <c r="H661" s="30"/>
      <c r="I661" s="29"/>
      <c r="J661" s="30"/>
      <c r="K661" s="31"/>
      <c r="L661" s="32"/>
      <c r="M661" s="126"/>
      <c r="N661" s="32"/>
      <c r="O661" s="32"/>
      <c r="P661" s="37"/>
      <c r="Q661" s="37"/>
      <c r="R661" s="37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8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</row>
    <row r="662" ht="15.75" customHeight="1">
      <c r="A662" s="48"/>
      <c r="B662" s="32"/>
      <c r="C662" s="29"/>
      <c r="D662" s="26"/>
      <c r="E662" s="67"/>
      <c r="F662" s="28"/>
      <c r="G662" s="30"/>
      <c r="H662" s="30"/>
      <c r="I662" s="29"/>
      <c r="J662" s="30"/>
      <c r="K662" s="31"/>
      <c r="L662" s="32"/>
      <c r="M662" s="126"/>
      <c r="N662" s="32"/>
      <c r="O662" s="32"/>
      <c r="P662" s="37"/>
      <c r="Q662" s="37"/>
      <c r="R662" s="37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8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</row>
    <row r="663" ht="15.75" customHeight="1">
      <c r="A663" s="48"/>
      <c r="B663" s="32"/>
      <c r="C663" s="29"/>
      <c r="D663" s="26"/>
      <c r="E663" s="67"/>
      <c r="F663" s="28"/>
      <c r="G663" s="30"/>
      <c r="H663" s="30"/>
      <c r="I663" s="29"/>
      <c r="J663" s="30"/>
      <c r="K663" s="31"/>
      <c r="L663" s="32"/>
      <c r="M663" s="126"/>
      <c r="N663" s="32"/>
      <c r="O663" s="32"/>
      <c r="P663" s="37"/>
      <c r="Q663" s="37"/>
      <c r="R663" s="37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8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</row>
    <row r="664" ht="15.75" customHeight="1">
      <c r="A664" s="48"/>
      <c r="B664" s="32"/>
      <c r="C664" s="29"/>
      <c r="D664" s="26"/>
      <c r="E664" s="67"/>
      <c r="F664" s="28"/>
      <c r="G664" s="30"/>
      <c r="H664" s="30"/>
      <c r="I664" s="29"/>
      <c r="J664" s="30"/>
      <c r="K664" s="31"/>
      <c r="L664" s="32"/>
      <c r="M664" s="126"/>
      <c r="N664" s="32"/>
      <c r="O664" s="32"/>
      <c r="P664" s="37"/>
      <c r="Q664" s="37"/>
      <c r="R664" s="37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8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</row>
    <row r="665" ht="15.75" customHeight="1">
      <c r="A665" s="48"/>
      <c r="B665" s="32"/>
      <c r="C665" s="29"/>
      <c r="D665" s="26"/>
      <c r="E665" s="67"/>
      <c r="F665" s="28"/>
      <c r="G665" s="30"/>
      <c r="H665" s="30"/>
      <c r="I665" s="29"/>
      <c r="J665" s="30"/>
      <c r="K665" s="31"/>
      <c r="L665" s="32"/>
      <c r="M665" s="126"/>
      <c r="N665" s="32"/>
      <c r="O665" s="32"/>
      <c r="P665" s="37"/>
      <c r="Q665" s="37"/>
      <c r="R665" s="37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8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</row>
    <row r="666" ht="15.75" customHeight="1">
      <c r="A666" s="48"/>
      <c r="B666" s="32"/>
      <c r="C666" s="29"/>
      <c r="D666" s="26"/>
      <c r="E666" s="67"/>
      <c r="F666" s="28"/>
      <c r="G666" s="30"/>
      <c r="H666" s="30"/>
      <c r="I666" s="29"/>
      <c r="J666" s="30"/>
      <c r="K666" s="31"/>
      <c r="L666" s="32"/>
      <c r="M666" s="126"/>
      <c r="N666" s="32"/>
      <c r="O666" s="32"/>
      <c r="P666" s="37"/>
      <c r="Q666" s="37"/>
      <c r="R666" s="37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8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</row>
    <row r="667" ht="15.75" customHeight="1">
      <c r="A667" s="48"/>
      <c r="B667" s="32"/>
      <c r="C667" s="29"/>
      <c r="D667" s="26"/>
      <c r="E667" s="67"/>
      <c r="F667" s="28"/>
      <c r="G667" s="30"/>
      <c r="H667" s="30"/>
      <c r="I667" s="29"/>
      <c r="J667" s="30"/>
      <c r="K667" s="31"/>
      <c r="L667" s="32"/>
      <c r="M667" s="126"/>
      <c r="N667" s="32"/>
      <c r="O667" s="32"/>
      <c r="P667" s="37"/>
      <c r="Q667" s="37"/>
      <c r="R667" s="37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8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</row>
    <row r="668" ht="15.75" customHeight="1">
      <c r="A668" s="48"/>
      <c r="B668" s="32"/>
      <c r="C668" s="29"/>
      <c r="D668" s="26"/>
      <c r="E668" s="67"/>
      <c r="F668" s="28"/>
      <c r="G668" s="30"/>
      <c r="H668" s="30"/>
      <c r="I668" s="29"/>
      <c r="J668" s="30"/>
      <c r="K668" s="31"/>
      <c r="L668" s="32"/>
      <c r="M668" s="126"/>
      <c r="N668" s="32"/>
      <c r="O668" s="32"/>
      <c r="P668" s="37"/>
      <c r="Q668" s="37"/>
      <c r="R668" s="37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8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</row>
    <row r="669" ht="15.75" customHeight="1">
      <c r="A669" s="48"/>
      <c r="B669" s="32"/>
      <c r="C669" s="29"/>
      <c r="D669" s="26"/>
      <c r="E669" s="67"/>
      <c r="F669" s="28"/>
      <c r="G669" s="30"/>
      <c r="H669" s="30"/>
      <c r="I669" s="29"/>
      <c r="J669" s="30"/>
      <c r="K669" s="31"/>
      <c r="L669" s="32"/>
      <c r="M669" s="126"/>
      <c r="N669" s="32"/>
      <c r="O669" s="32"/>
      <c r="P669" s="37"/>
      <c r="Q669" s="37"/>
      <c r="R669" s="37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8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</row>
    <row r="670" ht="15.75" customHeight="1">
      <c r="A670" s="48"/>
      <c r="B670" s="32"/>
      <c r="C670" s="29"/>
      <c r="D670" s="26"/>
      <c r="E670" s="67"/>
      <c r="F670" s="28"/>
      <c r="G670" s="30"/>
      <c r="H670" s="30"/>
      <c r="I670" s="29"/>
      <c r="J670" s="30"/>
      <c r="K670" s="31"/>
      <c r="L670" s="32"/>
      <c r="M670" s="126"/>
      <c r="N670" s="32"/>
      <c r="O670" s="32"/>
      <c r="P670" s="37"/>
      <c r="Q670" s="37"/>
      <c r="R670" s="37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8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</row>
    <row r="671" ht="15.75" customHeight="1">
      <c r="A671" s="48"/>
      <c r="B671" s="32"/>
      <c r="C671" s="29"/>
      <c r="D671" s="26"/>
      <c r="E671" s="67"/>
      <c r="F671" s="28"/>
      <c r="G671" s="30"/>
      <c r="H671" s="30"/>
      <c r="I671" s="29"/>
      <c r="J671" s="30"/>
      <c r="K671" s="31"/>
      <c r="L671" s="32"/>
      <c r="M671" s="126"/>
      <c r="N671" s="32"/>
      <c r="O671" s="32"/>
      <c r="P671" s="37"/>
      <c r="Q671" s="37"/>
      <c r="R671" s="37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8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</row>
    <row r="672" ht="15.75" customHeight="1">
      <c r="A672" s="48"/>
      <c r="B672" s="32"/>
      <c r="C672" s="29"/>
      <c r="D672" s="26"/>
      <c r="E672" s="67"/>
      <c r="F672" s="28"/>
      <c r="G672" s="30"/>
      <c r="H672" s="30"/>
      <c r="I672" s="29"/>
      <c r="J672" s="30"/>
      <c r="K672" s="31"/>
      <c r="L672" s="32"/>
      <c r="M672" s="126"/>
      <c r="N672" s="32"/>
      <c r="O672" s="32"/>
      <c r="P672" s="37"/>
      <c r="Q672" s="37"/>
      <c r="R672" s="37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8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</row>
    <row r="673" ht="15.75" customHeight="1">
      <c r="A673" s="48"/>
      <c r="B673" s="32"/>
      <c r="C673" s="29"/>
      <c r="D673" s="26"/>
      <c r="E673" s="67"/>
      <c r="F673" s="28"/>
      <c r="G673" s="30"/>
      <c r="H673" s="30"/>
      <c r="I673" s="29"/>
      <c r="J673" s="30"/>
      <c r="K673" s="31"/>
      <c r="L673" s="32"/>
      <c r="M673" s="126"/>
      <c r="N673" s="32"/>
      <c r="O673" s="32"/>
      <c r="P673" s="37"/>
      <c r="Q673" s="37"/>
      <c r="R673" s="37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8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</row>
    <row r="674" ht="15.75" customHeight="1">
      <c r="A674" s="48"/>
      <c r="B674" s="32"/>
      <c r="C674" s="29"/>
      <c r="D674" s="26"/>
      <c r="E674" s="67"/>
      <c r="F674" s="28"/>
      <c r="G674" s="30"/>
      <c r="H674" s="30"/>
      <c r="I674" s="29"/>
      <c r="J674" s="30"/>
      <c r="K674" s="31"/>
      <c r="L674" s="32"/>
      <c r="M674" s="126"/>
      <c r="N674" s="32"/>
      <c r="O674" s="32"/>
      <c r="P674" s="37"/>
      <c r="Q674" s="37"/>
      <c r="R674" s="37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8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</row>
    <row r="675" ht="15.75" customHeight="1">
      <c r="A675" s="48"/>
      <c r="B675" s="32"/>
      <c r="C675" s="29"/>
      <c r="D675" s="26"/>
      <c r="E675" s="67"/>
      <c r="F675" s="28"/>
      <c r="G675" s="30"/>
      <c r="H675" s="30"/>
      <c r="I675" s="29"/>
      <c r="J675" s="30"/>
      <c r="K675" s="31"/>
      <c r="L675" s="32"/>
      <c r="M675" s="126"/>
      <c r="N675" s="32"/>
      <c r="O675" s="32"/>
      <c r="P675" s="37"/>
      <c r="Q675" s="37"/>
      <c r="R675" s="37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8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</row>
    <row r="676" ht="15.75" customHeight="1">
      <c r="A676" s="48"/>
      <c r="B676" s="32"/>
      <c r="C676" s="29"/>
      <c r="D676" s="26"/>
      <c r="E676" s="67"/>
      <c r="F676" s="28"/>
      <c r="G676" s="30"/>
      <c r="H676" s="30"/>
      <c r="I676" s="29"/>
      <c r="J676" s="30"/>
      <c r="K676" s="31"/>
      <c r="L676" s="32"/>
      <c r="M676" s="126"/>
      <c r="N676" s="32"/>
      <c r="O676" s="32"/>
      <c r="P676" s="37"/>
      <c r="Q676" s="37"/>
      <c r="R676" s="37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8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</row>
    <row r="677" ht="15.75" customHeight="1">
      <c r="A677" s="48"/>
      <c r="B677" s="32"/>
      <c r="C677" s="29"/>
      <c r="D677" s="26"/>
      <c r="E677" s="67"/>
      <c r="F677" s="28"/>
      <c r="G677" s="30"/>
      <c r="H677" s="30"/>
      <c r="I677" s="29"/>
      <c r="J677" s="30"/>
      <c r="K677" s="31"/>
      <c r="L677" s="32"/>
      <c r="M677" s="126"/>
      <c r="N677" s="32"/>
      <c r="O677" s="32"/>
      <c r="P677" s="37"/>
      <c r="Q677" s="37"/>
      <c r="R677" s="37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8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</row>
    <row r="678" ht="15.75" customHeight="1">
      <c r="A678" s="48"/>
      <c r="B678" s="32"/>
      <c r="C678" s="29"/>
      <c r="D678" s="26"/>
      <c r="E678" s="67"/>
      <c r="F678" s="28"/>
      <c r="G678" s="30"/>
      <c r="H678" s="30"/>
      <c r="I678" s="29"/>
      <c r="J678" s="30"/>
      <c r="K678" s="31"/>
      <c r="L678" s="32"/>
      <c r="M678" s="126"/>
      <c r="N678" s="32"/>
      <c r="O678" s="32"/>
      <c r="P678" s="37"/>
      <c r="Q678" s="37"/>
      <c r="R678" s="37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8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</row>
    <row r="679" ht="15.75" customHeight="1">
      <c r="A679" s="48"/>
      <c r="B679" s="32"/>
      <c r="C679" s="29"/>
      <c r="D679" s="26"/>
      <c r="E679" s="67"/>
      <c r="F679" s="28"/>
      <c r="G679" s="30"/>
      <c r="H679" s="30"/>
      <c r="I679" s="29"/>
      <c r="J679" s="30"/>
      <c r="K679" s="31"/>
      <c r="L679" s="32"/>
      <c r="M679" s="126"/>
      <c r="N679" s="32"/>
      <c r="O679" s="32"/>
      <c r="P679" s="37"/>
      <c r="Q679" s="37"/>
      <c r="R679" s="37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8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</row>
    <row r="680" ht="15.75" customHeight="1">
      <c r="A680" s="48"/>
      <c r="B680" s="32"/>
      <c r="C680" s="29"/>
      <c r="D680" s="26"/>
      <c r="E680" s="67"/>
      <c r="F680" s="28"/>
      <c r="G680" s="30"/>
      <c r="H680" s="30"/>
      <c r="I680" s="29"/>
      <c r="J680" s="30"/>
      <c r="K680" s="31"/>
      <c r="L680" s="32"/>
      <c r="M680" s="126"/>
      <c r="N680" s="32"/>
      <c r="O680" s="32"/>
      <c r="P680" s="37"/>
      <c r="Q680" s="37"/>
      <c r="R680" s="37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8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</row>
    <row r="681" ht="15.75" customHeight="1">
      <c r="A681" s="48"/>
      <c r="B681" s="32"/>
      <c r="C681" s="29"/>
      <c r="D681" s="26"/>
      <c r="E681" s="67"/>
      <c r="F681" s="28"/>
      <c r="G681" s="30"/>
      <c r="H681" s="30"/>
      <c r="I681" s="29"/>
      <c r="J681" s="30"/>
      <c r="K681" s="31"/>
      <c r="L681" s="32"/>
      <c r="M681" s="126"/>
      <c r="N681" s="32"/>
      <c r="O681" s="32"/>
      <c r="P681" s="37"/>
      <c r="Q681" s="37"/>
      <c r="R681" s="37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8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</row>
    <row r="682" ht="15.75" customHeight="1">
      <c r="A682" s="48"/>
      <c r="B682" s="32"/>
      <c r="C682" s="29"/>
      <c r="D682" s="26"/>
      <c r="E682" s="67"/>
      <c r="F682" s="28"/>
      <c r="G682" s="30"/>
      <c r="H682" s="30"/>
      <c r="I682" s="29"/>
      <c r="J682" s="30"/>
      <c r="K682" s="31"/>
      <c r="L682" s="32"/>
      <c r="M682" s="126"/>
      <c r="N682" s="32"/>
      <c r="O682" s="32"/>
      <c r="P682" s="37"/>
      <c r="Q682" s="37"/>
      <c r="R682" s="37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8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</row>
    <row r="683" ht="15.75" customHeight="1">
      <c r="A683" s="48"/>
      <c r="B683" s="32"/>
      <c r="C683" s="29"/>
      <c r="D683" s="26"/>
      <c r="E683" s="67"/>
      <c r="F683" s="28"/>
      <c r="G683" s="30"/>
      <c r="H683" s="30"/>
      <c r="I683" s="29"/>
      <c r="J683" s="30"/>
      <c r="K683" s="31"/>
      <c r="L683" s="32"/>
      <c r="M683" s="126"/>
      <c r="N683" s="32"/>
      <c r="O683" s="32"/>
      <c r="P683" s="37"/>
      <c r="Q683" s="37"/>
      <c r="R683" s="37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8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</row>
    <row r="684" ht="15.75" customHeight="1">
      <c r="A684" s="48"/>
      <c r="B684" s="32"/>
      <c r="C684" s="29"/>
      <c r="D684" s="26"/>
      <c r="E684" s="67"/>
      <c r="F684" s="28"/>
      <c r="G684" s="30"/>
      <c r="H684" s="30"/>
      <c r="I684" s="29"/>
      <c r="J684" s="30"/>
      <c r="K684" s="31"/>
      <c r="L684" s="32"/>
      <c r="M684" s="126"/>
      <c r="N684" s="32"/>
      <c r="O684" s="32"/>
      <c r="P684" s="37"/>
      <c r="Q684" s="37"/>
      <c r="R684" s="37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8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</row>
    <row r="685" ht="15.75" customHeight="1">
      <c r="A685" s="48"/>
      <c r="B685" s="32"/>
      <c r="C685" s="29"/>
      <c r="D685" s="26"/>
      <c r="E685" s="67"/>
      <c r="F685" s="28"/>
      <c r="G685" s="30"/>
      <c r="H685" s="30"/>
      <c r="I685" s="29"/>
      <c r="J685" s="30"/>
      <c r="K685" s="31"/>
      <c r="L685" s="32"/>
      <c r="M685" s="126"/>
      <c r="N685" s="32"/>
      <c r="O685" s="32"/>
      <c r="P685" s="37"/>
      <c r="Q685" s="37"/>
      <c r="R685" s="37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8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</row>
    <row r="686" ht="15.75" customHeight="1">
      <c r="A686" s="48"/>
      <c r="B686" s="32"/>
      <c r="C686" s="29"/>
      <c r="D686" s="26"/>
      <c r="E686" s="67"/>
      <c r="F686" s="28"/>
      <c r="G686" s="30"/>
      <c r="H686" s="30"/>
      <c r="I686" s="29"/>
      <c r="J686" s="30"/>
      <c r="K686" s="31"/>
      <c r="L686" s="32"/>
      <c r="M686" s="126"/>
      <c r="N686" s="32"/>
      <c r="O686" s="32"/>
      <c r="P686" s="37"/>
      <c r="Q686" s="37"/>
      <c r="R686" s="37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8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</row>
    <row r="687" ht="15.75" customHeight="1">
      <c r="A687" s="48"/>
      <c r="B687" s="32"/>
      <c r="C687" s="29"/>
      <c r="D687" s="26"/>
      <c r="E687" s="67"/>
      <c r="F687" s="28"/>
      <c r="G687" s="30"/>
      <c r="H687" s="30"/>
      <c r="I687" s="29"/>
      <c r="J687" s="30"/>
      <c r="K687" s="31"/>
      <c r="L687" s="32"/>
      <c r="M687" s="126"/>
      <c r="N687" s="32"/>
      <c r="O687" s="32"/>
      <c r="P687" s="37"/>
      <c r="Q687" s="37"/>
      <c r="R687" s="37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8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</row>
    <row r="688" ht="15.75" customHeight="1">
      <c r="A688" s="48"/>
      <c r="B688" s="32"/>
      <c r="C688" s="29"/>
      <c r="D688" s="26"/>
      <c r="E688" s="67"/>
      <c r="F688" s="28"/>
      <c r="G688" s="30"/>
      <c r="H688" s="30"/>
      <c r="I688" s="29"/>
      <c r="J688" s="30"/>
      <c r="K688" s="31"/>
      <c r="L688" s="32"/>
      <c r="M688" s="126"/>
      <c r="N688" s="32"/>
      <c r="O688" s="32"/>
      <c r="P688" s="37"/>
      <c r="Q688" s="37"/>
      <c r="R688" s="37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8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</row>
    <row r="689" ht="15.75" customHeight="1">
      <c r="A689" s="48"/>
      <c r="B689" s="32"/>
      <c r="C689" s="29"/>
      <c r="D689" s="26"/>
      <c r="E689" s="67"/>
      <c r="F689" s="28"/>
      <c r="G689" s="30"/>
      <c r="H689" s="30"/>
      <c r="I689" s="29"/>
      <c r="J689" s="30"/>
      <c r="K689" s="31"/>
      <c r="L689" s="32"/>
      <c r="M689" s="126"/>
      <c r="N689" s="32"/>
      <c r="O689" s="32"/>
      <c r="P689" s="37"/>
      <c r="Q689" s="37"/>
      <c r="R689" s="37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8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</row>
    <row r="690" ht="15.75" customHeight="1">
      <c r="A690" s="48"/>
      <c r="B690" s="32"/>
      <c r="C690" s="29"/>
      <c r="D690" s="26"/>
      <c r="E690" s="67"/>
      <c r="F690" s="28"/>
      <c r="G690" s="30"/>
      <c r="H690" s="30"/>
      <c r="I690" s="29"/>
      <c r="J690" s="30"/>
      <c r="K690" s="31"/>
      <c r="L690" s="32"/>
      <c r="M690" s="126"/>
      <c r="N690" s="32"/>
      <c r="O690" s="32"/>
      <c r="P690" s="37"/>
      <c r="Q690" s="37"/>
      <c r="R690" s="37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8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</row>
    <row r="691" ht="15.75" customHeight="1">
      <c r="A691" s="48"/>
      <c r="B691" s="32"/>
      <c r="C691" s="29"/>
      <c r="D691" s="26"/>
      <c r="E691" s="67"/>
      <c r="F691" s="28"/>
      <c r="G691" s="30"/>
      <c r="H691" s="30"/>
      <c r="I691" s="29"/>
      <c r="J691" s="30"/>
      <c r="K691" s="31"/>
      <c r="L691" s="32"/>
      <c r="M691" s="126"/>
      <c r="N691" s="32"/>
      <c r="O691" s="32"/>
      <c r="P691" s="37"/>
      <c r="Q691" s="37"/>
      <c r="R691" s="37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8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</row>
    <row r="692" ht="15.75" customHeight="1">
      <c r="A692" s="48"/>
      <c r="B692" s="32"/>
      <c r="C692" s="29"/>
      <c r="D692" s="26"/>
      <c r="E692" s="67"/>
      <c r="F692" s="28"/>
      <c r="G692" s="30"/>
      <c r="H692" s="30"/>
      <c r="I692" s="29"/>
      <c r="J692" s="30"/>
      <c r="K692" s="31"/>
      <c r="L692" s="32"/>
      <c r="M692" s="126"/>
      <c r="N692" s="32"/>
      <c r="O692" s="32"/>
      <c r="P692" s="37"/>
      <c r="Q692" s="37"/>
      <c r="R692" s="37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8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</row>
    <row r="693" ht="15.75" customHeight="1">
      <c r="A693" s="48"/>
      <c r="B693" s="32"/>
      <c r="C693" s="29"/>
      <c r="D693" s="26"/>
      <c r="E693" s="67"/>
      <c r="F693" s="28"/>
      <c r="G693" s="30"/>
      <c r="H693" s="30"/>
      <c r="I693" s="29"/>
      <c r="J693" s="30"/>
      <c r="K693" s="31"/>
      <c r="L693" s="32"/>
      <c r="M693" s="126"/>
      <c r="N693" s="32"/>
      <c r="O693" s="32"/>
      <c r="P693" s="37"/>
      <c r="Q693" s="37"/>
      <c r="R693" s="37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8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</row>
    <row r="694" ht="15.75" customHeight="1">
      <c r="A694" s="48"/>
      <c r="B694" s="32"/>
      <c r="C694" s="29"/>
      <c r="D694" s="26"/>
      <c r="E694" s="67"/>
      <c r="F694" s="28"/>
      <c r="G694" s="30"/>
      <c r="H694" s="30"/>
      <c r="I694" s="29"/>
      <c r="J694" s="30"/>
      <c r="K694" s="31"/>
      <c r="L694" s="32"/>
      <c r="M694" s="126"/>
      <c r="N694" s="32"/>
      <c r="O694" s="32"/>
      <c r="P694" s="37"/>
      <c r="Q694" s="37"/>
      <c r="R694" s="37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8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</row>
    <row r="695" ht="15.75" customHeight="1">
      <c r="A695" s="48"/>
      <c r="B695" s="32"/>
      <c r="C695" s="29"/>
      <c r="D695" s="26"/>
      <c r="E695" s="67"/>
      <c r="F695" s="28"/>
      <c r="G695" s="30"/>
      <c r="H695" s="30"/>
      <c r="I695" s="29"/>
      <c r="J695" s="30"/>
      <c r="K695" s="31"/>
      <c r="L695" s="32"/>
      <c r="M695" s="126"/>
      <c r="N695" s="32"/>
      <c r="O695" s="32"/>
      <c r="P695" s="37"/>
      <c r="Q695" s="37"/>
      <c r="R695" s="37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8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</row>
    <row r="696" ht="15.75" customHeight="1">
      <c r="A696" s="48"/>
      <c r="B696" s="32"/>
      <c r="C696" s="29"/>
      <c r="D696" s="26"/>
      <c r="E696" s="67"/>
      <c r="F696" s="28"/>
      <c r="G696" s="30"/>
      <c r="H696" s="30"/>
      <c r="I696" s="29"/>
      <c r="J696" s="30"/>
      <c r="K696" s="31"/>
      <c r="L696" s="32"/>
      <c r="M696" s="126"/>
      <c r="N696" s="32"/>
      <c r="O696" s="32"/>
      <c r="P696" s="37"/>
      <c r="Q696" s="37"/>
      <c r="R696" s="37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8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</row>
    <row r="697" ht="15.75" customHeight="1">
      <c r="A697" s="48"/>
      <c r="B697" s="32"/>
      <c r="C697" s="29"/>
      <c r="D697" s="26"/>
      <c r="E697" s="67"/>
      <c r="F697" s="28"/>
      <c r="G697" s="30"/>
      <c r="H697" s="30"/>
      <c r="I697" s="29"/>
      <c r="J697" s="30"/>
      <c r="K697" s="31"/>
      <c r="L697" s="32"/>
      <c r="M697" s="126"/>
      <c r="N697" s="32"/>
      <c r="O697" s="32"/>
      <c r="P697" s="37"/>
      <c r="Q697" s="37"/>
      <c r="R697" s="37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8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</row>
    <row r="698" ht="15.75" customHeight="1">
      <c r="A698" s="48"/>
      <c r="B698" s="32"/>
      <c r="C698" s="29"/>
      <c r="D698" s="26"/>
      <c r="E698" s="67"/>
      <c r="F698" s="28"/>
      <c r="G698" s="30"/>
      <c r="H698" s="30"/>
      <c r="I698" s="29"/>
      <c r="J698" s="30"/>
      <c r="K698" s="31"/>
      <c r="L698" s="32"/>
      <c r="M698" s="126"/>
      <c r="N698" s="32"/>
      <c r="O698" s="32"/>
      <c r="P698" s="37"/>
      <c r="Q698" s="37"/>
      <c r="R698" s="37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8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</row>
    <row r="699" ht="15.75" customHeight="1">
      <c r="A699" s="48"/>
      <c r="B699" s="32"/>
      <c r="C699" s="29"/>
      <c r="D699" s="26"/>
      <c r="E699" s="67"/>
      <c r="F699" s="28"/>
      <c r="G699" s="30"/>
      <c r="H699" s="30"/>
      <c r="I699" s="29"/>
      <c r="J699" s="30"/>
      <c r="K699" s="31"/>
      <c r="L699" s="32"/>
      <c r="M699" s="126"/>
      <c r="N699" s="32"/>
      <c r="O699" s="32"/>
      <c r="P699" s="37"/>
      <c r="Q699" s="37"/>
      <c r="R699" s="37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8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</row>
    <row r="700" ht="15.75" customHeight="1">
      <c r="A700" s="48"/>
      <c r="B700" s="32"/>
      <c r="C700" s="29"/>
      <c r="D700" s="26"/>
      <c r="E700" s="67"/>
      <c r="F700" s="28"/>
      <c r="G700" s="30"/>
      <c r="H700" s="30"/>
      <c r="I700" s="29"/>
      <c r="J700" s="30"/>
      <c r="K700" s="31"/>
      <c r="L700" s="32"/>
      <c r="M700" s="126"/>
      <c r="N700" s="32"/>
      <c r="O700" s="32"/>
      <c r="P700" s="37"/>
      <c r="Q700" s="37"/>
      <c r="R700" s="37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8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</row>
    <row r="701" ht="15.75" customHeight="1">
      <c r="A701" s="48"/>
      <c r="B701" s="32"/>
      <c r="C701" s="29"/>
      <c r="D701" s="26"/>
      <c r="E701" s="67"/>
      <c r="F701" s="28"/>
      <c r="G701" s="30"/>
      <c r="H701" s="30"/>
      <c r="I701" s="29"/>
      <c r="J701" s="30"/>
      <c r="K701" s="31"/>
      <c r="L701" s="32"/>
      <c r="M701" s="126"/>
      <c r="N701" s="32"/>
      <c r="O701" s="32"/>
      <c r="P701" s="37"/>
      <c r="Q701" s="37"/>
      <c r="R701" s="37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8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</row>
    <row r="702" ht="15.75" customHeight="1">
      <c r="A702" s="48"/>
      <c r="B702" s="32"/>
      <c r="C702" s="29"/>
      <c r="D702" s="26"/>
      <c r="E702" s="67"/>
      <c r="F702" s="28"/>
      <c r="G702" s="30"/>
      <c r="H702" s="30"/>
      <c r="I702" s="29"/>
      <c r="J702" s="30"/>
      <c r="K702" s="31"/>
      <c r="L702" s="32"/>
      <c r="M702" s="126"/>
      <c r="N702" s="32"/>
      <c r="O702" s="32"/>
      <c r="P702" s="37"/>
      <c r="Q702" s="37"/>
      <c r="R702" s="37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8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</row>
    <row r="703" ht="15.75" customHeight="1">
      <c r="A703" s="48"/>
      <c r="B703" s="32"/>
      <c r="C703" s="29"/>
      <c r="D703" s="26"/>
      <c r="E703" s="67"/>
      <c r="F703" s="28"/>
      <c r="G703" s="30"/>
      <c r="H703" s="30"/>
      <c r="I703" s="29"/>
      <c r="J703" s="30"/>
      <c r="K703" s="31"/>
      <c r="L703" s="32"/>
      <c r="M703" s="126"/>
      <c r="N703" s="32"/>
      <c r="O703" s="32"/>
      <c r="P703" s="37"/>
      <c r="Q703" s="37"/>
      <c r="R703" s="37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8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</row>
    <row r="704" ht="15.75" customHeight="1">
      <c r="A704" s="48"/>
      <c r="B704" s="32"/>
      <c r="C704" s="29"/>
      <c r="D704" s="26"/>
      <c r="E704" s="67"/>
      <c r="F704" s="28"/>
      <c r="G704" s="30"/>
      <c r="H704" s="30"/>
      <c r="I704" s="29"/>
      <c r="J704" s="30"/>
      <c r="K704" s="31"/>
      <c r="L704" s="32"/>
      <c r="M704" s="126"/>
      <c r="N704" s="32"/>
      <c r="O704" s="32"/>
      <c r="P704" s="37"/>
      <c r="Q704" s="37"/>
      <c r="R704" s="37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8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</row>
    <row r="705" ht="15.75" customHeight="1">
      <c r="A705" s="48"/>
      <c r="B705" s="32"/>
      <c r="C705" s="29"/>
      <c r="D705" s="26"/>
      <c r="E705" s="67"/>
      <c r="F705" s="28"/>
      <c r="G705" s="30"/>
      <c r="H705" s="30"/>
      <c r="I705" s="29"/>
      <c r="J705" s="30"/>
      <c r="K705" s="31"/>
      <c r="L705" s="32"/>
      <c r="M705" s="126"/>
      <c r="N705" s="32"/>
      <c r="O705" s="32"/>
      <c r="P705" s="37"/>
      <c r="Q705" s="37"/>
      <c r="R705" s="37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8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</row>
    <row r="706" ht="15.75" customHeight="1">
      <c r="A706" s="48"/>
      <c r="B706" s="32"/>
      <c r="C706" s="29"/>
      <c r="D706" s="26"/>
      <c r="E706" s="67"/>
      <c r="F706" s="28"/>
      <c r="G706" s="30"/>
      <c r="H706" s="30"/>
      <c r="I706" s="29"/>
      <c r="J706" s="30"/>
      <c r="K706" s="31"/>
      <c r="L706" s="32"/>
      <c r="M706" s="126"/>
      <c r="N706" s="32"/>
      <c r="O706" s="32"/>
      <c r="P706" s="37"/>
      <c r="Q706" s="37"/>
      <c r="R706" s="37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8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</row>
    <row r="707" ht="15.75" customHeight="1">
      <c r="A707" s="48"/>
      <c r="B707" s="32"/>
      <c r="C707" s="29"/>
      <c r="D707" s="26"/>
      <c r="E707" s="67"/>
      <c r="F707" s="28"/>
      <c r="G707" s="30"/>
      <c r="H707" s="30"/>
      <c r="I707" s="29"/>
      <c r="J707" s="30"/>
      <c r="K707" s="31"/>
      <c r="L707" s="32"/>
      <c r="M707" s="126"/>
      <c r="N707" s="32"/>
      <c r="O707" s="32"/>
      <c r="P707" s="37"/>
      <c r="Q707" s="37"/>
      <c r="R707" s="37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8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</row>
    <row r="708" ht="15.75" customHeight="1">
      <c r="A708" s="48"/>
      <c r="B708" s="32"/>
      <c r="C708" s="29"/>
      <c r="D708" s="26"/>
      <c r="E708" s="67"/>
      <c r="F708" s="28"/>
      <c r="G708" s="30"/>
      <c r="H708" s="30"/>
      <c r="I708" s="29"/>
      <c r="J708" s="30"/>
      <c r="K708" s="31"/>
      <c r="L708" s="32"/>
      <c r="M708" s="126"/>
      <c r="N708" s="32"/>
      <c r="O708" s="32"/>
      <c r="P708" s="37"/>
      <c r="Q708" s="37"/>
      <c r="R708" s="37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8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</row>
    <row r="709" ht="15.75" customHeight="1">
      <c r="A709" s="48"/>
      <c r="B709" s="32"/>
      <c r="C709" s="29"/>
      <c r="D709" s="26"/>
      <c r="E709" s="67"/>
      <c r="F709" s="28"/>
      <c r="G709" s="30"/>
      <c r="H709" s="30"/>
      <c r="I709" s="29"/>
      <c r="J709" s="30"/>
      <c r="K709" s="31"/>
      <c r="L709" s="32"/>
      <c r="M709" s="126"/>
      <c r="N709" s="32"/>
      <c r="O709" s="32"/>
      <c r="P709" s="37"/>
      <c r="Q709" s="37"/>
      <c r="R709" s="37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8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</row>
    <row r="710" ht="15.75" customHeight="1">
      <c r="A710" s="48"/>
      <c r="B710" s="32"/>
      <c r="C710" s="29"/>
      <c r="D710" s="26"/>
      <c r="E710" s="67"/>
      <c r="F710" s="28"/>
      <c r="G710" s="30"/>
      <c r="H710" s="30"/>
      <c r="I710" s="29"/>
      <c r="J710" s="30"/>
      <c r="K710" s="31"/>
      <c r="L710" s="32"/>
      <c r="M710" s="126"/>
      <c r="N710" s="32"/>
      <c r="O710" s="32"/>
      <c r="P710" s="37"/>
      <c r="Q710" s="37"/>
      <c r="R710" s="37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8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</row>
    <row r="711" ht="15.75" customHeight="1">
      <c r="A711" s="48"/>
      <c r="B711" s="32"/>
      <c r="C711" s="29"/>
      <c r="D711" s="26"/>
      <c r="E711" s="67"/>
      <c r="F711" s="28"/>
      <c r="G711" s="30"/>
      <c r="H711" s="30"/>
      <c r="I711" s="29"/>
      <c r="J711" s="30"/>
      <c r="K711" s="31"/>
      <c r="L711" s="32"/>
      <c r="M711" s="126"/>
      <c r="N711" s="32"/>
      <c r="O711" s="32"/>
      <c r="P711" s="37"/>
      <c r="Q711" s="37"/>
      <c r="R711" s="37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8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</row>
    <row r="712" ht="15.75" customHeight="1">
      <c r="A712" s="48"/>
      <c r="B712" s="32"/>
      <c r="C712" s="29"/>
      <c r="D712" s="26"/>
      <c r="E712" s="67"/>
      <c r="F712" s="28"/>
      <c r="G712" s="30"/>
      <c r="H712" s="30"/>
      <c r="I712" s="29"/>
      <c r="J712" s="30"/>
      <c r="K712" s="31"/>
      <c r="L712" s="32"/>
      <c r="M712" s="126"/>
      <c r="N712" s="32"/>
      <c r="O712" s="32"/>
      <c r="P712" s="37"/>
      <c r="Q712" s="37"/>
      <c r="R712" s="37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8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</row>
    <row r="713" ht="15.75" customHeight="1">
      <c r="A713" s="48"/>
      <c r="B713" s="32"/>
      <c r="C713" s="29"/>
      <c r="D713" s="26"/>
      <c r="E713" s="67"/>
      <c r="F713" s="28"/>
      <c r="G713" s="30"/>
      <c r="H713" s="30"/>
      <c r="I713" s="29"/>
      <c r="J713" s="30"/>
      <c r="K713" s="31"/>
      <c r="L713" s="32"/>
      <c r="M713" s="126"/>
      <c r="N713" s="32"/>
      <c r="O713" s="32"/>
      <c r="P713" s="37"/>
      <c r="Q713" s="37"/>
      <c r="R713" s="37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8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</row>
    <row r="714" ht="15.75" customHeight="1">
      <c r="A714" s="48"/>
      <c r="B714" s="32"/>
      <c r="C714" s="29"/>
      <c r="D714" s="26"/>
      <c r="E714" s="67"/>
      <c r="F714" s="28"/>
      <c r="G714" s="30"/>
      <c r="H714" s="30"/>
      <c r="I714" s="29"/>
      <c r="J714" s="30"/>
      <c r="K714" s="31"/>
      <c r="L714" s="32"/>
      <c r="M714" s="126"/>
      <c r="N714" s="32"/>
      <c r="O714" s="32"/>
      <c r="P714" s="37"/>
      <c r="Q714" s="37"/>
      <c r="R714" s="37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8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</row>
    <row r="715" ht="15.75" customHeight="1">
      <c r="A715" s="48"/>
      <c r="B715" s="32"/>
      <c r="C715" s="29"/>
      <c r="D715" s="26"/>
      <c r="E715" s="67"/>
      <c r="F715" s="28"/>
      <c r="G715" s="30"/>
      <c r="H715" s="30"/>
      <c r="I715" s="29"/>
      <c r="J715" s="30"/>
      <c r="K715" s="31"/>
      <c r="L715" s="32"/>
      <c r="M715" s="126"/>
      <c r="N715" s="32"/>
      <c r="O715" s="32"/>
      <c r="P715" s="37"/>
      <c r="Q715" s="37"/>
      <c r="R715" s="37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8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</row>
    <row r="716" ht="15.75" customHeight="1">
      <c r="A716" s="48"/>
      <c r="B716" s="32"/>
      <c r="C716" s="29"/>
      <c r="D716" s="26"/>
      <c r="E716" s="67"/>
      <c r="F716" s="28"/>
      <c r="G716" s="30"/>
      <c r="H716" s="30"/>
      <c r="I716" s="29"/>
      <c r="J716" s="30"/>
      <c r="K716" s="31"/>
      <c r="L716" s="32"/>
      <c r="M716" s="126"/>
      <c r="N716" s="32"/>
      <c r="O716" s="32"/>
      <c r="P716" s="37"/>
      <c r="Q716" s="37"/>
      <c r="R716" s="37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8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</row>
    <row r="717" ht="15.75" customHeight="1">
      <c r="A717" s="48"/>
      <c r="B717" s="32"/>
      <c r="C717" s="29"/>
      <c r="D717" s="26"/>
      <c r="E717" s="67"/>
      <c r="F717" s="28"/>
      <c r="G717" s="30"/>
      <c r="H717" s="30"/>
      <c r="I717" s="29"/>
      <c r="J717" s="30"/>
      <c r="K717" s="31"/>
      <c r="L717" s="32"/>
      <c r="M717" s="126"/>
      <c r="N717" s="32"/>
      <c r="O717" s="32"/>
      <c r="P717" s="37"/>
      <c r="Q717" s="37"/>
      <c r="R717" s="37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8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</row>
    <row r="718" ht="15.75" customHeight="1">
      <c r="A718" s="48"/>
      <c r="B718" s="32"/>
      <c r="C718" s="29"/>
      <c r="D718" s="26"/>
      <c r="E718" s="67"/>
      <c r="F718" s="28"/>
      <c r="G718" s="30"/>
      <c r="H718" s="30"/>
      <c r="I718" s="29"/>
      <c r="J718" s="30"/>
      <c r="K718" s="31"/>
      <c r="L718" s="32"/>
      <c r="M718" s="126"/>
      <c r="N718" s="32"/>
      <c r="O718" s="32"/>
      <c r="P718" s="37"/>
      <c r="Q718" s="37"/>
      <c r="R718" s="37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8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</row>
    <row r="719" ht="15.75" customHeight="1">
      <c r="A719" s="48"/>
      <c r="B719" s="32"/>
      <c r="C719" s="29"/>
      <c r="D719" s="26"/>
      <c r="E719" s="67"/>
      <c r="F719" s="28"/>
      <c r="G719" s="30"/>
      <c r="H719" s="30"/>
      <c r="I719" s="29"/>
      <c r="J719" s="30"/>
      <c r="K719" s="31"/>
      <c r="L719" s="32"/>
      <c r="M719" s="126"/>
      <c r="N719" s="32"/>
      <c r="O719" s="32"/>
      <c r="P719" s="37"/>
      <c r="Q719" s="37"/>
      <c r="R719" s="37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8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</row>
    <row r="720" ht="15.75" customHeight="1">
      <c r="A720" s="48"/>
      <c r="B720" s="32"/>
      <c r="C720" s="29"/>
      <c r="D720" s="26"/>
      <c r="E720" s="67"/>
      <c r="F720" s="28"/>
      <c r="G720" s="30"/>
      <c r="H720" s="30"/>
      <c r="I720" s="29"/>
      <c r="J720" s="30"/>
      <c r="K720" s="31"/>
      <c r="L720" s="32"/>
      <c r="M720" s="126"/>
      <c r="N720" s="32"/>
      <c r="O720" s="32"/>
      <c r="P720" s="37"/>
      <c r="Q720" s="37"/>
      <c r="R720" s="37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8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</row>
    <row r="721" ht="15.75" customHeight="1">
      <c r="A721" s="48"/>
      <c r="B721" s="32"/>
      <c r="C721" s="29"/>
      <c r="D721" s="26"/>
      <c r="E721" s="67"/>
      <c r="F721" s="28"/>
      <c r="G721" s="30"/>
      <c r="H721" s="30"/>
      <c r="I721" s="29"/>
      <c r="J721" s="30"/>
      <c r="K721" s="31"/>
      <c r="L721" s="32"/>
      <c r="M721" s="126"/>
      <c r="N721" s="32"/>
      <c r="O721" s="32"/>
      <c r="P721" s="37"/>
      <c r="Q721" s="37"/>
      <c r="R721" s="37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8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</row>
    <row r="722" ht="15.75" customHeight="1">
      <c r="A722" s="48"/>
      <c r="B722" s="32"/>
      <c r="C722" s="29"/>
      <c r="D722" s="26"/>
      <c r="E722" s="67"/>
      <c r="F722" s="28"/>
      <c r="G722" s="30"/>
      <c r="H722" s="30"/>
      <c r="I722" s="29"/>
      <c r="J722" s="30"/>
      <c r="K722" s="31"/>
      <c r="L722" s="32"/>
      <c r="M722" s="126"/>
      <c r="N722" s="32"/>
      <c r="O722" s="32"/>
      <c r="P722" s="37"/>
      <c r="Q722" s="37"/>
      <c r="R722" s="37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8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</row>
    <row r="723" ht="15.75" customHeight="1">
      <c r="A723" s="48"/>
      <c r="B723" s="32"/>
      <c r="C723" s="29"/>
      <c r="D723" s="26"/>
      <c r="E723" s="67"/>
      <c r="F723" s="28"/>
      <c r="G723" s="30"/>
      <c r="H723" s="30"/>
      <c r="I723" s="29"/>
      <c r="J723" s="30"/>
      <c r="K723" s="31"/>
      <c r="L723" s="32"/>
      <c r="M723" s="126"/>
      <c r="N723" s="32"/>
      <c r="O723" s="32"/>
      <c r="P723" s="37"/>
      <c r="Q723" s="37"/>
      <c r="R723" s="37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8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</row>
    <row r="724" ht="15.75" customHeight="1">
      <c r="A724" s="48"/>
      <c r="B724" s="32"/>
      <c r="C724" s="29"/>
      <c r="D724" s="26"/>
      <c r="E724" s="67"/>
      <c r="F724" s="28"/>
      <c r="G724" s="30"/>
      <c r="H724" s="30"/>
      <c r="I724" s="29"/>
      <c r="J724" s="30"/>
      <c r="K724" s="31"/>
      <c r="L724" s="32"/>
      <c r="M724" s="126"/>
      <c r="N724" s="32"/>
      <c r="O724" s="32"/>
      <c r="P724" s="37"/>
      <c r="Q724" s="37"/>
      <c r="R724" s="37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8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</row>
    <row r="725" ht="15.75" customHeight="1">
      <c r="A725" s="48"/>
      <c r="B725" s="32"/>
      <c r="C725" s="29"/>
      <c r="D725" s="26"/>
      <c r="E725" s="67"/>
      <c r="F725" s="28"/>
      <c r="G725" s="30"/>
      <c r="H725" s="30"/>
      <c r="I725" s="29"/>
      <c r="J725" s="30"/>
      <c r="K725" s="31"/>
      <c r="L725" s="32"/>
      <c r="M725" s="126"/>
      <c r="N725" s="32"/>
      <c r="O725" s="32"/>
      <c r="P725" s="37"/>
      <c r="Q725" s="37"/>
      <c r="R725" s="37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8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</row>
    <row r="726" ht="15.75" customHeight="1">
      <c r="A726" s="48"/>
      <c r="B726" s="32"/>
      <c r="C726" s="29"/>
      <c r="D726" s="26"/>
      <c r="E726" s="67"/>
      <c r="F726" s="28"/>
      <c r="G726" s="30"/>
      <c r="H726" s="30"/>
      <c r="I726" s="29"/>
      <c r="J726" s="30"/>
      <c r="K726" s="31"/>
      <c r="L726" s="32"/>
      <c r="M726" s="126"/>
      <c r="N726" s="32"/>
      <c r="O726" s="32"/>
      <c r="P726" s="37"/>
      <c r="Q726" s="37"/>
      <c r="R726" s="37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8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</row>
    <row r="727" ht="15.75" customHeight="1">
      <c r="A727" s="48"/>
      <c r="B727" s="32"/>
      <c r="C727" s="29"/>
      <c r="D727" s="26"/>
      <c r="E727" s="67"/>
      <c r="F727" s="28"/>
      <c r="G727" s="30"/>
      <c r="H727" s="30"/>
      <c r="I727" s="29"/>
      <c r="J727" s="30"/>
      <c r="K727" s="31"/>
      <c r="L727" s="32"/>
      <c r="M727" s="126"/>
      <c r="N727" s="32"/>
      <c r="O727" s="32"/>
      <c r="P727" s="37"/>
      <c r="Q727" s="37"/>
      <c r="R727" s="37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8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</row>
    <row r="728" ht="15.75" customHeight="1">
      <c r="A728" s="48"/>
      <c r="B728" s="32"/>
      <c r="C728" s="29"/>
      <c r="D728" s="26"/>
      <c r="E728" s="67"/>
      <c r="F728" s="28"/>
      <c r="G728" s="30"/>
      <c r="H728" s="30"/>
      <c r="I728" s="29"/>
      <c r="J728" s="30"/>
      <c r="K728" s="31"/>
      <c r="L728" s="32"/>
      <c r="M728" s="126"/>
      <c r="N728" s="32"/>
      <c r="O728" s="32"/>
      <c r="P728" s="37"/>
      <c r="Q728" s="37"/>
      <c r="R728" s="37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8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</row>
    <row r="729" ht="15.75" customHeight="1">
      <c r="A729" s="48"/>
      <c r="B729" s="32"/>
      <c r="C729" s="29"/>
      <c r="D729" s="26"/>
      <c r="E729" s="67"/>
      <c r="F729" s="28"/>
      <c r="G729" s="30"/>
      <c r="H729" s="30"/>
      <c r="I729" s="29"/>
      <c r="J729" s="30"/>
      <c r="K729" s="31"/>
      <c r="L729" s="32"/>
      <c r="M729" s="126"/>
      <c r="N729" s="32"/>
      <c r="O729" s="32"/>
      <c r="P729" s="37"/>
      <c r="Q729" s="37"/>
      <c r="R729" s="37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8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</row>
    <row r="730" ht="15.75" customHeight="1">
      <c r="A730" s="48"/>
      <c r="B730" s="32"/>
      <c r="C730" s="29"/>
      <c r="D730" s="26"/>
      <c r="E730" s="67"/>
      <c r="F730" s="28"/>
      <c r="G730" s="30"/>
      <c r="H730" s="30"/>
      <c r="I730" s="29"/>
      <c r="J730" s="30"/>
      <c r="K730" s="31"/>
      <c r="L730" s="32"/>
      <c r="M730" s="126"/>
      <c r="N730" s="32"/>
      <c r="O730" s="32"/>
      <c r="P730" s="37"/>
      <c r="Q730" s="37"/>
      <c r="R730" s="37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8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</row>
    <row r="731" ht="15.75" customHeight="1">
      <c r="A731" s="48"/>
      <c r="B731" s="32"/>
      <c r="C731" s="29"/>
      <c r="D731" s="26"/>
      <c r="E731" s="67"/>
      <c r="F731" s="28"/>
      <c r="G731" s="30"/>
      <c r="H731" s="30"/>
      <c r="I731" s="29"/>
      <c r="J731" s="30"/>
      <c r="K731" s="31"/>
      <c r="L731" s="32"/>
      <c r="M731" s="126"/>
      <c r="N731" s="32"/>
      <c r="O731" s="32"/>
      <c r="P731" s="37"/>
      <c r="Q731" s="37"/>
      <c r="R731" s="37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8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</row>
    <row r="732" ht="15.75" customHeight="1">
      <c r="A732" s="48"/>
      <c r="B732" s="32"/>
      <c r="C732" s="29"/>
      <c r="D732" s="26"/>
      <c r="E732" s="67"/>
      <c r="F732" s="28"/>
      <c r="G732" s="30"/>
      <c r="H732" s="30"/>
      <c r="I732" s="29"/>
      <c r="J732" s="30"/>
      <c r="K732" s="31"/>
      <c r="L732" s="32"/>
      <c r="M732" s="126"/>
      <c r="N732" s="32"/>
      <c r="O732" s="32"/>
      <c r="P732" s="37"/>
      <c r="Q732" s="37"/>
      <c r="R732" s="37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8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</row>
    <row r="733" ht="15.75" customHeight="1">
      <c r="A733" s="48"/>
      <c r="B733" s="32"/>
      <c r="C733" s="29"/>
      <c r="D733" s="26"/>
      <c r="E733" s="67"/>
      <c r="F733" s="28"/>
      <c r="G733" s="30"/>
      <c r="H733" s="30"/>
      <c r="I733" s="29"/>
      <c r="J733" s="30"/>
      <c r="K733" s="31"/>
      <c r="L733" s="32"/>
      <c r="M733" s="126"/>
      <c r="N733" s="32"/>
      <c r="O733" s="32"/>
      <c r="P733" s="37"/>
      <c r="Q733" s="37"/>
      <c r="R733" s="37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8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</row>
    <row r="734" ht="15.75" customHeight="1">
      <c r="A734" s="48"/>
      <c r="B734" s="32"/>
      <c r="C734" s="29"/>
      <c r="D734" s="26"/>
      <c r="E734" s="67"/>
      <c r="F734" s="28"/>
      <c r="G734" s="30"/>
      <c r="H734" s="30"/>
      <c r="I734" s="29"/>
      <c r="J734" s="30"/>
      <c r="K734" s="31"/>
      <c r="L734" s="32"/>
      <c r="M734" s="126"/>
      <c r="N734" s="32"/>
      <c r="O734" s="32"/>
      <c r="P734" s="37"/>
      <c r="Q734" s="37"/>
      <c r="R734" s="37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8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</row>
    <row r="735" ht="15.75" customHeight="1">
      <c r="A735" s="48"/>
      <c r="B735" s="32"/>
      <c r="C735" s="29"/>
      <c r="D735" s="26"/>
      <c r="E735" s="67"/>
      <c r="F735" s="28"/>
      <c r="G735" s="30"/>
      <c r="H735" s="30"/>
      <c r="I735" s="29"/>
      <c r="J735" s="30"/>
      <c r="K735" s="31"/>
      <c r="L735" s="32"/>
      <c r="M735" s="126"/>
      <c r="N735" s="32"/>
      <c r="O735" s="32"/>
      <c r="P735" s="37"/>
      <c r="Q735" s="37"/>
      <c r="R735" s="37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8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</row>
    <row r="736" ht="15.75" customHeight="1">
      <c r="A736" s="48"/>
      <c r="B736" s="32"/>
      <c r="C736" s="29"/>
      <c r="D736" s="26"/>
      <c r="E736" s="67"/>
      <c r="F736" s="28"/>
      <c r="G736" s="30"/>
      <c r="H736" s="30"/>
      <c r="I736" s="29"/>
      <c r="J736" s="30"/>
      <c r="K736" s="31"/>
      <c r="L736" s="32"/>
      <c r="M736" s="126"/>
      <c r="N736" s="32"/>
      <c r="O736" s="32"/>
      <c r="P736" s="37"/>
      <c r="Q736" s="37"/>
      <c r="R736" s="37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8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</row>
    <row r="737" ht="15.75" customHeight="1">
      <c r="A737" s="48"/>
      <c r="B737" s="32"/>
      <c r="C737" s="29"/>
      <c r="D737" s="26"/>
      <c r="E737" s="67"/>
      <c r="F737" s="28"/>
      <c r="G737" s="30"/>
      <c r="H737" s="30"/>
      <c r="I737" s="29"/>
      <c r="J737" s="30"/>
      <c r="K737" s="31"/>
      <c r="L737" s="32"/>
      <c r="M737" s="126"/>
      <c r="N737" s="32"/>
      <c r="O737" s="32"/>
      <c r="P737" s="37"/>
      <c r="Q737" s="37"/>
      <c r="R737" s="37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8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</row>
    <row r="738" ht="15.75" customHeight="1">
      <c r="A738" s="48"/>
      <c r="B738" s="32"/>
      <c r="C738" s="29"/>
      <c r="D738" s="26"/>
      <c r="E738" s="67"/>
      <c r="F738" s="28"/>
      <c r="G738" s="30"/>
      <c r="H738" s="30"/>
      <c r="I738" s="29"/>
      <c r="J738" s="30"/>
      <c r="K738" s="31"/>
      <c r="L738" s="32"/>
      <c r="M738" s="126"/>
      <c r="N738" s="32"/>
      <c r="O738" s="32"/>
      <c r="P738" s="37"/>
      <c r="Q738" s="37"/>
      <c r="R738" s="37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8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</row>
    <row r="739" ht="15.75" customHeight="1">
      <c r="A739" s="48"/>
      <c r="B739" s="32"/>
      <c r="C739" s="29"/>
      <c r="D739" s="26"/>
      <c r="E739" s="67"/>
      <c r="F739" s="28"/>
      <c r="G739" s="30"/>
      <c r="H739" s="30"/>
      <c r="I739" s="29"/>
      <c r="J739" s="30"/>
      <c r="K739" s="31"/>
      <c r="L739" s="32"/>
      <c r="M739" s="126"/>
      <c r="N739" s="32"/>
      <c r="O739" s="32"/>
      <c r="P739" s="37"/>
      <c r="Q739" s="37"/>
      <c r="R739" s="37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8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</row>
    <row r="740" ht="15.75" customHeight="1">
      <c r="A740" s="48"/>
      <c r="B740" s="32"/>
      <c r="C740" s="29"/>
      <c r="D740" s="26"/>
      <c r="E740" s="67"/>
      <c r="F740" s="28"/>
      <c r="G740" s="30"/>
      <c r="H740" s="30"/>
      <c r="I740" s="29"/>
      <c r="J740" s="30"/>
      <c r="K740" s="31"/>
      <c r="L740" s="32"/>
      <c r="M740" s="126"/>
      <c r="N740" s="32"/>
      <c r="O740" s="32"/>
      <c r="P740" s="37"/>
      <c r="Q740" s="37"/>
      <c r="R740" s="37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8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</row>
    <row r="741" ht="15.75" customHeight="1">
      <c r="A741" s="48"/>
      <c r="B741" s="32"/>
      <c r="C741" s="29"/>
      <c r="D741" s="26"/>
      <c r="E741" s="67"/>
      <c r="F741" s="28"/>
      <c r="G741" s="30"/>
      <c r="H741" s="30"/>
      <c r="I741" s="29"/>
      <c r="J741" s="30"/>
      <c r="K741" s="31"/>
      <c r="L741" s="32"/>
      <c r="M741" s="126"/>
      <c r="N741" s="32"/>
      <c r="O741" s="32"/>
      <c r="P741" s="37"/>
      <c r="Q741" s="37"/>
      <c r="R741" s="37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8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</row>
    <row r="742" ht="15.75" customHeight="1">
      <c r="A742" s="48"/>
      <c r="B742" s="32"/>
      <c r="C742" s="29"/>
      <c r="D742" s="26"/>
      <c r="E742" s="67"/>
      <c r="F742" s="28"/>
      <c r="G742" s="30"/>
      <c r="H742" s="30"/>
      <c r="I742" s="29"/>
      <c r="J742" s="30"/>
      <c r="K742" s="31"/>
      <c r="L742" s="32"/>
      <c r="M742" s="126"/>
      <c r="N742" s="32"/>
      <c r="O742" s="32"/>
      <c r="P742" s="37"/>
      <c r="Q742" s="37"/>
      <c r="R742" s="37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8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</row>
    <row r="743" ht="15.75" customHeight="1">
      <c r="A743" s="48"/>
      <c r="B743" s="32"/>
      <c r="C743" s="29"/>
      <c r="D743" s="26"/>
      <c r="E743" s="67"/>
      <c r="F743" s="28"/>
      <c r="G743" s="30"/>
      <c r="H743" s="30"/>
      <c r="I743" s="29"/>
      <c r="J743" s="30"/>
      <c r="K743" s="31"/>
      <c r="L743" s="32"/>
      <c r="M743" s="126"/>
      <c r="N743" s="32"/>
      <c r="O743" s="32"/>
      <c r="P743" s="37"/>
      <c r="Q743" s="37"/>
      <c r="R743" s="37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8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</row>
    <row r="744" ht="15.75" customHeight="1">
      <c r="A744" s="48"/>
      <c r="B744" s="32"/>
      <c r="C744" s="29"/>
      <c r="D744" s="26"/>
      <c r="E744" s="67"/>
      <c r="F744" s="28"/>
      <c r="G744" s="30"/>
      <c r="H744" s="30"/>
      <c r="I744" s="29"/>
      <c r="J744" s="30"/>
      <c r="K744" s="31"/>
      <c r="L744" s="32"/>
      <c r="M744" s="126"/>
      <c r="N744" s="32"/>
      <c r="O744" s="32"/>
      <c r="P744" s="37"/>
      <c r="Q744" s="37"/>
      <c r="R744" s="37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8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</row>
    <row r="745" ht="15.75" customHeight="1">
      <c r="A745" s="48"/>
      <c r="B745" s="32"/>
      <c r="C745" s="29"/>
      <c r="D745" s="26"/>
      <c r="E745" s="67"/>
      <c r="F745" s="28"/>
      <c r="G745" s="30"/>
      <c r="H745" s="30"/>
      <c r="I745" s="29"/>
      <c r="J745" s="30"/>
      <c r="K745" s="31"/>
      <c r="L745" s="32"/>
      <c r="M745" s="126"/>
      <c r="N745" s="32"/>
      <c r="O745" s="32"/>
      <c r="P745" s="37"/>
      <c r="Q745" s="37"/>
      <c r="R745" s="37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8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</row>
    <row r="746" ht="15.75" customHeight="1">
      <c r="A746" s="48"/>
      <c r="B746" s="32"/>
      <c r="C746" s="29"/>
      <c r="D746" s="26"/>
      <c r="E746" s="67"/>
      <c r="F746" s="28"/>
      <c r="G746" s="30"/>
      <c r="H746" s="30"/>
      <c r="I746" s="29"/>
      <c r="J746" s="30"/>
      <c r="K746" s="31"/>
      <c r="L746" s="32"/>
      <c r="M746" s="126"/>
      <c r="N746" s="32"/>
      <c r="O746" s="32"/>
      <c r="P746" s="37"/>
      <c r="Q746" s="37"/>
      <c r="R746" s="37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8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</row>
    <row r="747" ht="15.75" customHeight="1">
      <c r="A747" s="48"/>
      <c r="B747" s="32"/>
      <c r="C747" s="29"/>
      <c r="D747" s="26"/>
      <c r="E747" s="67"/>
      <c r="F747" s="28"/>
      <c r="G747" s="30"/>
      <c r="H747" s="30"/>
      <c r="I747" s="29"/>
      <c r="J747" s="30"/>
      <c r="K747" s="31"/>
      <c r="L747" s="32"/>
      <c r="M747" s="126"/>
      <c r="N747" s="32"/>
      <c r="O747" s="32"/>
      <c r="P747" s="37"/>
      <c r="Q747" s="37"/>
      <c r="R747" s="37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8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</row>
    <row r="748" ht="15.75" customHeight="1">
      <c r="A748" s="48"/>
      <c r="B748" s="32"/>
      <c r="C748" s="29"/>
      <c r="D748" s="26"/>
      <c r="E748" s="67"/>
      <c r="F748" s="28"/>
      <c r="G748" s="30"/>
      <c r="H748" s="30"/>
      <c r="I748" s="29"/>
      <c r="J748" s="30"/>
      <c r="K748" s="31"/>
      <c r="L748" s="32"/>
      <c r="M748" s="126"/>
      <c r="N748" s="32"/>
      <c r="O748" s="32"/>
      <c r="P748" s="37"/>
      <c r="Q748" s="37"/>
      <c r="R748" s="37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8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</row>
    <row r="749" ht="15.75" customHeight="1">
      <c r="A749" s="48"/>
      <c r="B749" s="32"/>
      <c r="C749" s="29"/>
      <c r="D749" s="26"/>
      <c r="E749" s="67"/>
      <c r="F749" s="28"/>
      <c r="G749" s="30"/>
      <c r="H749" s="30"/>
      <c r="I749" s="29"/>
      <c r="J749" s="30"/>
      <c r="K749" s="31"/>
      <c r="L749" s="32"/>
      <c r="M749" s="126"/>
      <c r="N749" s="32"/>
      <c r="O749" s="32"/>
      <c r="P749" s="37"/>
      <c r="Q749" s="37"/>
      <c r="R749" s="37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8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</row>
    <row r="750" ht="15.75" customHeight="1">
      <c r="A750" s="48"/>
      <c r="B750" s="32"/>
      <c r="C750" s="29"/>
      <c r="D750" s="26"/>
      <c r="E750" s="67"/>
      <c r="F750" s="28"/>
      <c r="G750" s="30"/>
      <c r="H750" s="30"/>
      <c r="I750" s="29"/>
      <c r="J750" s="30"/>
      <c r="K750" s="31"/>
      <c r="L750" s="32"/>
      <c r="M750" s="126"/>
      <c r="N750" s="32"/>
      <c r="O750" s="32"/>
      <c r="P750" s="37"/>
      <c r="Q750" s="37"/>
      <c r="R750" s="37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8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</row>
    <row r="751" ht="15.75" customHeight="1">
      <c r="A751" s="48"/>
      <c r="B751" s="32"/>
      <c r="C751" s="29"/>
      <c r="D751" s="26"/>
      <c r="E751" s="67"/>
      <c r="F751" s="28"/>
      <c r="G751" s="30"/>
      <c r="H751" s="30"/>
      <c r="I751" s="29"/>
      <c r="J751" s="30"/>
      <c r="K751" s="31"/>
      <c r="L751" s="32"/>
      <c r="M751" s="126"/>
      <c r="N751" s="32"/>
      <c r="O751" s="32"/>
      <c r="P751" s="37"/>
      <c r="Q751" s="37"/>
      <c r="R751" s="37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8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</row>
    <row r="752" ht="15.75" customHeight="1">
      <c r="A752" s="48"/>
      <c r="B752" s="32"/>
      <c r="C752" s="29"/>
      <c r="D752" s="26"/>
      <c r="E752" s="67"/>
      <c r="F752" s="28"/>
      <c r="G752" s="30"/>
      <c r="H752" s="30"/>
      <c r="I752" s="29"/>
      <c r="J752" s="30"/>
      <c r="K752" s="31"/>
      <c r="L752" s="32"/>
      <c r="M752" s="126"/>
      <c r="N752" s="32"/>
      <c r="O752" s="32"/>
      <c r="P752" s="37"/>
      <c r="Q752" s="37"/>
      <c r="R752" s="37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8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</row>
    <row r="753" ht="15.75" customHeight="1">
      <c r="A753" s="48"/>
      <c r="B753" s="32"/>
      <c r="C753" s="29"/>
      <c r="D753" s="26"/>
      <c r="E753" s="67"/>
      <c r="F753" s="28"/>
      <c r="G753" s="30"/>
      <c r="H753" s="30"/>
      <c r="I753" s="29"/>
      <c r="J753" s="30"/>
      <c r="K753" s="31"/>
      <c r="L753" s="32"/>
      <c r="M753" s="126"/>
      <c r="N753" s="32"/>
      <c r="O753" s="32"/>
      <c r="P753" s="37"/>
      <c r="Q753" s="37"/>
      <c r="R753" s="37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8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</row>
    <row r="754" ht="15.75" customHeight="1">
      <c r="A754" s="48"/>
      <c r="B754" s="32"/>
      <c r="C754" s="29"/>
      <c r="D754" s="26"/>
      <c r="E754" s="67"/>
      <c r="F754" s="28"/>
      <c r="G754" s="30"/>
      <c r="H754" s="30"/>
      <c r="I754" s="29"/>
      <c r="J754" s="30"/>
      <c r="K754" s="31"/>
      <c r="L754" s="32"/>
      <c r="M754" s="126"/>
      <c r="N754" s="32"/>
      <c r="O754" s="32"/>
      <c r="P754" s="37"/>
      <c r="Q754" s="37"/>
      <c r="R754" s="37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8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</row>
    <row r="755" ht="15.75" customHeight="1">
      <c r="A755" s="48"/>
      <c r="B755" s="32"/>
      <c r="C755" s="29"/>
      <c r="D755" s="26"/>
      <c r="E755" s="67"/>
      <c r="F755" s="28"/>
      <c r="G755" s="30"/>
      <c r="H755" s="30"/>
      <c r="I755" s="29"/>
      <c r="J755" s="30"/>
      <c r="K755" s="31"/>
      <c r="L755" s="32"/>
      <c r="M755" s="126"/>
      <c r="N755" s="32"/>
      <c r="O755" s="32"/>
      <c r="P755" s="37"/>
      <c r="Q755" s="37"/>
      <c r="R755" s="37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8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</row>
    <row r="756" ht="15.75" customHeight="1">
      <c r="A756" s="48"/>
      <c r="B756" s="32"/>
      <c r="C756" s="29"/>
      <c r="D756" s="26"/>
      <c r="E756" s="67"/>
      <c r="F756" s="28"/>
      <c r="G756" s="30"/>
      <c r="H756" s="30"/>
      <c r="I756" s="29"/>
      <c r="J756" s="30"/>
      <c r="K756" s="31"/>
      <c r="L756" s="32"/>
      <c r="M756" s="126"/>
      <c r="N756" s="32"/>
      <c r="O756" s="32"/>
      <c r="P756" s="37"/>
      <c r="Q756" s="37"/>
      <c r="R756" s="37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8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</row>
    <row r="757" ht="15.75" customHeight="1">
      <c r="A757" s="48"/>
      <c r="B757" s="32"/>
      <c r="C757" s="29"/>
      <c r="D757" s="26"/>
      <c r="E757" s="67"/>
      <c r="F757" s="28"/>
      <c r="G757" s="30"/>
      <c r="H757" s="30"/>
      <c r="I757" s="29"/>
      <c r="J757" s="30"/>
      <c r="K757" s="31"/>
      <c r="L757" s="32"/>
      <c r="M757" s="126"/>
      <c r="N757" s="32"/>
      <c r="O757" s="32"/>
      <c r="P757" s="37"/>
      <c r="Q757" s="37"/>
      <c r="R757" s="37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8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</row>
    <row r="758" ht="15.75" customHeight="1">
      <c r="A758" s="48"/>
      <c r="B758" s="32"/>
      <c r="C758" s="29"/>
      <c r="D758" s="26"/>
      <c r="E758" s="67"/>
      <c r="F758" s="28"/>
      <c r="G758" s="30"/>
      <c r="H758" s="30"/>
      <c r="I758" s="29"/>
      <c r="J758" s="30"/>
      <c r="K758" s="31"/>
      <c r="L758" s="32"/>
      <c r="M758" s="126"/>
      <c r="N758" s="32"/>
      <c r="O758" s="32"/>
      <c r="P758" s="37"/>
      <c r="Q758" s="37"/>
      <c r="R758" s="37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8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</row>
    <row r="759" ht="15.75" customHeight="1">
      <c r="A759" s="48"/>
      <c r="B759" s="32"/>
      <c r="C759" s="29"/>
      <c r="D759" s="26"/>
      <c r="E759" s="67"/>
      <c r="F759" s="28"/>
      <c r="G759" s="30"/>
      <c r="H759" s="30"/>
      <c r="I759" s="29"/>
      <c r="J759" s="30"/>
      <c r="K759" s="31"/>
      <c r="L759" s="32"/>
      <c r="M759" s="126"/>
      <c r="N759" s="32"/>
      <c r="O759" s="32"/>
      <c r="P759" s="37"/>
      <c r="Q759" s="37"/>
      <c r="R759" s="37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8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</row>
    <row r="760" ht="15.75" customHeight="1">
      <c r="A760" s="48"/>
      <c r="B760" s="32"/>
      <c r="C760" s="29"/>
      <c r="D760" s="26"/>
      <c r="E760" s="67"/>
      <c r="F760" s="28"/>
      <c r="G760" s="30"/>
      <c r="H760" s="30"/>
      <c r="I760" s="29"/>
      <c r="J760" s="30"/>
      <c r="K760" s="31"/>
      <c r="L760" s="32"/>
      <c r="M760" s="126"/>
      <c r="N760" s="32"/>
      <c r="O760" s="32"/>
      <c r="P760" s="37"/>
      <c r="Q760" s="37"/>
      <c r="R760" s="37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8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</row>
    <row r="761" ht="15.75" customHeight="1">
      <c r="A761" s="48"/>
      <c r="B761" s="32"/>
      <c r="C761" s="29"/>
      <c r="D761" s="26"/>
      <c r="E761" s="67"/>
      <c r="F761" s="28"/>
      <c r="G761" s="30"/>
      <c r="H761" s="30"/>
      <c r="I761" s="29"/>
      <c r="J761" s="30"/>
      <c r="K761" s="31"/>
      <c r="L761" s="32"/>
      <c r="M761" s="126"/>
      <c r="N761" s="32"/>
      <c r="O761" s="32"/>
      <c r="P761" s="37"/>
      <c r="Q761" s="37"/>
      <c r="R761" s="37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8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</row>
    <row r="762" ht="15.75" customHeight="1">
      <c r="A762" s="48"/>
      <c r="B762" s="32"/>
      <c r="C762" s="29"/>
      <c r="D762" s="26"/>
      <c r="E762" s="67"/>
      <c r="F762" s="28"/>
      <c r="G762" s="30"/>
      <c r="H762" s="30"/>
      <c r="I762" s="29"/>
      <c r="J762" s="30"/>
      <c r="K762" s="31"/>
      <c r="L762" s="32"/>
      <c r="M762" s="126"/>
      <c r="N762" s="32"/>
      <c r="O762" s="32"/>
      <c r="P762" s="37"/>
      <c r="Q762" s="37"/>
      <c r="R762" s="37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8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</row>
    <row r="763" ht="15.75" customHeight="1">
      <c r="A763" s="48"/>
      <c r="B763" s="32"/>
      <c r="C763" s="29"/>
      <c r="D763" s="26"/>
      <c r="E763" s="67"/>
      <c r="F763" s="28"/>
      <c r="G763" s="30"/>
      <c r="H763" s="30"/>
      <c r="I763" s="29"/>
      <c r="J763" s="30"/>
      <c r="K763" s="31"/>
      <c r="L763" s="32"/>
      <c r="M763" s="126"/>
      <c r="N763" s="32"/>
      <c r="O763" s="32"/>
      <c r="P763" s="37"/>
      <c r="Q763" s="37"/>
      <c r="R763" s="37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8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</row>
    <row r="764" ht="15.75" customHeight="1">
      <c r="A764" s="48"/>
      <c r="B764" s="32"/>
      <c r="C764" s="29"/>
      <c r="D764" s="26"/>
      <c r="E764" s="67"/>
      <c r="F764" s="28"/>
      <c r="G764" s="30"/>
      <c r="H764" s="30"/>
      <c r="I764" s="29"/>
      <c r="J764" s="30"/>
      <c r="K764" s="31"/>
      <c r="L764" s="32"/>
      <c r="M764" s="126"/>
      <c r="N764" s="32"/>
      <c r="O764" s="32"/>
      <c r="P764" s="37"/>
      <c r="Q764" s="37"/>
      <c r="R764" s="37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8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</row>
    <row r="765" ht="15.75" customHeight="1">
      <c r="A765" s="48"/>
      <c r="B765" s="32"/>
      <c r="C765" s="29"/>
      <c r="D765" s="26"/>
      <c r="E765" s="67"/>
      <c r="F765" s="28"/>
      <c r="G765" s="30"/>
      <c r="H765" s="30"/>
      <c r="I765" s="29"/>
      <c r="J765" s="30"/>
      <c r="K765" s="31"/>
      <c r="L765" s="32"/>
      <c r="M765" s="126"/>
      <c r="N765" s="32"/>
      <c r="O765" s="32"/>
      <c r="P765" s="37"/>
      <c r="Q765" s="37"/>
      <c r="R765" s="37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8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</row>
    <row r="766" ht="15.75" customHeight="1">
      <c r="A766" s="48"/>
      <c r="B766" s="32"/>
      <c r="C766" s="29"/>
      <c r="D766" s="26"/>
      <c r="E766" s="67"/>
      <c r="F766" s="28"/>
      <c r="G766" s="30"/>
      <c r="H766" s="30"/>
      <c r="I766" s="29"/>
      <c r="J766" s="30"/>
      <c r="K766" s="31"/>
      <c r="L766" s="32"/>
      <c r="M766" s="126"/>
      <c r="N766" s="32"/>
      <c r="O766" s="32"/>
      <c r="P766" s="37"/>
      <c r="Q766" s="37"/>
      <c r="R766" s="37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8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</row>
    <row r="767" ht="15.75" customHeight="1">
      <c r="A767" s="48"/>
      <c r="B767" s="32"/>
      <c r="C767" s="29"/>
      <c r="D767" s="26"/>
      <c r="E767" s="67"/>
      <c r="F767" s="28"/>
      <c r="G767" s="30"/>
      <c r="H767" s="30"/>
      <c r="I767" s="29"/>
      <c r="J767" s="30"/>
      <c r="K767" s="31"/>
      <c r="L767" s="32"/>
      <c r="M767" s="126"/>
      <c r="N767" s="32"/>
      <c r="O767" s="32"/>
      <c r="P767" s="37"/>
      <c r="Q767" s="37"/>
      <c r="R767" s="37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8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</row>
    <row r="768" ht="15.75" customHeight="1">
      <c r="A768" s="48"/>
      <c r="B768" s="32"/>
      <c r="C768" s="29"/>
      <c r="D768" s="26"/>
      <c r="E768" s="67"/>
      <c r="F768" s="28"/>
      <c r="G768" s="30"/>
      <c r="H768" s="30"/>
      <c r="I768" s="29"/>
      <c r="J768" s="30"/>
      <c r="K768" s="31"/>
      <c r="L768" s="32"/>
      <c r="M768" s="126"/>
      <c r="N768" s="32"/>
      <c r="O768" s="32"/>
      <c r="P768" s="37"/>
      <c r="Q768" s="37"/>
      <c r="R768" s="37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8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</row>
    <row r="769" ht="15.75" customHeight="1">
      <c r="A769" s="48"/>
      <c r="B769" s="32"/>
      <c r="C769" s="29"/>
      <c r="D769" s="26"/>
      <c r="E769" s="67"/>
      <c r="F769" s="28"/>
      <c r="G769" s="30"/>
      <c r="H769" s="30"/>
      <c r="I769" s="29"/>
      <c r="J769" s="30"/>
      <c r="K769" s="31"/>
      <c r="L769" s="32"/>
      <c r="M769" s="126"/>
      <c r="N769" s="32"/>
      <c r="O769" s="32"/>
      <c r="P769" s="37"/>
      <c r="Q769" s="37"/>
      <c r="R769" s="37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8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</row>
    <row r="770" ht="15.75" customHeight="1">
      <c r="A770" s="48"/>
      <c r="B770" s="32"/>
      <c r="C770" s="29"/>
      <c r="D770" s="26"/>
      <c r="E770" s="67"/>
      <c r="F770" s="28"/>
      <c r="G770" s="30"/>
      <c r="H770" s="30"/>
      <c r="I770" s="29"/>
      <c r="J770" s="30"/>
      <c r="K770" s="31"/>
      <c r="L770" s="32"/>
      <c r="M770" s="126"/>
      <c r="N770" s="32"/>
      <c r="O770" s="32"/>
      <c r="P770" s="37"/>
      <c r="Q770" s="37"/>
      <c r="R770" s="37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8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</row>
    <row r="771" ht="15.75" customHeight="1">
      <c r="A771" s="48"/>
      <c r="B771" s="32"/>
      <c r="C771" s="29"/>
      <c r="D771" s="26"/>
      <c r="E771" s="67"/>
      <c r="F771" s="28"/>
      <c r="G771" s="30"/>
      <c r="H771" s="30"/>
      <c r="I771" s="29"/>
      <c r="J771" s="30"/>
      <c r="K771" s="31"/>
      <c r="L771" s="32"/>
      <c r="M771" s="126"/>
      <c r="N771" s="32"/>
      <c r="O771" s="32"/>
      <c r="P771" s="37"/>
      <c r="Q771" s="37"/>
      <c r="R771" s="37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8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</row>
    <row r="772" ht="15.75" customHeight="1">
      <c r="A772" s="48"/>
      <c r="B772" s="32"/>
      <c r="C772" s="29"/>
      <c r="D772" s="26"/>
      <c r="E772" s="67"/>
      <c r="F772" s="28"/>
      <c r="G772" s="30"/>
      <c r="H772" s="30"/>
      <c r="I772" s="29"/>
      <c r="J772" s="30"/>
      <c r="K772" s="31"/>
      <c r="L772" s="32"/>
      <c r="M772" s="126"/>
      <c r="N772" s="32"/>
      <c r="O772" s="32"/>
      <c r="P772" s="37"/>
      <c r="Q772" s="37"/>
      <c r="R772" s="37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8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</row>
    <row r="773" ht="15.75" customHeight="1">
      <c r="A773" s="48"/>
      <c r="B773" s="32"/>
      <c r="C773" s="29"/>
      <c r="D773" s="26"/>
      <c r="E773" s="67"/>
      <c r="F773" s="28"/>
      <c r="G773" s="30"/>
      <c r="H773" s="30"/>
      <c r="I773" s="29"/>
      <c r="J773" s="30"/>
      <c r="K773" s="31"/>
      <c r="L773" s="32"/>
      <c r="M773" s="126"/>
      <c r="N773" s="32"/>
      <c r="O773" s="32"/>
      <c r="P773" s="37"/>
      <c r="Q773" s="37"/>
      <c r="R773" s="37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8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</row>
    <row r="774" ht="15.75" customHeight="1">
      <c r="A774" s="48"/>
      <c r="B774" s="32"/>
      <c r="C774" s="29"/>
      <c r="D774" s="26"/>
      <c r="E774" s="67"/>
      <c r="F774" s="28"/>
      <c r="G774" s="30"/>
      <c r="H774" s="30"/>
      <c r="I774" s="29"/>
      <c r="J774" s="30"/>
      <c r="K774" s="31"/>
      <c r="L774" s="32"/>
      <c r="M774" s="126"/>
      <c r="N774" s="32"/>
      <c r="O774" s="32"/>
      <c r="P774" s="37"/>
      <c r="Q774" s="37"/>
      <c r="R774" s="37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8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</row>
    <row r="775" ht="15.75" customHeight="1">
      <c r="A775" s="48"/>
      <c r="B775" s="32"/>
      <c r="C775" s="29"/>
      <c r="D775" s="26"/>
      <c r="E775" s="67"/>
      <c r="F775" s="28"/>
      <c r="G775" s="30"/>
      <c r="H775" s="30"/>
      <c r="I775" s="29"/>
      <c r="J775" s="30"/>
      <c r="K775" s="31"/>
      <c r="L775" s="32"/>
      <c r="M775" s="126"/>
      <c r="N775" s="32"/>
      <c r="O775" s="32"/>
      <c r="P775" s="37"/>
      <c r="Q775" s="37"/>
      <c r="R775" s="37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8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</row>
    <row r="776" ht="15.75" customHeight="1">
      <c r="A776" s="48"/>
      <c r="B776" s="32"/>
      <c r="C776" s="29"/>
      <c r="D776" s="26"/>
      <c r="E776" s="67"/>
      <c r="F776" s="28"/>
      <c r="G776" s="30"/>
      <c r="H776" s="30"/>
      <c r="I776" s="29"/>
      <c r="J776" s="30"/>
      <c r="K776" s="31"/>
      <c r="L776" s="32"/>
      <c r="M776" s="126"/>
      <c r="N776" s="32"/>
      <c r="O776" s="32"/>
      <c r="P776" s="37"/>
      <c r="Q776" s="37"/>
      <c r="R776" s="37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8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</row>
    <row r="777" ht="15.75" customHeight="1">
      <c r="A777" s="48"/>
      <c r="B777" s="32"/>
      <c r="C777" s="29"/>
      <c r="D777" s="26"/>
      <c r="E777" s="67"/>
      <c r="F777" s="28"/>
      <c r="G777" s="30"/>
      <c r="H777" s="30"/>
      <c r="I777" s="29"/>
      <c r="J777" s="30"/>
      <c r="K777" s="31"/>
      <c r="L777" s="32"/>
      <c r="M777" s="126"/>
      <c r="N777" s="32"/>
      <c r="O777" s="32"/>
      <c r="P777" s="37"/>
      <c r="Q777" s="37"/>
      <c r="R777" s="37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8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</row>
    <row r="778" ht="15.75" customHeight="1">
      <c r="A778" s="48"/>
      <c r="B778" s="32"/>
      <c r="C778" s="29"/>
      <c r="D778" s="26"/>
      <c r="E778" s="67"/>
      <c r="F778" s="28"/>
      <c r="G778" s="30"/>
      <c r="H778" s="30"/>
      <c r="I778" s="29"/>
      <c r="J778" s="30"/>
      <c r="K778" s="31"/>
      <c r="L778" s="32"/>
      <c r="M778" s="126"/>
      <c r="N778" s="32"/>
      <c r="O778" s="32"/>
      <c r="P778" s="37"/>
      <c r="Q778" s="37"/>
      <c r="R778" s="37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8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</row>
    <row r="779" ht="15.75" customHeight="1">
      <c r="A779" s="48"/>
      <c r="B779" s="32"/>
      <c r="C779" s="29"/>
      <c r="D779" s="26"/>
      <c r="E779" s="67"/>
      <c r="F779" s="28"/>
      <c r="G779" s="30"/>
      <c r="H779" s="30"/>
      <c r="I779" s="29"/>
      <c r="J779" s="30"/>
      <c r="K779" s="31"/>
      <c r="L779" s="32"/>
      <c r="M779" s="126"/>
      <c r="N779" s="32"/>
      <c r="O779" s="32"/>
      <c r="P779" s="37"/>
      <c r="Q779" s="37"/>
      <c r="R779" s="37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8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</row>
    <row r="780" ht="15.75" customHeight="1">
      <c r="A780" s="48"/>
      <c r="B780" s="32"/>
      <c r="C780" s="29"/>
      <c r="D780" s="26"/>
      <c r="E780" s="67"/>
      <c r="F780" s="28"/>
      <c r="G780" s="30"/>
      <c r="H780" s="30"/>
      <c r="I780" s="29"/>
      <c r="J780" s="30"/>
      <c r="K780" s="31"/>
      <c r="L780" s="32"/>
      <c r="M780" s="126"/>
      <c r="N780" s="32"/>
      <c r="O780" s="32"/>
      <c r="P780" s="37"/>
      <c r="Q780" s="37"/>
      <c r="R780" s="37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8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</row>
    <row r="781" ht="15.75" customHeight="1">
      <c r="A781" s="48"/>
      <c r="B781" s="32"/>
      <c r="C781" s="29"/>
      <c r="D781" s="26"/>
      <c r="E781" s="67"/>
      <c r="F781" s="28"/>
      <c r="G781" s="30"/>
      <c r="H781" s="30"/>
      <c r="I781" s="29"/>
      <c r="J781" s="30"/>
      <c r="K781" s="31"/>
      <c r="L781" s="32"/>
      <c r="M781" s="126"/>
      <c r="N781" s="32"/>
      <c r="O781" s="32"/>
      <c r="P781" s="37"/>
      <c r="Q781" s="37"/>
      <c r="R781" s="37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8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</row>
    <row r="782" ht="15.75" customHeight="1">
      <c r="A782" s="48"/>
      <c r="B782" s="32"/>
      <c r="C782" s="29"/>
      <c r="D782" s="26"/>
      <c r="E782" s="67"/>
      <c r="F782" s="28"/>
      <c r="G782" s="30"/>
      <c r="H782" s="30"/>
      <c r="I782" s="29"/>
      <c r="J782" s="30"/>
      <c r="K782" s="31"/>
      <c r="L782" s="32"/>
      <c r="M782" s="126"/>
      <c r="N782" s="32"/>
      <c r="O782" s="32"/>
      <c r="P782" s="37"/>
      <c r="Q782" s="37"/>
      <c r="R782" s="37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8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</row>
    <row r="783" ht="15.75" customHeight="1">
      <c r="A783" s="48"/>
      <c r="B783" s="32"/>
      <c r="C783" s="29"/>
      <c r="D783" s="26"/>
      <c r="E783" s="67"/>
      <c r="F783" s="28"/>
      <c r="G783" s="30"/>
      <c r="H783" s="30"/>
      <c r="I783" s="29"/>
      <c r="J783" s="30"/>
      <c r="K783" s="31"/>
      <c r="L783" s="32"/>
      <c r="M783" s="126"/>
      <c r="N783" s="32"/>
      <c r="O783" s="32"/>
      <c r="P783" s="37"/>
      <c r="Q783" s="37"/>
      <c r="R783" s="37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8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</row>
    <row r="784" ht="15.75" customHeight="1">
      <c r="A784" s="48"/>
      <c r="B784" s="32"/>
      <c r="C784" s="29"/>
      <c r="D784" s="26"/>
      <c r="E784" s="67"/>
      <c r="F784" s="28"/>
      <c r="G784" s="30"/>
      <c r="H784" s="30"/>
      <c r="I784" s="29"/>
      <c r="J784" s="30"/>
      <c r="K784" s="31"/>
      <c r="L784" s="32"/>
      <c r="M784" s="126"/>
      <c r="N784" s="32"/>
      <c r="O784" s="32"/>
      <c r="P784" s="37"/>
      <c r="Q784" s="37"/>
      <c r="R784" s="37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8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</row>
    <row r="785" ht="15.75" customHeight="1">
      <c r="A785" s="48"/>
      <c r="B785" s="32"/>
      <c r="C785" s="29"/>
      <c r="D785" s="26"/>
      <c r="E785" s="67"/>
      <c r="F785" s="28"/>
      <c r="G785" s="30"/>
      <c r="H785" s="30"/>
      <c r="I785" s="29"/>
      <c r="J785" s="30"/>
      <c r="K785" s="31"/>
      <c r="L785" s="32"/>
      <c r="M785" s="126"/>
      <c r="N785" s="32"/>
      <c r="O785" s="32"/>
      <c r="P785" s="37"/>
      <c r="Q785" s="37"/>
      <c r="R785" s="37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8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</row>
    <row r="786" ht="15.75" customHeight="1">
      <c r="A786" s="48"/>
      <c r="B786" s="32"/>
      <c r="C786" s="29"/>
      <c r="D786" s="26"/>
      <c r="E786" s="67"/>
      <c r="F786" s="28"/>
      <c r="G786" s="30"/>
      <c r="H786" s="30"/>
      <c r="I786" s="29"/>
      <c r="J786" s="30"/>
      <c r="K786" s="31"/>
      <c r="L786" s="32"/>
      <c r="M786" s="126"/>
      <c r="N786" s="32"/>
      <c r="O786" s="32"/>
      <c r="P786" s="37"/>
      <c r="Q786" s="37"/>
      <c r="R786" s="37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8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</row>
    <row r="787" ht="15.75" customHeight="1">
      <c r="A787" s="48"/>
      <c r="B787" s="32"/>
      <c r="C787" s="29"/>
      <c r="D787" s="26"/>
      <c r="E787" s="67"/>
      <c r="F787" s="28"/>
      <c r="G787" s="30"/>
      <c r="H787" s="30"/>
      <c r="I787" s="29"/>
      <c r="J787" s="30"/>
      <c r="K787" s="31"/>
      <c r="L787" s="32"/>
      <c r="M787" s="126"/>
      <c r="N787" s="32"/>
      <c r="O787" s="32"/>
      <c r="P787" s="37"/>
      <c r="Q787" s="37"/>
      <c r="R787" s="37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8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</row>
    <row r="788" ht="15.75" customHeight="1">
      <c r="A788" s="48"/>
      <c r="B788" s="32"/>
      <c r="C788" s="29"/>
      <c r="D788" s="26"/>
      <c r="E788" s="67"/>
      <c r="F788" s="28"/>
      <c r="G788" s="30"/>
      <c r="H788" s="30"/>
      <c r="I788" s="29"/>
      <c r="J788" s="30"/>
      <c r="K788" s="31"/>
      <c r="L788" s="32"/>
      <c r="M788" s="126"/>
      <c r="N788" s="32"/>
      <c r="O788" s="32"/>
      <c r="P788" s="37"/>
      <c r="Q788" s="37"/>
      <c r="R788" s="37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8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</row>
    <row r="789" ht="15.75" customHeight="1">
      <c r="A789" s="48"/>
      <c r="B789" s="32"/>
      <c r="C789" s="29"/>
      <c r="D789" s="26"/>
      <c r="E789" s="67"/>
      <c r="F789" s="28"/>
      <c r="G789" s="30"/>
      <c r="H789" s="30"/>
      <c r="I789" s="29"/>
      <c r="J789" s="30"/>
      <c r="K789" s="31"/>
      <c r="L789" s="32"/>
      <c r="M789" s="126"/>
      <c r="N789" s="32"/>
      <c r="O789" s="32"/>
      <c r="P789" s="37"/>
      <c r="Q789" s="37"/>
      <c r="R789" s="37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8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</row>
    <row r="790" ht="15.75" customHeight="1">
      <c r="A790" s="48"/>
      <c r="B790" s="32"/>
      <c r="C790" s="29"/>
      <c r="D790" s="26"/>
      <c r="E790" s="67"/>
      <c r="F790" s="28"/>
      <c r="G790" s="30"/>
      <c r="H790" s="30"/>
      <c r="I790" s="29"/>
      <c r="J790" s="30"/>
      <c r="K790" s="31"/>
      <c r="L790" s="32"/>
      <c r="M790" s="126"/>
      <c r="N790" s="32"/>
      <c r="O790" s="32"/>
      <c r="P790" s="37"/>
      <c r="Q790" s="37"/>
      <c r="R790" s="37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8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</row>
    <row r="791" ht="15.75" customHeight="1">
      <c r="A791" s="48"/>
      <c r="B791" s="32"/>
      <c r="C791" s="29"/>
      <c r="D791" s="26"/>
      <c r="E791" s="67"/>
      <c r="F791" s="28"/>
      <c r="G791" s="30"/>
      <c r="H791" s="30"/>
      <c r="I791" s="29"/>
      <c r="J791" s="30"/>
      <c r="K791" s="31"/>
      <c r="L791" s="32"/>
      <c r="M791" s="126"/>
      <c r="N791" s="32"/>
      <c r="O791" s="32"/>
      <c r="P791" s="37"/>
      <c r="Q791" s="37"/>
      <c r="R791" s="37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8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</row>
    <row r="792" ht="15.75" customHeight="1">
      <c r="A792" s="48"/>
      <c r="B792" s="32"/>
      <c r="C792" s="29"/>
      <c r="D792" s="26"/>
      <c r="E792" s="67"/>
      <c r="F792" s="28"/>
      <c r="G792" s="30"/>
      <c r="H792" s="30"/>
      <c r="I792" s="29"/>
      <c r="J792" s="30"/>
      <c r="K792" s="31"/>
      <c r="L792" s="32"/>
      <c r="M792" s="126"/>
      <c r="N792" s="32"/>
      <c r="O792" s="32"/>
      <c r="P792" s="37"/>
      <c r="Q792" s="37"/>
      <c r="R792" s="37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8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</row>
    <row r="793" ht="15.75" customHeight="1">
      <c r="A793" s="48"/>
      <c r="B793" s="32"/>
      <c r="C793" s="29"/>
      <c r="D793" s="26"/>
      <c r="E793" s="67"/>
      <c r="F793" s="28"/>
      <c r="G793" s="30"/>
      <c r="H793" s="30"/>
      <c r="I793" s="29"/>
      <c r="J793" s="30"/>
      <c r="K793" s="31"/>
      <c r="L793" s="32"/>
      <c r="M793" s="126"/>
      <c r="N793" s="32"/>
      <c r="O793" s="32"/>
      <c r="P793" s="37"/>
      <c r="Q793" s="37"/>
      <c r="R793" s="37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8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</row>
    <row r="794" ht="15.75" customHeight="1">
      <c r="A794" s="48"/>
      <c r="B794" s="32"/>
      <c r="C794" s="29"/>
      <c r="D794" s="26"/>
      <c r="E794" s="67"/>
      <c r="F794" s="28"/>
      <c r="G794" s="30"/>
      <c r="H794" s="30"/>
      <c r="I794" s="29"/>
      <c r="J794" s="30"/>
      <c r="K794" s="31"/>
      <c r="L794" s="32"/>
      <c r="M794" s="126"/>
      <c r="N794" s="32"/>
      <c r="O794" s="32"/>
      <c r="P794" s="37"/>
      <c r="Q794" s="37"/>
      <c r="R794" s="37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8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</row>
    <row r="795" ht="15.75" customHeight="1">
      <c r="A795" s="48"/>
      <c r="B795" s="32"/>
      <c r="C795" s="29"/>
      <c r="D795" s="26"/>
      <c r="E795" s="67"/>
      <c r="F795" s="28"/>
      <c r="G795" s="30"/>
      <c r="H795" s="30"/>
      <c r="I795" s="29"/>
      <c r="J795" s="30"/>
      <c r="K795" s="31"/>
      <c r="L795" s="32"/>
      <c r="M795" s="126"/>
      <c r="N795" s="32"/>
      <c r="O795" s="32"/>
      <c r="P795" s="37"/>
      <c r="Q795" s="37"/>
      <c r="R795" s="37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8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</row>
    <row r="796" ht="15.75" customHeight="1">
      <c r="A796" s="48"/>
      <c r="B796" s="32"/>
      <c r="C796" s="29"/>
      <c r="D796" s="26"/>
      <c r="E796" s="67"/>
      <c r="F796" s="28"/>
      <c r="G796" s="30"/>
      <c r="H796" s="30"/>
      <c r="I796" s="29"/>
      <c r="J796" s="30"/>
      <c r="K796" s="31"/>
      <c r="L796" s="32"/>
      <c r="M796" s="126"/>
      <c r="N796" s="32"/>
      <c r="O796" s="32"/>
      <c r="P796" s="37"/>
      <c r="Q796" s="37"/>
      <c r="R796" s="37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8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</row>
    <row r="797" ht="15.75" customHeight="1">
      <c r="A797" s="48"/>
      <c r="B797" s="32"/>
      <c r="C797" s="29"/>
      <c r="D797" s="26"/>
      <c r="E797" s="67"/>
      <c r="F797" s="28"/>
      <c r="G797" s="30"/>
      <c r="H797" s="30"/>
      <c r="I797" s="29"/>
      <c r="J797" s="30"/>
      <c r="K797" s="31"/>
      <c r="L797" s="32"/>
      <c r="M797" s="126"/>
      <c r="N797" s="32"/>
      <c r="O797" s="32"/>
      <c r="P797" s="37"/>
      <c r="Q797" s="37"/>
      <c r="R797" s="37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8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</row>
    <row r="798" ht="15.75" customHeight="1">
      <c r="A798" s="48"/>
      <c r="B798" s="32"/>
      <c r="C798" s="29"/>
      <c r="D798" s="26"/>
      <c r="E798" s="67"/>
      <c r="F798" s="28"/>
      <c r="G798" s="30"/>
      <c r="H798" s="30"/>
      <c r="I798" s="29"/>
      <c r="J798" s="30"/>
      <c r="K798" s="31"/>
      <c r="L798" s="32"/>
      <c r="M798" s="126"/>
      <c r="N798" s="32"/>
      <c r="O798" s="32"/>
      <c r="P798" s="37"/>
      <c r="Q798" s="37"/>
      <c r="R798" s="37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8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</row>
    <row r="799" ht="15.75" customHeight="1">
      <c r="A799" s="48"/>
      <c r="B799" s="32"/>
      <c r="C799" s="29"/>
      <c r="D799" s="26"/>
      <c r="E799" s="67"/>
      <c r="F799" s="28"/>
      <c r="G799" s="30"/>
      <c r="H799" s="30"/>
      <c r="I799" s="29"/>
      <c r="J799" s="30"/>
      <c r="K799" s="31"/>
      <c r="L799" s="32"/>
      <c r="M799" s="126"/>
      <c r="N799" s="32"/>
      <c r="O799" s="32"/>
      <c r="P799" s="37"/>
      <c r="Q799" s="37"/>
      <c r="R799" s="37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8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</row>
    <row r="800" ht="15.75" customHeight="1">
      <c r="A800" s="48"/>
      <c r="B800" s="32"/>
      <c r="C800" s="29"/>
      <c r="D800" s="26"/>
      <c r="E800" s="67"/>
      <c r="F800" s="28"/>
      <c r="G800" s="30"/>
      <c r="H800" s="30"/>
      <c r="I800" s="29"/>
      <c r="J800" s="30"/>
      <c r="K800" s="31"/>
      <c r="L800" s="32"/>
      <c r="M800" s="126"/>
      <c r="N800" s="32"/>
      <c r="O800" s="32"/>
      <c r="P800" s="37"/>
      <c r="Q800" s="37"/>
      <c r="R800" s="37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8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</row>
    <row r="801" ht="15.75" customHeight="1">
      <c r="A801" s="48"/>
      <c r="B801" s="32"/>
      <c r="C801" s="29"/>
      <c r="D801" s="26"/>
      <c r="E801" s="67"/>
      <c r="F801" s="28"/>
      <c r="G801" s="30"/>
      <c r="H801" s="30"/>
      <c r="I801" s="29"/>
      <c r="J801" s="30"/>
      <c r="K801" s="31"/>
      <c r="L801" s="32"/>
      <c r="M801" s="126"/>
      <c r="N801" s="32"/>
      <c r="O801" s="32"/>
      <c r="P801" s="37"/>
      <c r="Q801" s="37"/>
      <c r="R801" s="37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8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</row>
    <row r="802" ht="15.75" customHeight="1">
      <c r="A802" s="48"/>
      <c r="B802" s="32"/>
      <c r="C802" s="29"/>
      <c r="D802" s="26"/>
      <c r="E802" s="67"/>
      <c r="F802" s="28"/>
      <c r="G802" s="30"/>
      <c r="H802" s="30"/>
      <c r="I802" s="29"/>
      <c r="J802" s="30"/>
      <c r="K802" s="31"/>
      <c r="L802" s="32"/>
      <c r="M802" s="126"/>
      <c r="N802" s="32"/>
      <c r="O802" s="32"/>
      <c r="P802" s="37"/>
      <c r="Q802" s="37"/>
      <c r="R802" s="37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8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</row>
    <row r="803" ht="15.75" customHeight="1">
      <c r="A803" s="48"/>
      <c r="B803" s="32"/>
      <c r="C803" s="29"/>
      <c r="D803" s="26"/>
      <c r="E803" s="67"/>
      <c r="F803" s="28"/>
      <c r="G803" s="30"/>
      <c r="H803" s="30"/>
      <c r="I803" s="29"/>
      <c r="J803" s="30"/>
      <c r="K803" s="31"/>
      <c r="L803" s="32"/>
      <c r="M803" s="126"/>
      <c r="N803" s="32"/>
      <c r="O803" s="32"/>
      <c r="P803" s="37"/>
      <c r="Q803" s="37"/>
      <c r="R803" s="37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8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</row>
    <row r="804" ht="15.75" customHeight="1">
      <c r="A804" s="48"/>
      <c r="B804" s="32"/>
      <c r="C804" s="29"/>
      <c r="D804" s="26"/>
      <c r="E804" s="67"/>
      <c r="F804" s="28"/>
      <c r="G804" s="30"/>
      <c r="H804" s="30"/>
      <c r="I804" s="29"/>
      <c r="J804" s="30"/>
      <c r="K804" s="31"/>
      <c r="L804" s="32"/>
      <c r="M804" s="126"/>
      <c r="N804" s="32"/>
      <c r="O804" s="32"/>
      <c r="P804" s="37"/>
      <c r="Q804" s="37"/>
      <c r="R804" s="37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8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</row>
    <row r="805" ht="15.75" customHeight="1">
      <c r="A805" s="48"/>
      <c r="B805" s="32"/>
      <c r="C805" s="29"/>
      <c r="D805" s="26"/>
      <c r="E805" s="67"/>
      <c r="F805" s="28"/>
      <c r="G805" s="30"/>
      <c r="H805" s="30"/>
      <c r="I805" s="29"/>
      <c r="J805" s="30"/>
      <c r="K805" s="31"/>
      <c r="L805" s="32"/>
      <c r="M805" s="126"/>
      <c r="N805" s="32"/>
      <c r="O805" s="32"/>
      <c r="P805" s="37"/>
      <c r="Q805" s="37"/>
      <c r="R805" s="37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8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</row>
    <row r="806" ht="15.75" customHeight="1">
      <c r="A806" s="48"/>
      <c r="B806" s="32"/>
      <c r="C806" s="29"/>
      <c r="D806" s="26"/>
      <c r="E806" s="67"/>
      <c r="F806" s="28"/>
      <c r="G806" s="30"/>
      <c r="H806" s="30"/>
      <c r="I806" s="29"/>
      <c r="J806" s="30"/>
      <c r="K806" s="31"/>
      <c r="L806" s="32"/>
      <c r="M806" s="126"/>
      <c r="N806" s="32"/>
      <c r="O806" s="32"/>
      <c r="P806" s="37"/>
      <c r="Q806" s="37"/>
      <c r="R806" s="37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8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</row>
    <row r="807" ht="15.75" customHeight="1">
      <c r="A807" s="48"/>
      <c r="B807" s="32"/>
      <c r="C807" s="29"/>
      <c r="D807" s="26"/>
      <c r="E807" s="67"/>
      <c r="F807" s="28"/>
      <c r="G807" s="30"/>
      <c r="H807" s="30"/>
      <c r="I807" s="29"/>
      <c r="J807" s="30"/>
      <c r="K807" s="31"/>
      <c r="L807" s="32"/>
      <c r="M807" s="126"/>
      <c r="N807" s="32"/>
      <c r="O807" s="32"/>
      <c r="P807" s="37"/>
      <c r="Q807" s="37"/>
      <c r="R807" s="37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8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</row>
    <row r="808" ht="15.75" customHeight="1">
      <c r="A808" s="48"/>
      <c r="B808" s="32"/>
      <c r="C808" s="29"/>
      <c r="D808" s="26"/>
      <c r="E808" s="67"/>
      <c r="F808" s="28"/>
      <c r="G808" s="30"/>
      <c r="H808" s="30"/>
      <c r="I808" s="29"/>
      <c r="J808" s="30"/>
      <c r="K808" s="31"/>
      <c r="L808" s="32"/>
      <c r="M808" s="126"/>
      <c r="N808" s="32"/>
      <c r="O808" s="32"/>
      <c r="P808" s="37"/>
      <c r="Q808" s="37"/>
      <c r="R808" s="37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8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</row>
    <row r="809" ht="15.75" customHeight="1">
      <c r="A809" s="48"/>
      <c r="B809" s="32"/>
      <c r="C809" s="29"/>
      <c r="D809" s="26"/>
      <c r="E809" s="67"/>
      <c r="F809" s="28"/>
      <c r="G809" s="30"/>
      <c r="H809" s="30"/>
      <c r="I809" s="29"/>
      <c r="J809" s="30"/>
      <c r="K809" s="31"/>
      <c r="L809" s="32"/>
      <c r="M809" s="126"/>
      <c r="N809" s="32"/>
      <c r="O809" s="32"/>
      <c r="P809" s="37"/>
      <c r="Q809" s="37"/>
      <c r="R809" s="37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8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</row>
    <row r="810" ht="15.75" customHeight="1">
      <c r="A810" s="48"/>
      <c r="B810" s="32"/>
      <c r="C810" s="29"/>
      <c r="D810" s="26"/>
      <c r="E810" s="67"/>
      <c r="F810" s="28"/>
      <c r="G810" s="30"/>
      <c r="H810" s="30"/>
      <c r="I810" s="29"/>
      <c r="J810" s="30"/>
      <c r="K810" s="31"/>
      <c r="L810" s="32"/>
      <c r="M810" s="126"/>
      <c r="N810" s="32"/>
      <c r="O810" s="32"/>
      <c r="P810" s="37"/>
      <c r="Q810" s="37"/>
      <c r="R810" s="37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8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</row>
    <row r="811" ht="15.75" customHeight="1">
      <c r="A811" s="48"/>
      <c r="B811" s="32"/>
      <c r="C811" s="29"/>
      <c r="D811" s="26"/>
      <c r="E811" s="67"/>
      <c r="F811" s="28"/>
      <c r="G811" s="30"/>
      <c r="H811" s="30"/>
      <c r="I811" s="29"/>
      <c r="J811" s="30"/>
      <c r="K811" s="31"/>
      <c r="L811" s="32"/>
      <c r="M811" s="126"/>
      <c r="N811" s="32"/>
      <c r="O811" s="32"/>
      <c r="P811" s="37"/>
      <c r="Q811" s="37"/>
      <c r="R811" s="37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8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</row>
    <row r="812" ht="15.75" customHeight="1">
      <c r="A812" s="48"/>
      <c r="B812" s="32"/>
      <c r="C812" s="29"/>
      <c r="D812" s="26"/>
      <c r="E812" s="67"/>
      <c r="F812" s="28"/>
      <c r="G812" s="30"/>
      <c r="H812" s="30"/>
      <c r="I812" s="29"/>
      <c r="J812" s="30"/>
      <c r="K812" s="31"/>
      <c r="L812" s="32"/>
      <c r="M812" s="126"/>
      <c r="N812" s="32"/>
      <c r="O812" s="32"/>
      <c r="P812" s="37"/>
      <c r="Q812" s="37"/>
      <c r="R812" s="37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8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</row>
    <row r="813" ht="15.75" customHeight="1">
      <c r="A813" s="48"/>
      <c r="B813" s="32"/>
      <c r="C813" s="29"/>
      <c r="D813" s="26"/>
      <c r="E813" s="67"/>
      <c r="F813" s="28"/>
      <c r="G813" s="30"/>
      <c r="H813" s="30"/>
      <c r="I813" s="29"/>
      <c r="J813" s="30"/>
      <c r="K813" s="31"/>
      <c r="L813" s="32"/>
      <c r="M813" s="126"/>
      <c r="N813" s="32"/>
      <c r="O813" s="32"/>
      <c r="P813" s="37"/>
      <c r="Q813" s="37"/>
      <c r="R813" s="37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8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</row>
    <row r="814" ht="15.75" customHeight="1">
      <c r="A814" s="48"/>
      <c r="B814" s="32"/>
      <c r="C814" s="29"/>
      <c r="D814" s="26"/>
      <c r="E814" s="67"/>
      <c r="F814" s="28"/>
      <c r="G814" s="30"/>
      <c r="H814" s="30"/>
      <c r="I814" s="29"/>
      <c r="J814" s="30"/>
      <c r="K814" s="31"/>
      <c r="L814" s="32"/>
      <c r="M814" s="126"/>
      <c r="N814" s="32"/>
      <c r="O814" s="32"/>
      <c r="P814" s="37"/>
      <c r="Q814" s="37"/>
      <c r="R814" s="37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8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</row>
    <row r="815" ht="15.75" customHeight="1">
      <c r="A815" s="48"/>
      <c r="B815" s="32"/>
      <c r="C815" s="29"/>
      <c r="D815" s="26"/>
      <c r="E815" s="67"/>
      <c r="F815" s="28"/>
      <c r="G815" s="30"/>
      <c r="H815" s="30"/>
      <c r="I815" s="29"/>
      <c r="J815" s="30"/>
      <c r="K815" s="31"/>
      <c r="L815" s="32"/>
      <c r="M815" s="126"/>
      <c r="N815" s="32"/>
      <c r="O815" s="32"/>
      <c r="P815" s="37"/>
      <c r="Q815" s="37"/>
      <c r="R815" s="37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8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</row>
    <row r="816" ht="15.75" customHeight="1">
      <c r="A816" s="48"/>
      <c r="B816" s="32"/>
      <c r="C816" s="29"/>
      <c r="D816" s="26"/>
      <c r="E816" s="67"/>
      <c r="F816" s="28"/>
      <c r="G816" s="30"/>
      <c r="H816" s="30"/>
      <c r="I816" s="29"/>
      <c r="J816" s="30"/>
      <c r="K816" s="31"/>
      <c r="L816" s="32"/>
      <c r="M816" s="126"/>
      <c r="N816" s="32"/>
      <c r="O816" s="32"/>
      <c r="P816" s="37"/>
      <c r="Q816" s="37"/>
      <c r="R816" s="37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8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</row>
    <row r="817" ht="15.75" customHeight="1">
      <c r="A817" s="48"/>
      <c r="B817" s="32"/>
      <c r="C817" s="29"/>
      <c r="D817" s="26"/>
      <c r="E817" s="67"/>
      <c r="F817" s="28"/>
      <c r="G817" s="30"/>
      <c r="H817" s="30"/>
      <c r="I817" s="29"/>
      <c r="J817" s="30"/>
      <c r="K817" s="31"/>
      <c r="L817" s="32"/>
      <c r="M817" s="126"/>
      <c r="N817" s="32"/>
      <c r="O817" s="32"/>
      <c r="P817" s="37"/>
      <c r="Q817" s="37"/>
      <c r="R817" s="37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8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</row>
    <row r="818" ht="15.75" customHeight="1">
      <c r="A818" s="48"/>
      <c r="B818" s="32"/>
      <c r="C818" s="29"/>
      <c r="D818" s="26"/>
      <c r="E818" s="67"/>
      <c r="F818" s="28"/>
      <c r="G818" s="30"/>
      <c r="H818" s="30"/>
      <c r="I818" s="29"/>
      <c r="J818" s="30"/>
      <c r="K818" s="31"/>
      <c r="L818" s="32"/>
      <c r="M818" s="126"/>
      <c r="N818" s="32"/>
      <c r="O818" s="32"/>
      <c r="P818" s="37"/>
      <c r="Q818" s="37"/>
      <c r="R818" s="37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8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</row>
    <row r="819" ht="15.75" customHeight="1">
      <c r="A819" s="48"/>
      <c r="B819" s="32"/>
      <c r="C819" s="29"/>
      <c r="D819" s="26"/>
      <c r="E819" s="67"/>
      <c r="F819" s="28"/>
      <c r="G819" s="30"/>
      <c r="H819" s="30"/>
      <c r="I819" s="29"/>
      <c r="J819" s="30"/>
      <c r="K819" s="31"/>
      <c r="L819" s="32"/>
      <c r="M819" s="126"/>
      <c r="N819" s="32"/>
      <c r="O819" s="32"/>
      <c r="P819" s="37"/>
      <c r="Q819" s="37"/>
      <c r="R819" s="37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8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</row>
    <row r="820" ht="15.75" customHeight="1">
      <c r="A820" s="48"/>
      <c r="B820" s="32"/>
      <c r="C820" s="29"/>
      <c r="D820" s="26"/>
      <c r="E820" s="67"/>
      <c r="F820" s="28"/>
      <c r="G820" s="30"/>
      <c r="H820" s="30"/>
      <c r="I820" s="29"/>
      <c r="J820" s="30"/>
      <c r="K820" s="31"/>
      <c r="L820" s="32"/>
      <c r="M820" s="126"/>
      <c r="N820" s="32"/>
      <c r="O820" s="32"/>
      <c r="P820" s="37"/>
      <c r="Q820" s="37"/>
      <c r="R820" s="37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8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</row>
    <row r="821" ht="15.75" customHeight="1">
      <c r="A821" s="48"/>
      <c r="B821" s="32"/>
      <c r="C821" s="29"/>
      <c r="D821" s="26"/>
      <c r="E821" s="67"/>
      <c r="F821" s="28"/>
      <c r="G821" s="30"/>
      <c r="H821" s="30"/>
      <c r="I821" s="29"/>
      <c r="J821" s="30"/>
      <c r="K821" s="31"/>
      <c r="L821" s="32"/>
      <c r="M821" s="126"/>
      <c r="N821" s="32"/>
      <c r="O821" s="32"/>
      <c r="P821" s="37"/>
      <c r="Q821" s="37"/>
      <c r="R821" s="37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8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</row>
    <row r="822" ht="15.75" customHeight="1">
      <c r="A822" s="48"/>
      <c r="B822" s="32"/>
      <c r="C822" s="29"/>
      <c r="D822" s="26"/>
      <c r="E822" s="67"/>
      <c r="F822" s="28"/>
      <c r="G822" s="30"/>
      <c r="H822" s="30"/>
      <c r="I822" s="29"/>
      <c r="J822" s="30"/>
      <c r="K822" s="31"/>
      <c r="L822" s="32"/>
      <c r="M822" s="126"/>
      <c r="N822" s="32"/>
      <c r="O822" s="32"/>
      <c r="P822" s="37"/>
      <c r="Q822" s="37"/>
      <c r="R822" s="37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8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</row>
    <row r="823" ht="15.75" customHeight="1">
      <c r="A823" s="48"/>
      <c r="B823" s="32"/>
      <c r="C823" s="29"/>
      <c r="D823" s="26"/>
      <c r="E823" s="67"/>
      <c r="F823" s="28"/>
      <c r="G823" s="30"/>
      <c r="H823" s="30"/>
      <c r="I823" s="29"/>
      <c r="J823" s="30"/>
      <c r="K823" s="31"/>
      <c r="L823" s="32"/>
      <c r="M823" s="126"/>
      <c r="N823" s="32"/>
      <c r="O823" s="32"/>
      <c r="P823" s="37"/>
      <c r="Q823" s="37"/>
      <c r="R823" s="37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8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</row>
    <row r="824" ht="15.75" customHeight="1">
      <c r="A824" s="48"/>
      <c r="B824" s="32"/>
      <c r="C824" s="29"/>
      <c r="D824" s="26"/>
      <c r="E824" s="67"/>
      <c r="F824" s="28"/>
      <c r="G824" s="30"/>
      <c r="H824" s="30"/>
      <c r="I824" s="29"/>
      <c r="J824" s="30"/>
      <c r="K824" s="31"/>
      <c r="L824" s="32"/>
      <c r="M824" s="126"/>
      <c r="N824" s="32"/>
      <c r="O824" s="32"/>
      <c r="P824" s="37"/>
      <c r="Q824" s="37"/>
      <c r="R824" s="37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8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</row>
    <row r="825" ht="15.75" customHeight="1">
      <c r="A825" s="48"/>
      <c r="B825" s="32"/>
      <c r="C825" s="29"/>
      <c r="D825" s="26"/>
      <c r="E825" s="67"/>
      <c r="F825" s="28"/>
      <c r="G825" s="30"/>
      <c r="H825" s="30"/>
      <c r="I825" s="29"/>
      <c r="J825" s="30"/>
      <c r="K825" s="31"/>
      <c r="L825" s="32"/>
      <c r="M825" s="126"/>
      <c r="N825" s="32"/>
      <c r="O825" s="32"/>
      <c r="P825" s="37"/>
      <c r="Q825" s="37"/>
      <c r="R825" s="37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8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</row>
    <row r="826" ht="15.75" customHeight="1">
      <c r="A826" s="48"/>
      <c r="B826" s="32"/>
      <c r="C826" s="29"/>
      <c r="D826" s="26"/>
      <c r="E826" s="67"/>
      <c r="F826" s="28"/>
      <c r="G826" s="30"/>
      <c r="H826" s="30"/>
      <c r="I826" s="29"/>
      <c r="J826" s="30"/>
      <c r="K826" s="31"/>
      <c r="L826" s="32"/>
      <c r="M826" s="126"/>
      <c r="N826" s="32"/>
      <c r="O826" s="32"/>
      <c r="P826" s="37"/>
      <c r="Q826" s="37"/>
      <c r="R826" s="37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8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</row>
    <row r="827" ht="15.75" customHeight="1">
      <c r="A827" s="48"/>
      <c r="B827" s="32"/>
      <c r="C827" s="29"/>
      <c r="D827" s="26"/>
      <c r="E827" s="67"/>
      <c r="F827" s="28"/>
      <c r="G827" s="30"/>
      <c r="H827" s="30"/>
      <c r="I827" s="29"/>
      <c r="J827" s="30"/>
      <c r="K827" s="31"/>
      <c r="L827" s="32"/>
      <c r="M827" s="126"/>
      <c r="N827" s="32"/>
      <c r="O827" s="32"/>
      <c r="P827" s="37"/>
      <c r="Q827" s="37"/>
      <c r="R827" s="37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8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</row>
    <row r="828" ht="15.75" customHeight="1">
      <c r="A828" s="48"/>
      <c r="B828" s="32"/>
      <c r="C828" s="29"/>
      <c r="D828" s="26"/>
      <c r="E828" s="67"/>
      <c r="F828" s="28"/>
      <c r="G828" s="30"/>
      <c r="H828" s="30"/>
      <c r="I828" s="29"/>
      <c r="J828" s="30"/>
      <c r="K828" s="31"/>
      <c r="L828" s="32"/>
      <c r="M828" s="126"/>
      <c r="N828" s="32"/>
      <c r="O828" s="32"/>
      <c r="P828" s="37"/>
      <c r="Q828" s="37"/>
      <c r="R828" s="37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8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</row>
    <row r="829" ht="15.75" customHeight="1">
      <c r="A829" s="48"/>
      <c r="B829" s="32"/>
      <c r="C829" s="29"/>
      <c r="D829" s="26"/>
      <c r="E829" s="67"/>
      <c r="F829" s="28"/>
      <c r="G829" s="30"/>
      <c r="H829" s="30"/>
      <c r="I829" s="29"/>
      <c r="J829" s="30"/>
      <c r="K829" s="31"/>
      <c r="L829" s="32"/>
      <c r="M829" s="126"/>
      <c r="N829" s="32"/>
      <c r="O829" s="32"/>
      <c r="P829" s="37"/>
      <c r="Q829" s="37"/>
      <c r="R829" s="37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8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</row>
    <row r="830" ht="15.75" customHeight="1">
      <c r="A830" s="48"/>
      <c r="B830" s="32"/>
      <c r="C830" s="29"/>
      <c r="D830" s="26"/>
      <c r="E830" s="67"/>
      <c r="F830" s="28"/>
      <c r="G830" s="30"/>
      <c r="H830" s="30"/>
      <c r="I830" s="29"/>
      <c r="J830" s="30"/>
      <c r="K830" s="31"/>
      <c r="L830" s="32"/>
      <c r="M830" s="126"/>
      <c r="N830" s="32"/>
      <c r="O830" s="32"/>
      <c r="P830" s="37"/>
      <c r="Q830" s="37"/>
      <c r="R830" s="37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8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</row>
    <row r="831" ht="15.75" customHeight="1">
      <c r="A831" s="48"/>
      <c r="B831" s="32"/>
      <c r="C831" s="29"/>
      <c r="D831" s="26"/>
      <c r="E831" s="67"/>
      <c r="F831" s="28"/>
      <c r="G831" s="30"/>
      <c r="H831" s="30"/>
      <c r="I831" s="29"/>
      <c r="J831" s="30"/>
      <c r="K831" s="31"/>
      <c r="L831" s="32"/>
      <c r="M831" s="126"/>
      <c r="N831" s="32"/>
      <c r="O831" s="32"/>
      <c r="P831" s="37"/>
      <c r="Q831" s="37"/>
      <c r="R831" s="37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8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</row>
    <row r="832" ht="15.75" customHeight="1">
      <c r="A832" s="48"/>
      <c r="B832" s="32"/>
      <c r="C832" s="29"/>
      <c r="D832" s="26"/>
      <c r="E832" s="67"/>
      <c r="F832" s="28"/>
      <c r="G832" s="30"/>
      <c r="H832" s="30"/>
      <c r="I832" s="29"/>
      <c r="J832" s="30"/>
      <c r="K832" s="31"/>
      <c r="L832" s="32"/>
      <c r="M832" s="126"/>
      <c r="N832" s="32"/>
      <c r="O832" s="32"/>
      <c r="P832" s="37"/>
      <c r="Q832" s="37"/>
      <c r="R832" s="37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8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</row>
    <row r="833" ht="15.75" customHeight="1">
      <c r="A833" s="48"/>
      <c r="B833" s="32"/>
      <c r="C833" s="29"/>
      <c r="D833" s="26"/>
      <c r="E833" s="67"/>
      <c r="F833" s="28"/>
      <c r="G833" s="30"/>
      <c r="H833" s="30"/>
      <c r="I833" s="29"/>
      <c r="J833" s="30"/>
      <c r="K833" s="31"/>
      <c r="L833" s="32"/>
      <c r="M833" s="126"/>
      <c r="N833" s="32"/>
      <c r="O833" s="32"/>
      <c r="P833" s="37"/>
      <c r="Q833" s="37"/>
      <c r="R833" s="37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8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</row>
    <row r="834" ht="15.75" customHeight="1">
      <c r="A834" s="48"/>
      <c r="B834" s="32"/>
      <c r="C834" s="29"/>
      <c r="D834" s="26"/>
      <c r="E834" s="67"/>
      <c r="F834" s="28"/>
      <c r="G834" s="30"/>
      <c r="H834" s="30"/>
      <c r="I834" s="29"/>
      <c r="J834" s="30"/>
      <c r="K834" s="31"/>
      <c r="L834" s="32"/>
      <c r="M834" s="126"/>
      <c r="N834" s="32"/>
      <c r="O834" s="32"/>
      <c r="P834" s="37"/>
      <c r="Q834" s="37"/>
      <c r="R834" s="37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8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</row>
    <row r="835" ht="15.75" customHeight="1">
      <c r="A835" s="48"/>
      <c r="B835" s="32"/>
      <c r="C835" s="29"/>
      <c r="D835" s="26"/>
      <c r="E835" s="67"/>
      <c r="F835" s="28"/>
      <c r="G835" s="30"/>
      <c r="H835" s="30"/>
      <c r="I835" s="29"/>
      <c r="J835" s="30"/>
      <c r="K835" s="31"/>
      <c r="L835" s="32"/>
      <c r="M835" s="126"/>
      <c r="N835" s="32"/>
      <c r="O835" s="32"/>
      <c r="P835" s="37"/>
      <c r="Q835" s="37"/>
      <c r="R835" s="37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8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</row>
    <row r="836" ht="15.75" customHeight="1">
      <c r="A836" s="48"/>
      <c r="B836" s="32"/>
      <c r="C836" s="29"/>
      <c r="D836" s="26"/>
      <c r="E836" s="67"/>
      <c r="F836" s="28"/>
      <c r="G836" s="30"/>
      <c r="H836" s="30"/>
      <c r="I836" s="29"/>
      <c r="J836" s="30"/>
      <c r="K836" s="31"/>
      <c r="L836" s="32"/>
      <c r="M836" s="126"/>
      <c r="N836" s="32"/>
      <c r="O836" s="32"/>
      <c r="P836" s="37"/>
      <c r="Q836" s="37"/>
      <c r="R836" s="37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8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</row>
    <row r="837" ht="15.75" customHeight="1">
      <c r="A837" s="48"/>
      <c r="B837" s="32"/>
      <c r="C837" s="29"/>
      <c r="D837" s="26"/>
      <c r="E837" s="67"/>
      <c r="F837" s="28"/>
      <c r="G837" s="30"/>
      <c r="H837" s="30"/>
      <c r="I837" s="29"/>
      <c r="J837" s="30"/>
      <c r="K837" s="31"/>
      <c r="L837" s="32"/>
      <c r="M837" s="126"/>
      <c r="N837" s="32"/>
      <c r="O837" s="32"/>
      <c r="P837" s="37"/>
      <c r="Q837" s="37"/>
      <c r="R837" s="37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8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</row>
    <row r="838" ht="15.75" customHeight="1">
      <c r="A838" s="48"/>
      <c r="B838" s="32"/>
      <c r="C838" s="29"/>
      <c r="D838" s="26"/>
      <c r="E838" s="67"/>
      <c r="F838" s="28"/>
      <c r="G838" s="30"/>
      <c r="H838" s="30"/>
      <c r="I838" s="29"/>
      <c r="J838" s="30"/>
      <c r="K838" s="31"/>
      <c r="L838" s="32"/>
      <c r="M838" s="126"/>
      <c r="N838" s="32"/>
      <c r="O838" s="32"/>
      <c r="P838" s="37"/>
      <c r="Q838" s="37"/>
      <c r="R838" s="37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8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</row>
    <row r="839" ht="15.75" customHeight="1">
      <c r="A839" s="48"/>
      <c r="B839" s="32"/>
      <c r="C839" s="29"/>
      <c r="D839" s="26"/>
      <c r="E839" s="67"/>
      <c r="F839" s="28"/>
      <c r="G839" s="30"/>
      <c r="H839" s="30"/>
      <c r="I839" s="29"/>
      <c r="J839" s="30"/>
      <c r="K839" s="31"/>
      <c r="L839" s="32"/>
      <c r="M839" s="126"/>
      <c r="N839" s="32"/>
      <c r="O839" s="32"/>
      <c r="P839" s="37"/>
      <c r="Q839" s="37"/>
      <c r="R839" s="37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8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</row>
    <row r="840" ht="15.75" customHeight="1">
      <c r="A840" s="48"/>
      <c r="B840" s="32"/>
      <c r="C840" s="29"/>
      <c r="D840" s="26"/>
      <c r="E840" s="67"/>
      <c r="F840" s="28"/>
      <c r="G840" s="30"/>
      <c r="H840" s="30"/>
      <c r="I840" s="29"/>
      <c r="J840" s="30"/>
      <c r="K840" s="31"/>
      <c r="L840" s="32"/>
      <c r="M840" s="126"/>
      <c r="N840" s="32"/>
      <c r="O840" s="32"/>
      <c r="P840" s="37"/>
      <c r="Q840" s="37"/>
      <c r="R840" s="37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8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</row>
    <row r="841" ht="15.75" customHeight="1">
      <c r="A841" s="48"/>
      <c r="B841" s="32"/>
      <c r="C841" s="29"/>
      <c r="D841" s="26"/>
      <c r="E841" s="67"/>
      <c r="F841" s="28"/>
      <c r="G841" s="30"/>
      <c r="H841" s="30"/>
      <c r="I841" s="29"/>
      <c r="J841" s="30"/>
      <c r="K841" s="31"/>
      <c r="L841" s="32"/>
      <c r="M841" s="126"/>
      <c r="N841" s="32"/>
      <c r="O841" s="32"/>
      <c r="P841" s="37"/>
      <c r="Q841" s="37"/>
      <c r="R841" s="37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8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</row>
    <row r="842" ht="15.75" customHeight="1">
      <c r="A842" s="48"/>
      <c r="B842" s="32"/>
      <c r="C842" s="29"/>
      <c r="D842" s="26"/>
      <c r="E842" s="67"/>
      <c r="F842" s="28"/>
      <c r="G842" s="30"/>
      <c r="H842" s="30"/>
      <c r="I842" s="29"/>
      <c r="J842" s="30"/>
      <c r="K842" s="31"/>
      <c r="L842" s="32"/>
      <c r="M842" s="126"/>
      <c r="N842" s="32"/>
      <c r="O842" s="32"/>
      <c r="P842" s="37"/>
      <c r="Q842" s="37"/>
      <c r="R842" s="37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8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</row>
    <row r="843" ht="15.75" customHeight="1">
      <c r="A843" s="48"/>
      <c r="B843" s="32"/>
      <c r="C843" s="29"/>
      <c r="D843" s="26"/>
      <c r="E843" s="67"/>
      <c r="F843" s="28"/>
      <c r="G843" s="30"/>
      <c r="H843" s="30"/>
      <c r="I843" s="29"/>
      <c r="J843" s="30"/>
      <c r="K843" s="31"/>
      <c r="L843" s="32"/>
      <c r="M843" s="126"/>
      <c r="N843" s="32"/>
      <c r="O843" s="32"/>
      <c r="P843" s="37"/>
      <c r="Q843" s="37"/>
      <c r="R843" s="37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8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</row>
    <row r="844" ht="15.75" customHeight="1">
      <c r="A844" s="48"/>
      <c r="B844" s="32"/>
      <c r="C844" s="29"/>
      <c r="D844" s="26"/>
      <c r="E844" s="67"/>
      <c r="F844" s="28"/>
      <c r="G844" s="30"/>
      <c r="H844" s="30"/>
      <c r="I844" s="29"/>
      <c r="J844" s="30"/>
      <c r="K844" s="31"/>
      <c r="L844" s="32"/>
      <c r="M844" s="126"/>
      <c r="N844" s="32"/>
      <c r="O844" s="32"/>
      <c r="P844" s="37"/>
      <c r="Q844" s="37"/>
      <c r="R844" s="37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8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</row>
    <row r="845" ht="15.75" customHeight="1">
      <c r="A845" s="48"/>
      <c r="B845" s="32"/>
      <c r="C845" s="29"/>
      <c r="D845" s="26"/>
      <c r="E845" s="67"/>
      <c r="F845" s="28"/>
      <c r="G845" s="30"/>
      <c r="H845" s="30"/>
      <c r="I845" s="29"/>
      <c r="J845" s="30"/>
      <c r="K845" s="31"/>
      <c r="L845" s="32"/>
      <c r="M845" s="126"/>
      <c r="N845" s="32"/>
      <c r="O845" s="32"/>
      <c r="P845" s="37"/>
      <c r="Q845" s="37"/>
      <c r="R845" s="37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8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</row>
    <row r="846" ht="15.75" customHeight="1">
      <c r="A846" s="48"/>
      <c r="B846" s="32"/>
      <c r="C846" s="29"/>
      <c r="D846" s="26"/>
      <c r="E846" s="67"/>
      <c r="F846" s="28"/>
      <c r="G846" s="30"/>
      <c r="H846" s="30"/>
      <c r="I846" s="29"/>
      <c r="J846" s="30"/>
      <c r="K846" s="31"/>
      <c r="L846" s="32"/>
      <c r="M846" s="126"/>
      <c r="N846" s="32"/>
      <c r="O846" s="32"/>
      <c r="P846" s="37"/>
      <c r="Q846" s="37"/>
      <c r="R846" s="37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8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</row>
    <row r="847" ht="15.75" customHeight="1">
      <c r="A847" s="48"/>
      <c r="B847" s="32"/>
      <c r="C847" s="29"/>
      <c r="D847" s="26"/>
      <c r="E847" s="67"/>
      <c r="F847" s="28"/>
      <c r="G847" s="30"/>
      <c r="H847" s="30"/>
      <c r="I847" s="29"/>
      <c r="J847" s="30"/>
      <c r="K847" s="31"/>
      <c r="L847" s="32"/>
      <c r="M847" s="126"/>
      <c r="N847" s="32"/>
      <c r="O847" s="32"/>
      <c r="P847" s="37"/>
      <c r="Q847" s="37"/>
      <c r="R847" s="37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8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</row>
    <row r="848" ht="15.75" customHeight="1">
      <c r="A848" s="48"/>
      <c r="B848" s="32"/>
      <c r="C848" s="29"/>
      <c r="D848" s="26"/>
      <c r="E848" s="67"/>
      <c r="F848" s="28"/>
      <c r="G848" s="30"/>
      <c r="H848" s="30"/>
      <c r="I848" s="29"/>
      <c r="J848" s="30"/>
      <c r="K848" s="31"/>
      <c r="L848" s="32"/>
      <c r="M848" s="126"/>
      <c r="N848" s="32"/>
      <c r="O848" s="32"/>
      <c r="P848" s="37"/>
      <c r="Q848" s="37"/>
      <c r="R848" s="37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8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</row>
    <row r="849" ht="15.75" customHeight="1">
      <c r="A849" s="48"/>
      <c r="B849" s="32"/>
      <c r="C849" s="29"/>
      <c r="D849" s="26"/>
      <c r="E849" s="67"/>
      <c r="F849" s="28"/>
      <c r="G849" s="30"/>
      <c r="H849" s="30"/>
      <c r="I849" s="29"/>
      <c r="J849" s="30"/>
      <c r="K849" s="31"/>
      <c r="L849" s="32"/>
      <c r="M849" s="126"/>
      <c r="N849" s="32"/>
      <c r="O849" s="32"/>
      <c r="P849" s="37"/>
      <c r="Q849" s="37"/>
      <c r="R849" s="37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8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</row>
    <row r="850" ht="15.75" customHeight="1">
      <c r="A850" s="48"/>
      <c r="B850" s="32"/>
      <c r="C850" s="29"/>
      <c r="D850" s="26"/>
      <c r="E850" s="67"/>
      <c r="F850" s="28"/>
      <c r="G850" s="30"/>
      <c r="H850" s="30"/>
      <c r="I850" s="29"/>
      <c r="J850" s="30"/>
      <c r="K850" s="31"/>
      <c r="L850" s="32"/>
      <c r="M850" s="126"/>
      <c r="N850" s="32"/>
      <c r="O850" s="32"/>
      <c r="P850" s="37"/>
      <c r="Q850" s="37"/>
      <c r="R850" s="37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8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</row>
    <row r="851" ht="15.75" customHeight="1">
      <c r="A851" s="48"/>
      <c r="B851" s="32"/>
      <c r="C851" s="29"/>
      <c r="D851" s="26"/>
      <c r="E851" s="67"/>
      <c r="F851" s="28"/>
      <c r="G851" s="30"/>
      <c r="H851" s="30"/>
      <c r="I851" s="29"/>
      <c r="J851" s="30"/>
      <c r="K851" s="31"/>
      <c r="L851" s="32"/>
      <c r="M851" s="126"/>
      <c r="N851" s="32"/>
      <c r="O851" s="32"/>
      <c r="P851" s="37"/>
      <c r="Q851" s="37"/>
      <c r="R851" s="37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8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</row>
    <row r="852" ht="15.75" customHeight="1">
      <c r="A852" s="48"/>
      <c r="B852" s="32"/>
      <c r="C852" s="29"/>
      <c r="D852" s="26"/>
      <c r="E852" s="67"/>
      <c r="F852" s="28"/>
      <c r="G852" s="30"/>
      <c r="H852" s="30"/>
      <c r="I852" s="29"/>
      <c r="J852" s="30"/>
      <c r="K852" s="31"/>
      <c r="L852" s="32"/>
      <c r="M852" s="126"/>
      <c r="N852" s="32"/>
      <c r="O852" s="32"/>
      <c r="P852" s="37"/>
      <c r="Q852" s="37"/>
      <c r="R852" s="37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8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</row>
    <row r="853" ht="15.75" customHeight="1">
      <c r="A853" s="48"/>
      <c r="B853" s="32"/>
      <c r="C853" s="29"/>
      <c r="D853" s="26"/>
      <c r="E853" s="67"/>
      <c r="F853" s="28"/>
      <c r="G853" s="30"/>
      <c r="H853" s="30"/>
      <c r="I853" s="29"/>
      <c r="J853" s="30"/>
      <c r="K853" s="31"/>
      <c r="L853" s="32"/>
      <c r="M853" s="126"/>
      <c r="N853" s="32"/>
      <c r="O853" s="32"/>
      <c r="P853" s="37"/>
      <c r="Q853" s="37"/>
      <c r="R853" s="37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8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</row>
    <row r="854" ht="15.75" customHeight="1">
      <c r="A854" s="48"/>
      <c r="B854" s="32"/>
      <c r="C854" s="29"/>
      <c r="D854" s="26"/>
      <c r="E854" s="67"/>
      <c r="F854" s="28"/>
      <c r="G854" s="30"/>
      <c r="H854" s="30"/>
      <c r="I854" s="29"/>
      <c r="J854" s="30"/>
      <c r="K854" s="31"/>
      <c r="L854" s="32"/>
      <c r="M854" s="126"/>
      <c r="N854" s="32"/>
      <c r="O854" s="32"/>
      <c r="P854" s="37"/>
      <c r="Q854" s="37"/>
      <c r="R854" s="37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8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</row>
    <row r="855" ht="15.75" customHeight="1">
      <c r="A855" s="48"/>
      <c r="B855" s="32"/>
      <c r="C855" s="29"/>
      <c r="D855" s="26"/>
      <c r="E855" s="67"/>
      <c r="F855" s="28"/>
      <c r="G855" s="30"/>
      <c r="H855" s="30"/>
      <c r="I855" s="29"/>
      <c r="J855" s="30"/>
      <c r="K855" s="31"/>
      <c r="L855" s="32"/>
      <c r="M855" s="126"/>
      <c r="N855" s="32"/>
      <c r="O855" s="32"/>
      <c r="P855" s="37"/>
      <c r="Q855" s="37"/>
      <c r="R855" s="37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8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</row>
    <row r="856" ht="15.75" customHeight="1">
      <c r="A856" s="48"/>
      <c r="B856" s="32"/>
      <c r="C856" s="29"/>
      <c r="D856" s="26"/>
      <c r="E856" s="67"/>
      <c r="F856" s="28"/>
      <c r="G856" s="30"/>
      <c r="H856" s="30"/>
      <c r="I856" s="29"/>
      <c r="J856" s="30"/>
      <c r="K856" s="31"/>
      <c r="L856" s="32"/>
      <c r="M856" s="126"/>
      <c r="N856" s="32"/>
      <c r="O856" s="32"/>
      <c r="P856" s="37"/>
      <c r="Q856" s="37"/>
      <c r="R856" s="37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8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</row>
    <row r="857" ht="15.75" customHeight="1">
      <c r="A857" s="48"/>
      <c r="B857" s="32"/>
      <c r="C857" s="29"/>
      <c r="D857" s="26"/>
      <c r="E857" s="67"/>
      <c r="F857" s="28"/>
      <c r="G857" s="30"/>
      <c r="H857" s="30"/>
      <c r="I857" s="29"/>
      <c r="J857" s="30"/>
      <c r="K857" s="31"/>
      <c r="L857" s="32"/>
      <c r="M857" s="126"/>
      <c r="N857" s="32"/>
      <c r="O857" s="32"/>
      <c r="P857" s="37"/>
      <c r="Q857" s="37"/>
      <c r="R857" s="37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8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</row>
    <row r="858" ht="15.75" customHeight="1">
      <c r="A858" s="48"/>
      <c r="B858" s="32"/>
      <c r="C858" s="29"/>
      <c r="D858" s="26"/>
      <c r="E858" s="67"/>
      <c r="F858" s="28"/>
      <c r="G858" s="30"/>
      <c r="H858" s="30"/>
      <c r="I858" s="29"/>
      <c r="J858" s="30"/>
      <c r="K858" s="31"/>
      <c r="L858" s="32"/>
      <c r="M858" s="126"/>
      <c r="N858" s="32"/>
      <c r="O858" s="32"/>
      <c r="P858" s="37"/>
      <c r="Q858" s="37"/>
      <c r="R858" s="37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8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</row>
    <row r="859" ht="15.75" customHeight="1">
      <c r="A859" s="48"/>
      <c r="B859" s="32"/>
      <c r="C859" s="29"/>
      <c r="D859" s="26"/>
      <c r="E859" s="67"/>
      <c r="F859" s="28"/>
      <c r="G859" s="30"/>
      <c r="H859" s="30"/>
      <c r="I859" s="29"/>
      <c r="J859" s="30"/>
      <c r="K859" s="31"/>
      <c r="L859" s="32"/>
      <c r="M859" s="126"/>
      <c r="N859" s="32"/>
      <c r="O859" s="32"/>
      <c r="P859" s="37"/>
      <c r="Q859" s="37"/>
      <c r="R859" s="37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8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</row>
    <row r="860" ht="15.75" customHeight="1">
      <c r="A860" s="48"/>
      <c r="B860" s="32"/>
      <c r="C860" s="29"/>
      <c r="D860" s="26"/>
      <c r="E860" s="67"/>
      <c r="F860" s="28"/>
      <c r="G860" s="30"/>
      <c r="H860" s="30"/>
      <c r="I860" s="29"/>
      <c r="J860" s="30"/>
      <c r="K860" s="31"/>
      <c r="L860" s="32"/>
      <c r="M860" s="126"/>
      <c r="N860" s="32"/>
      <c r="O860" s="32"/>
      <c r="P860" s="37"/>
      <c r="Q860" s="37"/>
      <c r="R860" s="37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8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</row>
    <row r="861" ht="15.75" customHeight="1">
      <c r="A861" s="48"/>
      <c r="B861" s="32"/>
      <c r="C861" s="29"/>
      <c r="D861" s="26"/>
      <c r="E861" s="67"/>
      <c r="F861" s="28"/>
      <c r="G861" s="30"/>
      <c r="H861" s="30"/>
      <c r="I861" s="29"/>
      <c r="J861" s="30"/>
      <c r="K861" s="31"/>
      <c r="L861" s="32"/>
      <c r="M861" s="126"/>
      <c r="N861" s="32"/>
      <c r="O861" s="32"/>
      <c r="P861" s="37"/>
      <c r="Q861" s="37"/>
      <c r="R861" s="37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8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</row>
    <row r="862" ht="15.75" customHeight="1">
      <c r="A862" s="48"/>
      <c r="B862" s="32"/>
      <c r="C862" s="29"/>
      <c r="D862" s="26"/>
      <c r="E862" s="67"/>
      <c r="F862" s="28"/>
      <c r="G862" s="30"/>
      <c r="H862" s="30"/>
      <c r="I862" s="29"/>
      <c r="J862" s="30"/>
      <c r="K862" s="31"/>
      <c r="L862" s="32"/>
      <c r="M862" s="126"/>
      <c r="N862" s="32"/>
      <c r="O862" s="32"/>
      <c r="P862" s="37"/>
      <c r="Q862" s="37"/>
      <c r="R862" s="37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8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</row>
    <row r="863" ht="15.75" customHeight="1">
      <c r="A863" s="48"/>
      <c r="B863" s="32"/>
      <c r="C863" s="29"/>
      <c r="D863" s="26"/>
      <c r="E863" s="67"/>
      <c r="F863" s="28"/>
      <c r="G863" s="30"/>
      <c r="H863" s="30"/>
      <c r="I863" s="29"/>
      <c r="J863" s="30"/>
      <c r="K863" s="31"/>
      <c r="L863" s="32"/>
      <c r="M863" s="126"/>
      <c r="N863" s="32"/>
      <c r="O863" s="32"/>
      <c r="P863" s="37"/>
      <c r="Q863" s="37"/>
      <c r="R863" s="37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8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</row>
    <row r="864" ht="15.75" customHeight="1">
      <c r="A864" s="48"/>
      <c r="B864" s="32"/>
      <c r="C864" s="29"/>
      <c r="D864" s="26"/>
      <c r="E864" s="67"/>
      <c r="F864" s="28"/>
      <c r="G864" s="30"/>
      <c r="H864" s="30"/>
      <c r="I864" s="29"/>
      <c r="J864" s="30"/>
      <c r="K864" s="31"/>
      <c r="L864" s="32"/>
      <c r="M864" s="126"/>
      <c r="N864" s="32"/>
      <c r="O864" s="32"/>
      <c r="P864" s="37"/>
      <c r="Q864" s="37"/>
      <c r="R864" s="37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8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</row>
    <row r="865" ht="15.75" customHeight="1">
      <c r="A865" s="48"/>
      <c r="B865" s="32"/>
      <c r="C865" s="29"/>
      <c r="D865" s="26"/>
      <c r="E865" s="67"/>
      <c r="F865" s="28"/>
      <c r="G865" s="30"/>
      <c r="H865" s="30"/>
      <c r="I865" s="29"/>
      <c r="J865" s="30"/>
      <c r="K865" s="31"/>
      <c r="L865" s="32"/>
      <c r="M865" s="126"/>
      <c r="N865" s="32"/>
      <c r="O865" s="32"/>
      <c r="P865" s="37"/>
      <c r="Q865" s="37"/>
      <c r="R865" s="37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8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</row>
    <row r="866" ht="15.75" customHeight="1">
      <c r="A866" s="48"/>
      <c r="B866" s="32"/>
      <c r="C866" s="29"/>
      <c r="D866" s="26"/>
      <c r="E866" s="67"/>
      <c r="F866" s="28"/>
      <c r="G866" s="30"/>
      <c r="H866" s="30"/>
      <c r="I866" s="29"/>
      <c r="J866" s="30"/>
      <c r="K866" s="31"/>
      <c r="L866" s="32"/>
      <c r="M866" s="126"/>
      <c r="N866" s="32"/>
      <c r="O866" s="32"/>
      <c r="P866" s="37"/>
      <c r="Q866" s="37"/>
      <c r="R866" s="37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8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</row>
    <row r="867" ht="15.75" customHeight="1">
      <c r="A867" s="48"/>
      <c r="B867" s="32"/>
      <c r="C867" s="29"/>
      <c r="D867" s="26"/>
      <c r="E867" s="67"/>
      <c r="F867" s="28"/>
      <c r="G867" s="30"/>
      <c r="H867" s="30"/>
      <c r="I867" s="29"/>
      <c r="J867" s="30"/>
      <c r="K867" s="31"/>
      <c r="L867" s="32"/>
      <c r="M867" s="126"/>
      <c r="N867" s="32"/>
      <c r="O867" s="32"/>
      <c r="P867" s="37"/>
      <c r="Q867" s="37"/>
      <c r="R867" s="37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8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</row>
    <row r="868" ht="15.75" customHeight="1">
      <c r="A868" s="48"/>
      <c r="B868" s="32"/>
      <c r="C868" s="29"/>
      <c r="D868" s="26"/>
      <c r="E868" s="67"/>
      <c r="F868" s="28"/>
      <c r="G868" s="30"/>
      <c r="H868" s="30"/>
      <c r="I868" s="29"/>
      <c r="J868" s="30"/>
      <c r="K868" s="31"/>
      <c r="L868" s="32"/>
      <c r="M868" s="126"/>
      <c r="N868" s="32"/>
      <c r="O868" s="32"/>
      <c r="P868" s="37"/>
      <c r="Q868" s="37"/>
      <c r="R868" s="37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8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</row>
    <row r="869" ht="15.75" customHeight="1">
      <c r="A869" s="48"/>
      <c r="B869" s="32"/>
      <c r="C869" s="29"/>
      <c r="D869" s="26"/>
      <c r="E869" s="67"/>
      <c r="F869" s="28"/>
      <c r="G869" s="30"/>
      <c r="H869" s="30"/>
      <c r="I869" s="29"/>
      <c r="J869" s="30"/>
      <c r="K869" s="31"/>
      <c r="L869" s="32"/>
      <c r="M869" s="126"/>
      <c r="N869" s="32"/>
      <c r="O869" s="32"/>
      <c r="P869" s="37"/>
      <c r="Q869" s="37"/>
      <c r="R869" s="37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8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</row>
    <row r="870" ht="15.75" customHeight="1">
      <c r="A870" s="48"/>
      <c r="B870" s="32"/>
      <c r="C870" s="29"/>
      <c r="D870" s="26"/>
      <c r="E870" s="67"/>
      <c r="F870" s="28"/>
      <c r="G870" s="30"/>
      <c r="H870" s="30"/>
      <c r="I870" s="29"/>
      <c r="J870" s="30"/>
      <c r="K870" s="31"/>
      <c r="L870" s="32"/>
      <c r="M870" s="126"/>
      <c r="N870" s="32"/>
      <c r="O870" s="32"/>
      <c r="P870" s="37"/>
      <c r="Q870" s="37"/>
      <c r="R870" s="37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8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</row>
    <row r="871" ht="15.75" customHeight="1">
      <c r="A871" s="48"/>
      <c r="B871" s="32"/>
      <c r="C871" s="29"/>
      <c r="D871" s="26"/>
      <c r="E871" s="67"/>
      <c r="F871" s="28"/>
      <c r="G871" s="30"/>
      <c r="H871" s="30"/>
      <c r="I871" s="29"/>
      <c r="J871" s="30"/>
      <c r="K871" s="31"/>
      <c r="L871" s="32"/>
      <c r="M871" s="126"/>
      <c r="N871" s="32"/>
      <c r="O871" s="32"/>
      <c r="P871" s="37"/>
      <c r="Q871" s="37"/>
      <c r="R871" s="37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8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</row>
    <row r="872" ht="15.75" customHeight="1">
      <c r="A872" s="48"/>
      <c r="B872" s="32"/>
      <c r="C872" s="29"/>
      <c r="D872" s="26"/>
      <c r="E872" s="67"/>
      <c r="F872" s="28"/>
      <c r="G872" s="30"/>
      <c r="H872" s="30"/>
      <c r="I872" s="29"/>
      <c r="J872" s="30"/>
      <c r="K872" s="31"/>
      <c r="L872" s="32"/>
      <c r="M872" s="126"/>
      <c r="N872" s="32"/>
      <c r="O872" s="32"/>
      <c r="P872" s="37"/>
      <c r="Q872" s="37"/>
      <c r="R872" s="37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8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</row>
    <row r="873" ht="15.75" customHeight="1">
      <c r="A873" s="48"/>
      <c r="B873" s="32"/>
      <c r="C873" s="29"/>
      <c r="D873" s="26"/>
      <c r="E873" s="67"/>
      <c r="F873" s="28"/>
      <c r="G873" s="30"/>
      <c r="H873" s="30"/>
      <c r="I873" s="29"/>
      <c r="J873" s="30"/>
      <c r="K873" s="31"/>
      <c r="L873" s="32"/>
      <c r="M873" s="126"/>
      <c r="N873" s="32"/>
      <c r="O873" s="32"/>
      <c r="P873" s="37"/>
      <c r="Q873" s="37"/>
      <c r="R873" s="37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8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</row>
    <row r="874" ht="15.75" customHeight="1">
      <c r="A874" s="48"/>
      <c r="B874" s="32"/>
      <c r="C874" s="29"/>
      <c r="D874" s="26"/>
      <c r="E874" s="67"/>
      <c r="F874" s="28"/>
      <c r="G874" s="30"/>
      <c r="H874" s="30"/>
      <c r="I874" s="29"/>
      <c r="J874" s="30"/>
      <c r="K874" s="31"/>
      <c r="L874" s="32"/>
      <c r="M874" s="126"/>
      <c r="N874" s="32"/>
      <c r="O874" s="32"/>
      <c r="P874" s="37"/>
      <c r="Q874" s="37"/>
      <c r="R874" s="37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8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</row>
    <row r="875" ht="15.75" customHeight="1">
      <c r="A875" s="48"/>
      <c r="B875" s="32"/>
      <c r="C875" s="29"/>
      <c r="D875" s="26"/>
      <c r="E875" s="67"/>
      <c r="F875" s="28"/>
      <c r="G875" s="30"/>
      <c r="H875" s="30"/>
      <c r="I875" s="29"/>
      <c r="J875" s="30"/>
      <c r="K875" s="31"/>
      <c r="L875" s="32"/>
      <c r="M875" s="126"/>
      <c r="N875" s="32"/>
      <c r="O875" s="32"/>
      <c r="P875" s="37"/>
      <c r="Q875" s="37"/>
      <c r="R875" s="37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8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</row>
    <row r="876" ht="15.75" customHeight="1">
      <c r="A876" s="48"/>
      <c r="B876" s="32"/>
      <c r="C876" s="29"/>
      <c r="D876" s="26"/>
      <c r="E876" s="67"/>
      <c r="F876" s="28"/>
      <c r="G876" s="30"/>
      <c r="H876" s="30"/>
      <c r="I876" s="29"/>
      <c r="J876" s="30"/>
      <c r="K876" s="31"/>
      <c r="L876" s="32"/>
      <c r="M876" s="126"/>
      <c r="N876" s="32"/>
      <c r="O876" s="32"/>
      <c r="P876" s="37"/>
      <c r="Q876" s="37"/>
      <c r="R876" s="37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8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</row>
    <row r="877" ht="15.75" customHeight="1">
      <c r="A877" s="48"/>
      <c r="B877" s="32"/>
      <c r="C877" s="29"/>
      <c r="D877" s="26"/>
      <c r="E877" s="67"/>
      <c r="F877" s="28"/>
      <c r="G877" s="30"/>
      <c r="H877" s="30"/>
      <c r="I877" s="29"/>
      <c r="J877" s="30"/>
      <c r="K877" s="31"/>
      <c r="L877" s="32"/>
      <c r="M877" s="126"/>
      <c r="N877" s="32"/>
      <c r="O877" s="32"/>
      <c r="P877" s="37"/>
      <c r="Q877" s="37"/>
      <c r="R877" s="37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8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</row>
    <row r="878" ht="15.75" customHeight="1">
      <c r="A878" s="48"/>
      <c r="B878" s="32"/>
      <c r="C878" s="29"/>
      <c r="D878" s="26"/>
      <c r="E878" s="67"/>
      <c r="F878" s="28"/>
      <c r="G878" s="30"/>
      <c r="H878" s="30"/>
      <c r="I878" s="29"/>
      <c r="J878" s="30"/>
      <c r="K878" s="31"/>
      <c r="L878" s="32"/>
      <c r="M878" s="126"/>
      <c r="N878" s="32"/>
      <c r="O878" s="32"/>
      <c r="P878" s="37"/>
      <c r="Q878" s="37"/>
      <c r="R878" s="37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8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</row>
    <row r="879" ht="15.75" customHeight="1">
      <c r="A879" s="48"/>
      <c r="B879" s="32"/>
      <c r="C879" s="29"/>
      <c r="D879" s="26"/>
      <c r="E879" s="67"/>
      <c r="F879" s="28"/>
      <c r="G879" s="30"/>
      <c r="H879" s="30"/>
      <c r="I879" s="29"/>
      <c r="J879" s="30"/>
      <c r="K879" s="31"/>
      <c r="L879" s="32"/>
      <c r="M879" s="126"/>
      <c r="N879" s="32"/>
      <c r="O879" s="32"/>
      <c r="P879" s="37"/>
      <c r="Q879" s="37"/>
      <c r="R879" s="37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8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</row>
    <row r="880" ht="15.75" customHeight="1">
      <c r="A880" s="48"/>
      <c r="B880" s="32"/>
      <c r="C880" s="29"/>
      <c r="D880" s="26"/>
      <c r="E880" s="67"/>
      <c r="F880" s="28"/>
      <c r="G880" s="30"/>
      <c r="H880" s="30"/>
      <c r="I880" s="29"/>
      <c r="J880" s="30"/>
      <c r="K880" s="31"/>
      <c r="L880" s="32"/>
      <c r="M880" s="126"/>
      <c r="N880" s="32"/>
      <c r="O880" s="32"/>
      <c r="P880" s="37"/>
      <c r="Q880" s="37"/>
      <c r="R880" s="37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8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</row>
    <row r="881" ht="15.75" customHeight="1">
      <c r="A881" s="48"/>
      <c r="B881" s="32"/>
      <c r="C881" s="29"/>
      <c r="D881" s="26"/>
      <c r="E881" s="67"/>
      <c r="F881" s="28"/>
      <c r="G881" s="30"/>
      <c r="H881" s="30"/>
      <c r="I881" s="29"/>
      <c r="J881" s="30"/>
      <c r="K881" s="31"/>
      <c r="L881" s="32"/>
      <c r="M881" s="126"/>
      <c r="N881" s="32"/>
      <c r="O881" s="32"/>
      <c r="P881" s="37"/>
      <c r="Q881" s="37"/>
      <c r="R881" s="37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8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</row>
    <row r="882" ht="15.75" customHeight="1">
      <c r="A882" s="48"/>
      <c r="B882" s="32"/>
      <c r="C882" s="29"/>
      <c r="D882" s="26"/>
      <c r="E882" s="67"/>
      <c r="F882" s="28"/>
      <c r="G882" s="30"/>
      <c r="H882" s="30"/>
      <c r="I882" s="29"/>
      <c r="J882" s="30"/>
      <c r="K882" s="31"/>
      <c r="L882" s="32"/>
      <c r="M882" s="126"/>
      <c r="N882" s="32"/>
      <c r="O882" s="32"/>
      <c r="P882" s="37"/>
      <c r="Q882" s="37"/>
      <c r="R882" s="37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8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</row>
    <row r="883" ht="15.75" customHeight="1">
      <c r="A883" s="48"/>
      <c r="B883" s="32"/>
      <c r="C883" s="29"/>
      <c r="D883" s="26"/>
      <c r="E883" s="67"/>
      <c r="F883" s="28"/>
      <c r="G883" s="30"/>
      <c r="H883" s="30"/>
      <c r="I883" s="29"/>
      <c r="J883" s="30"/>
      <c r="K883" s="31"/>
      <c r="L883" s="32"/>
      <c r="M883" s="126"/>
      <c r="N883" s="32"/>
      <c r="O883" s="32"/>
      <c r="P883" s="37"/>
      <c r="Q883" s="37"/>
      <c r="R883" s="37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8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</row>
    <row r="884" ht="15.75" customHeight="1">
      <c r="A884" s="48"/>
      <c r="B884" s="32"/>
      <c r="C884" s="29"/>
      <c r="D884" s="26"/>
      <c r="E884" s="67"/>
      <c r="F884" s="28"/>
      <c r="G884" s="30"/>
      <c r="H884" s="30"/>
      <c r="I884" s="29"/>
      <c r="J884" s="30"/>
      <c r="K884" s="31"/>
      <c r="L884" s="32"/>
      <c r="M884" s="126"/>
      <c r="N884" s="32"/>
      <c r="O884" s="32"/>
      <c r="P884" s="37"/>
      <c r="Q884" s="37"/>
      <c r="R884" s="37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8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</row>
    <row r="885" ht="15.75" customHeight="1">
      <c r="A885" s="48"/>
      <c r="B885" s="32"/>
      <c r="C885" s="29"/>
      <c r="D885" s="26"/>
      <c r="E885" s="67"/>
      <c r="F885" s="28"/>
      <c r="G885" s="30"/>
      <c r="H885" s="30"/>
      <c r="I885" s="29"/>
      <c r="J885" s="30"/>
      <c r="K885" s="31"/>
      <c r="L885" s="32"/>
      <c r="M885" s="126"/>
      <c r="N885" s="32"/>
      <c r="O885" s="32"/>
      <c r="P885" s="37"/>
      <c r="Q885" s="37"/>
      <c r="R885" s="37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8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</row>
    <row r="886" ht="15.75" customHeight="1">
      <c r="A886" s="48"/>
      <c r="B886" s="32"/>
      <c r="C886" s="29"/>
      <c r="D886" s="26"/>
      <c r="E886" s="67"/>
      <c r="F886" s="28"/>
      <c r="G886" s="30"/>
      <c r="H886" s="30"/>
      <c r="I886" s="29"/>
      <c r="J886" s="30"/>
      <c r="K886" s="31"/>
      <c r="L886" s="32"/>
      <c r="M886" s="126"/>
      <c r="N886" s="32"/>
      <c r="O886" s="32"/>
      <c r="P886" s="37"/>
      <c r="Q886" s="37"/>
      <c r="R886" s="37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8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</row>
    <row r="887" ht="15.75" customHeight="1">
      <c r="A887" s="48"/>
      <c r="B887" s="32"/>
      <c r="C887" s="29"/>
      <c r="D887" s="26"/>
      <c r="E887" s="67"/>
      <c r="F887" s="28"/>
      <c r="G887" s="30"/>
      <c r="H887" s="30"/>
      <c r="I887" s="29"/>
      <c r="J887" s="30"/>
      <c r="K887" s="31"/>
      <c r="L887" s="32"/>
      <c r="M887" s="126"/>
      <c r="N887" s="32"/>
      <c r="O887" s="32"/>
      <c r="P887" s="37"/>
      <c r="Q887" s="37"/>
      <c r="R887" s="37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8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</row>
    <row r="888" ht="15.75" customHeight="1">
      <c r="A888" s="48"/>
      <c r="B888" s="32"/>
      <c r="C888" s="29"/>
      <c r="D888" s="26"/>
      <c r="E888" s="67"/>
      <c r="F888" s="28"/>
      <c r="G888" s="30"/>
      <c r="H888" s="30"/>
      <c r="I888" s="29"/>
      <c r="J888" s="30"/>
      <c r="K888" s="31"/>
      <c r="L888" s="32"/>
      <c r="M888" s="126"/>
      <c r="N888" s="32"/>
      <c r="O888" s="32"/>
      <c r="P888" s="37"/>
      <c r="Q888" s="37"/>
      <c r="R888" s="37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8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</row>
    <row r="889" ht="15.75" customHeight="1">
      <c r="A889" s="48"/>
      <c r="B889" s="32"/>
      <c r="C889" s="29"/>
      <c r="D889" s="26"/>
      <c r="E889" s="67"/>
      <c r="F889" s="28"/>
      <c r="G889" s="30"/>
      <c r="H889" s="30"/>
      <c r="I889" s="29"/>
      <c r="J889" s="30"/>
      <c r="K889" s="31"/>
      <c r="L889" s="32"/>
      <c r="M889" s="126"/>
      <c r="N889" s="32"/>
      <c r="O889" s="32"/>
      <c r="P889" s="37"/>
      <c r="Q889" s="37"/>
      <c r="R889" s="37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8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</row>
    <row r="890" ht="15.75" customHeight="1">
      <c r="A890" s="48"/>
      <c r="B890" s="32"/>
      <c r="C890" s="29"/>
      <c r="D890" s="26"/>
      <c r="E890" s="67"/>
      <c r="F890" s="28"/>
      <c r="G890" s="30"/>
      <c r="H890" s="30"/>
      <c r="I890" s="29"/>
      <c r="J890" s="30"/>
      <c r="K890" s="31"/>
      <c r="L890" s="32"/>
      <c r="M890" s="126"/>
      <c r="N890" s="32"/>
      <c r="O890" s="32"/>
      <c r="P890" s="37"/>
      <c r="Q890" s="37"/>
      <c r="R890" s="37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8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</row>
    <row r="891" ht="15.75" customHeight="1">
      <c r="A891" s="48"/>
      <c r="B891" s="32"/>
      <c r="C891" s="29"/>
      <c r="D891" s="26"/>
      <c r="E891" s="67"/>
      <c r="F891" s="28"/>
      <c r="G891" s="30"/>
      <c r="H891" s="30"/>
      <c r="I891" s="29"/>
      <c r="J891" s="30"/>
      <c r="K891" s="31"/>
      <c r="L891" s="32"/>
      <c r="M891" s="126"/>
      <c r="N891" s="32"/>
      <c r="O891" s="32"/>
      <c r="P891" s="37"/>
      <c r="Q891" s="37"/>
      <c r="R891" s="37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8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</row>
    <row r="892" ht="15.75" customHeight="1">
      <c r="A892" s="48"/>
      <c r="B892" s="32"/>
      <c r="C892" s="29"/>
      <c r="D892" s="26"/>
      <c r="E892" s="67"/>
      <c r="F892" s="28"/>
      <c r="G892" s="30"/>
      <c r="H892" s="30"/>
      <c r="I892" s="29"/>
      <c r="J892" s="30"/>
      <c r="K892" s="31"/>
      <c r="L892" s="32"/>
      <c r="M892" s="126"/>
      <c r="N892" s="32"/>
      <c r="O892" s="32"/>
      <c r="P892" s="37"/>
      <c r="Q892" s="37"/>
      <c r="R892" s="37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8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</row>
    <row r="893" ht="15.75" customHeight="1">
      <c r="A893" s="48"/>
      <c r="B893" s="32"/>
      <c r="C893" s="29"/>
      <c r="D893" s="26"/>
      <c r="E893" s="67"/>
      <c r="F893" s="28"/>
      <c r="G893" s="30"/>
      <c r="H893" s="30"/>
      <c r="I893" s="29"/>
      <c r="J893" s="30"/>
      <c r="K893" s="31"/>
      <c r="L893" s="32"/>
      <c r="M893" s="126"/>
      <c r="N893" s="32"/>
      <c r="O893" s="32"/>
      <c r="P893" s="37"/>
      <c r="Q893" s="37"/>
      <c r="R893" s="37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8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</row>
    <row r="894" ht="15.75" customHeight="1">
      <c r="A894" s="48"/>
      <c r="B894" s="32"/>
      <c r="C894" s="29"/>
      <c r="D894" s="26"/>
      <c r="E894" s="67"/>
      <c r="F894" s="28"/>
      <c r="G894" s="30"/>
      <c r="H894" s="30"/>
      <c r="I894" s="29"/>
      <c r="J894" s="30"/>
      <c r="K894" s="31"/>
      <c r="L894" s="32"/>
      <c r="M894" s="126"/>
      <c r="N894" s="32"/>
      <c r="O894" s="32"/>
      <c r="P894" s="37"/>
      <c r="Q894" s="37"/>
      <c r="R894" s="37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8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</row>
    <row r="895" ht="15.75" customHeight="1">
      <c r="A895" s="48"/>
      <c r="B895" s="32"/>
      <c r="C895" s="29"/>
      <c r="D895" s="26"/>
      <c r="E895" s="67"/>
      <c r="F895" s="28"/>
      <c r="G895" s="30"/>
      <c r="H895" s="30"/>
      <c r="I895" s="29"/>
      <c r="J895" s="30"/>
      <c r="K895" s="31"/>
      <c r="L895" s="32"/>
      <c r="M895" s="126"/>
      <c r="N895" s="32"/>
      <c r="O895" s="32"/>
      <c r="P895" s="37"/>
      <c r="Q895" s="37"/>
      <c r="R895" s="37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8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</row>
    <row r="896" ht="15.75" customHeight="1">
      <c r="A896" s="48"/>
      <c r="B896" s="32"/>
      <c r="C896" s="29"/>
      <c r="D896" s="26"/>
      <c r="E896" s="67"/>
      <c r="F896" s="28"/>
      <c r="G896" s="30"/>
      <c r="H896" s="30"/>
      <c r="I896" s="29"/>
      <c r="J896" s="30"/>
      <c r="K896" s="31"/>
      <c r="L896" s="32"/>
      <c r="M896" s="126"/>
      <c r="N896" s="32"/>
      <c r="O896" s="32"/>
      <c r="P896" s="37"/>
      <c r="Q896" s="37"/>
      <c r="R896" s="37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8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</row>
    <row r="897" ht="15.75" customHeight="1">
      <c r="A897" s="48"/>
      <c r="B897" s="32"/>
      <c r="C897" s="29"/>
      <c r="D897" s="26"/>
      <c r="E897" s="67"/>
      <c r="F897" s="28"/>
      <c r="G897" s="30"/>
      <c r="H897" s="30"/>
      <c r="I897" s="29"/>
      <c r="J897" s="30"/>
      <c r="K897" s="31"/>
      <c r="L897" s="32"/>
      <c r="M897" s="126"/>
      <c r="N897" s="32"/>
      <c r="O897" s="32"/>
      <c r="P897" s="37"/>
      <c r="Q897" s="37"/>
      <c r="R897" s="37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8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</row>
    <row r="898" ht="15.75" customHeight="1">
      <c r="A898" s="48"/>
      <c r="B898" s="32"/>
      <c r="C898" s="29"/>
      <c r="D898" s="26"/>
      <c r="E898" s="67"/>
      <c r="F898" s="28"/>
      <c r="G898" s="30"/>
      <c r="H898" s="30"/>
      <c r="I898" s="29"/>
      <c r="J898" s="30"/>
      <c r="K898" s="31"/>
      <c r="L898" s="32"/>
      <c r="M898" s="126"/>
      <c r="N898" s="32"/>
      <c r="O898" s="32"/>
      <c r="P898" s="37"/>
      <c r="Q898" s="37"/>
      <c r="R898" s="37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8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</row>
    <row r="899" ht="15.75" customHeight="1">
      <c r="A899" s="48"/>
      <c r="B899" s="32"/>
      <c r="C899" s="29"/>
      <c r="D899" s="26"/>
      <c r="E899" s="67"/>
      <c r="F899" s="28"/>
      <c r="G899" s="30"/>
      <c r="H899" s="30"/>
      <c r="I899" s="29"/>
      <c r="J899" s="30"/>
      <c r="K899" s="31"/>
      <c r="L899" s="32"/>
      <c r="M899" s="126"/>
      <c r="N899" s="32"/>
      <c r="O899" s="32"/>
      <c r="P899" s="37"/>
      <c r="Q899" s="37"/>
      <c r="R899" s="37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8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</row>
    <row r="900" ht="15.75" customHeight="1">
      <c r="A900" s="48"/>
      <c r="B900" s="32"/>
      <c r="C900" s="29"/>
      <c r="D900" s="26"/>
      <c r="E900" s="67"/>
      <c r="F900" s="28"/>
      <c r="G900" s="30"/>
      <c r="H900" s="30"/>
      <c r="I900" s="29"/>
      <c r="J900" s="30"/>
      <c r="K900" s="31"/>
      <c r="L900" s="32"/>
      <c r="M900" s="126"/>
      <c r="N900" s="32"/>
      <c r="O900" s="32"/>
      <c r="P900" s="37"/>
      <c r="Q900" s="37"/>
      <c r="R900" s="37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8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</row>
    <row r="901" ht="15.75" customHeight="1">
      <c r="A901" s="48"/>
      <c r="B901" s="32"/>
      <c r="C901" s="29"/>
      <c r="D901" s="26"/>
      <c r="E901" s="67"/>
      <c r="F901" s="28"/>
      <c r="G901" s="30"/>
      <c r="H901" s="30"/>
      <c r="I901" s="29"/>
      <c r="J901" s="30"/>
      <c r="K901" s="31"/>
      <c r="L901" s="32"/>
      <c r="M901" s="126"/>
      <c r="N901" s="32"/>
      <c r="O901" s="32"/>
      <c r="P901" s="37"/>
      <c r="Q901" s="37"/>
      <c r="R901" s="37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8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</row>
    <row r="902" ht="15.75" customHeight="1">
      <c r="A902" s="48"/>
      <c r="B902" s="32"/>
      <c r="C902" s="29"/>
      <c r="D902" s="26"/>
      <c r="E902" s="67"/>
      <c r="F902" s="28"/>
      <c r="G902" s="30"/>
      <c r="H902" s="30"/>
      <c r="I902" s="29"/>
      <c r="J902" s="30"/>
      <c r="K902" s="31"/>
      <c r="L902" s="32"/>
      <c r="M902" s="126"/>
      <c r="N902" s="32"/>
      <c r="O902" s="32"/>
      <c r="P902" s="37"/>
      <c r="Q902" s="37"/>
      <c r="R902" s="37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8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</row>
    <row r="903" ht="15.75" customHeight="1">
      <c r="A903" s="48"/>
      <c r="B903" s="32"/>
      <c r="C903" s="29"/>
      <c r="D903" s="26"/>
      <c r="E903" s="67"/>
      <c r="F903" s="28"/>
      <c r="G903" s="30"/>
      <c r="H903" s="30"/>
      <c r="I903" s="29"/>
      <c r="J903" s="30"/>
      <c r="K903" s="31"/>
      <c r="L903" s="32"/>
      <c r="M903" s="126"/>
      <c r="N903" s="32"/>
      <c r="O903" s="32"/>
      <c r="P903" s="37"/>
      <c r="Q903" s="37"/>
      <c r="R903" s="37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8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</row>
    <row r="904" ht="15.75" customHeight="1">
      <c r="A904" s="48"/>
      <c r="B904" s="32"/>
      <c r="C904" s="29"/>
      <c r="D904" s="26"/>
      <c r="E904" s="67"/>
      <c r="F904" s="28"/>
      <c r="G904" s="30"/>
      <c r="H904" s="30"/>
      <c r="I904" s="29"/>
      <c r="J904" s="30"/>
      <c r="K904" s="31"/>
      <c r="L904" s="32"/>
      <c r="M904" s="126"/>
      <c r="N904" s="32"/>
      <c r="O904" s="32"/>
      <c r="P904" s="37"/>
      <c r="Q904" s="37"/>
      <c r="R904" s="37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8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</row>
    <row r="905" ht="15.75" customHeight="1">
      <c r="A905" s="48"/>
      <c r="B905" s="32"/>
      <c r="C905" s="29"/>
      <c r="D905" s="26"/>
      <c r="E905" s="67"/>
      <c r="F905" s="28"/>
      <c r="G905" s="30"/>
      <c r="H905" s="30"/>
      <c r="I905" s="29"/>
      <c r="J905" s="30"/>
      <c r="K905" s="31"/>
      <c r="L905" s="32"/>
      <c r="M905" s="126"/>
      <c r="N905" s="32"/>
      <c r="O905" s="32"/>
      <c r="P905" s="37"/>
      <c r="Q905" s="37"/>
      <c r="R905" s="37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8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</row>
    <row r="906" ht="15.75" customHeight="1">
      <c r="A906" s="48"/>
      <c r="B906" s="32"/>
      <c r="C906" s="29"/>
      <c r="D906" s="26"/>
      <c r="E906" s="67"/>
      <c r="F906" s="28"/>
      <c r="G906" s="30"/>
      <c r="H906" s="30"/>
      <c r="I906" s="29"/>
      <c r="J906" s="30"/>
      <c r="K906" s="31"/>
      <c r="L906" s="32"/>
      <c r="M906" s="126"/>
      <c r="N906" s="32"/>
      <c r="O906" s="32"/>
      <c r="P906" s="37"/>
      <c r="Q906" s="37"/>
      <c r="R906" s="37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8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</row>
    <row r="907" ht="15.75" customHeight="1">
      <c r="A907" s="48"/>
      <c r="B907" s="32"/>
      <c r="C907" s="29"/>
      <c r="D907" s="26"/>
      <c r="E907" s="67"/>
      <c r="F907" s="28"/>
      <c r="G907" s="30"/>
      <c r="H907" s="30"/>
      <c r="I907" s="29"/>
      <c r="J907" s="30"/>
      <c r="K907" s="31"/>
      <c r="L907" s="32"/>
      <c r="M907" s="126"/>
      <c r="N907" s="32"/>
      <c r="O907" s="32"/>
      <c r="P907" s="37"/>
      <c r="Q907" s="37"/>
      <c r="R907" s="37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8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</row>
    <row r="908" ht="15.75" customHeight="1">
      <c r="A908" s="48"/>
      <c r="B908" s="32"/>
      <c r="C908" s="29"/>
      <c r="D908" s="26"/>
      <c r="E908" s="67"/>
      <c r="F908" s="28"/>
      <c r="G908" s="30"/>
      <c r="H908" s="30"/>
      <c r="I908" s="29"/>
      <c r="J908" s="30"/>
      <c r="K908" s="31"/>
      <c r="L908" s="32"/>
      <c r="M908" s="126"/>
      <c r="N908" s="32"/>
      <c r="O908" s="32"/>
      <c r="P908" s="37"/>
      <c r="Q908" s="37"/>
      <c r="R908" s="37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8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</row>
    <row r="909" ht="15.75" customHeight="1">
      <c r="A909" s="48"/>
      <c r="B909" s="32"/>
      <c r="C909" s="29"/>
      <c r="D909" s="26"/>
      <c r="E909" s="67"/>
      <c r="F909" s="28"/>
      <c r="G909" s="30"/>
      <c r="H909" s="30"/>
      <c r="I909" s="29"/>
      <c r="J909" s="30"/>
      <c r="K909" s="31"/>
      <c r="L909" s="32"/>
      <c r="M909" s="126"/>
      <c r="N909" s="32"/>
      <c r="O909" s="32"/>
      <c r="P909" s="37"/>
      <c r="Q909" s="37"/>
      <c r="R909" s="37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8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</row>
    <row r="910" ht="15.75" customHeight="1">
      <c r="A910" s="48"/>
      <c r="B910" s="32"/>
      <c r="C910" s="29"/>
      <c r="D910" s="26"/>
      <c r="E910" s="67"/>
      <c r="F910" s="28"/>
      <c r="G910" s="30"/>
      <c r="H910" s="30"/>
      <c r="I910" s="29"/>
      <c r="J910" s="30"/>
      <c r="K910" s="31"/>
      <c r="L910" s="32"/>
      <c r="M910" s="126"/>
      <c r="N910" s="32"/>
      <c r="O910" s="32"/>
      <c r="P910" s="37"/>
      <c r="Q910" s="37"/>
      <c r="R910" s="37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8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</row>
    <row r="911" ht="15.75" customHeight="1">
      <c r="A911" s="48"/>
      <c r="B911" s="32"/>
      <c r="C911" s="29"/>
      <c r="D911" s="26"/>
      <c r="E911" s="67"/>
      <c r="F911" s="28"/>
      <c r="G911" s="30"/>
      <c r="H911" s="30"/>
      <c r="I911" s="29"/>
      <c r="J911" s="30"/>
      <c r="K911" s="31"/>
      <c r="L911" s="32"/>
      <c r="M911" s="126"/>
      <c r="N911" s="32"/>
      <c r="O911" s="32"/>
      <c r="P911" s="37"/>
      <c r="Q911" s="37"/>
      <c r="R911" s="37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8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</row>
    <row r="912" ht="15.75" customHeight="1">
      <c r="A912" s="48"/>
      <c r="B912" s="32"/>
      <c r="C912" s="29"/>
      <c r="D912" s="26"/>
      <c r="E912" s="67"/>
      <c r="F912" s="28"/>
      <c r="G912" s="30"/>
      <c r="H912" s="30"/>
      <c r="I912" s="29"/>
      <c r="J912" s="30"/>
      <c r="K912" s="31"/>
      <c r="L912" s="32"/>
      <c r="M912" s="126"/>
      <c r="N912" s="32"/>
      <c r="O912" s="32"/>
      <c r="P912" s="37"/>
      <c r="Q912" s="37"/>
      <c r="R912" s="37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8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</row>
    <row r="913" ht="15.75" customHeight="1">
      <c r="A913" s="48"/>
      <c r="B913" s="32"/>
      <c r="C913" s="29"/>
      <c r="D913" s="26"/>
      <c r="E913" s="67"/>
      <c r="F913" s="28"/>
      <c r="G913" s="30"/>
      <c r="H913" s="30"/>
      <c r="I913" s="29"/>
      <c r="J913" s="30"/>
      <c r="K913" s="31"/>
      <c r="L913" s="32"/>
      <c r="M913" s="126"/>
      <c r="N913" s="32"/>
      <c r="O913" s="32"/>
      <c r="P913" s="37"/>
      <c r="Q913" s="37"/>
      <c r="R913" s="37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8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</row>
    <row r="914" ht="15.75" customHeight="1">
      <c r="A914" s="48"/>
      <c r="B914" s="32"/>
      <c r="C914" s="29"/>
      <c r="D914" s="26"/>
      <c r="E914" s="67"/>
      <c r="F914" s="28"/>
      <c r="G914" s="30"/>
      <c r="H914" s="30"/>
      <c r="I914" s="29"/>
      <c r="J914" s="30"/>
      <c r="K914" s="31"/>
      <c r="L914" s="32"/>
      <c r="M914" s="126"/>
      <c r="N914" s="32"/>
      <c r="O914" s="32"/>
      <c r="P914" s="37"/>
      <c r="Q914" s="37"/>
      <c r="R914" s="37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8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</row>
    <row r="915" ht="15.75" customHeight="1">
      <c r="A915" s="48"/>
      <c r="B915" s="32"/>
      <c r="C915" s="29"/>
      <c r="D915" s="26"/>
      <c r="E915" s="67"/>
      <c r="F915" s="28"/>
      <c r="G915" s="30"/>
      <c r="H915" s="30"/>
      <c r="I915" s="29"/>
      <c r="J915" s="30"/>
      <c r="K915" s="31"/>
      <c r="L915" s="32"/>
      <c r="M915" s="126"/>
      <c r="N915" s="32"/>
      <c r="O915" s="32"/>
      <c r="P915" s="37"/>
      <c r="Q915" s="37"/>
      <c r="R915" s="37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8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</row>
    <row r="916" ht="15.75" customHeight="1">
      <c r="A916" s="48"/>
      <c r="B916" s="32"/>
      <c r="C916" s="29"/>
      <c r="D916" s="26"/>
      <c r="E916" s="67"/>
      <c r="F916" s="28"/>
      <c r="G916" s="30"/>
      <c r="H916" s="30"/>
      <c r="I916" s="29"/>
      <c r="J916" s="30"/>
      <c r="K916" s="31"/>
      <c r="L916" s="32"/>
      <c r="M916" s="126"/>
      <c r="N916" s="32"/>
      <c r="O916" s="32"/>
      <c r="P916" s="37"/>
      <c r="Q916" s="37"/>
      <c r="R916" s="37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8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</row>
    <row r="917" ht="15.75" customHeight="1">
      <c r="A917" s="48"/>
      <c r="B917" s="32"/>
      <c r="C917" s="29"/>
      <c r="D917" s="26"/>
      <c r="E917" s="67"/>
      <c r="F917" s="28"/>
      <c r="G917" s="30"/>
      <c r="H917" s="30"/>
      <c r="I917" s="29"/>
      <c r="J917" s="30"/>
      <c r="K917" s="31"/>
      <c r="L917" s="32"/>
      <c r="M917" s="126"/>
      <c r="N917" s="32"/>
      <c r="O917" s="32"/>
      <c r="P917" s="37"/>
      <c r="Q917" s="37"/>
      <c r="R917" s="37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8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</row>
    <row r="918" ht="15.75" customHeight="1">
      <c r="A918" s="48"/>
      <c r="B918" s="32"/>
      <c r="C918" s="29"/>
      <c r="D918" s="26"/>
      <c r="E918" s="67"/>
      <c r="F918" s="28"/>
      <c r="G918" s="30"/>
      <c r="H918" s="30"/>
      <c r="I918" s="29"/>
      <c r="J918" s="30"/>
      <c r="K918" s="31"/>
      <c r="L918" s="32"/>
      <c r="M918" s="126"/>
      <c r="N918" s="32"/>
      <c r="O918" s="32"/>
      <c r="P918" s="37"/>
      <c r="Q918" s="37"/>
      <c r="R918" s="37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8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</row>
    <row r="919" ht="15.75" customHeight="1">
      <c r="A919" s="48"/>
      <c r="B919" s="32"/>
      <c r="C919" s="29"/>
      <c r="D919" s="26"/>
      <c r="E919" s="67"/>
      <c r="F919" s="28"/>
      <c r="G919" s="30"/>
      <c r="H919" s="30"/>
      <c r="I919" s="29"/>
      <c r="J919" s="30"/>
      <c r="K919" s="31"/>
      <c r="L919" s="32"/>
      <c r="M919" s="126"/>
      <c r="N919" s="32"/>
      <c r="O919" s="32"/>
      <c r="P919" s="37"/>
      <c r="Q919" s="37"/>
      <c r="R919" s="37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8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</row>
    <row r="920" ht="15.75" customHeight="1">
      <c r="A920" s="48"/>
      <c r="B920" s="32"/>
      <c r="C920" s="29"/>
      <c r="D920" s="26"/>
      <c r="E920" s="67"/>
      <c r="F920" s="28"/>
      <c r="G920" s="30"/>
      <c r="H920" s="30"/>
      <c r="I920" s="29"/>
      <c r="J920" s="30"/>
      <c r="K920" s="31"/>
      <c r="L920" s="32"/>
      <c r="M920" s="126"/>
      <c r="N920" s="32"/>
      <c r="O920" s="32"/>
      <c r="P920" s="37"/>
      <c r="Q920" s="37"/>
      <c r="R920" s="37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8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</row>
    <row r="921" ht="15.75" customHeight="1">
      <c r="A921" s="48"/>
      <c r="B921" s="32"/>
      <c r="C921" s="29"/>
      <c r="D921" s="26"/>
      <c r="E921" s="67"/>
      <c r="F921" s="28"/>
      <c r="G921" s="30"/>
      <c r="H921" s="30"/>
      <c r="I921" s="29"/>
      <c r="J921" s="30"/>
      <c r="K921" s="31"/>
      <c r="L921" s="32"/>
      <c r="M921" s="126"/>
      <c r="N921" s="32"/>
      <c r="O921" s="32"/>
      <c r="P921" s="37"/>
      <c r="Q921" s="37"/>
      <c r="R921" s="37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8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</row>
    <row r="922" ht="15.75" customHeight="1">
      <c r="A922" s="48"/>
      <c r="B922" s="32"/>
      <c r="C922" s="29"/>
      <c r="D922" s="26"/>
      <c r="E922" s="67"/>
      <c r="F922" s="28"/>
      <c r="G922" s="30"/>
      <c r="H922" s="30"/>
      <c r="I922" s="29"/>
      <c r="J922" s="30"/>
      <c r="K922" s="31"/>
      <c r="L922" s="32"/>
      <c r="M922" s="126"/>
      <c r="N922" s="32"/>
      <c r="O922" s="32"/>
      <c r="P922" s="37"/>
      <c r="Q922" s="37"/>
      <c r="R922" s="37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8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</row>
    <row r="923" ht="15.75" customHeight="1">
      <c r="A923" s="48"/>
      <c r="B923" s="32"/>
      <c r="C923" s="29"/>
      <c r="D923" s="26"/>
      <c r="E923" s="67"/>
      <c r="F923" s="28"/>
      <c r="G923" s="30"/>
      <c r="H923" s="30"/>
      <c r="I923" s="29"/>
      <c r="J923" s="30"/>
      <c r="K923" s="31"/>
      <c r="L923" s="32"/>
      <c r="M923" s="126"/>
      <c r="N923" s="32"/>
      <c r="O923" s="32"/>
      <c r="P923" s="37"/>
      <c r="Q923" s="37"/>
      <c r="R923" s="37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8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</row>
    <row r="924" ht="15.75" customHeight="1">
      <c r="A924" s="48"/>
      <c r="B924" s="32"/>
      <c r="C924" s="29"/>
      <c r="D924" s="26"/>
      <c r="E924" s="67"/>
      <c r="F924" s="28"/>
      <c r="G924" s="30"/>
      <c r="H924" s="30"/>
      <c r="I924" s="29"/>
      <c r="J924" s="30"/>
      <c r="K924" s="31"/>
      <c r="L924" s="32"/>
      <c r="M924" s="126"/>
      <c r="N924" s="32"/>
      <c r="O924" s="32"/>
      <c r="P924" s="37"/>
      <c r="Q924" s="37"/>
      <c r="R924" s="37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8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</row>
    <row r="925" ht="15.75" customHeight="1">
      <c r="A925" s="191"/>
      <c r="B925" s="93"/>
      <c r="C925" s="192"/>
      <c r="D925" s="193"/>
      <c r="E925" s="194"/>
      <c r="F925" s="195"/>
      <c r="G925" s="196"/>
      <c r="H925" s="196"/>
      <c r="I925" s="192"/>
      <c r="J925" s="196"/>
      <c r="K925" s="197"/>
      <c r="L925" s="93"/>
      <c r="M925" s="198"/>
      <c r="N925" s="93"/>
      <c r="O925" s="93"/>
      <c r="P925" s="199"/>
      <c r="Q925" s="199"/>
      <c r="R925" s="199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20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</row>
    <row r="926" ht="15.75" customHeight="1">
      <c r="A926" s="191"/>
      <c r="C926" s="93"/>
      <c r="D926" s="93"/>
      <c r="E926" s="201" t="s">
        <v>1899</v>
      </c>
      <c r="F926" s="201" t="s">
        <v>1900</v>
      </c>
      <c r="G926" s="196"/>
      <c r="H926" s="196" t="str">
        <f>SUBTOTAAL(SOM.ALS('B'),g3:g2000,h3:h2000)</f>
        <v>#ERROR!</v>
      </c>
      <c r="I926" s="192"/>
      <c r="J926" s="196"/>
      <c r="K926" s="197"/>
      <c r="L926" s="93"/>
      <c r="M926" s="198"/>
      <c r="N926" s="93"/>
      <c r="O926" s="93"/>
      <c r="P926" s="199"/>
      <c r="Q926" s="199"/>
      <c r="R926" s="199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20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</row>
    <row r="927" ht="15.75" customHeight="1">
      <c r="A927" s="191"/>
      <c r="B927" s="93"/>
      <c r="C927" s="93"/>
      <c r="D927" s="93"/>
      <c r="E927" s="201" t="s">
        <v>1899</v>
      </c>
      <c r="F927" s="201" t="s">
        <v>1901</v>
      </c>
      <c r="G927" s="196"/>
      <c r="H927" s="196"/>
      <c r="I927" s="192"/>
      <c r="J927" s="196"/>
      <c r="K927" s="197"/>
      <c r="L927" s="93"/>
      <c r="M927" s="198"/>
      <c r="N927" s="93"/>
      <c r="O927" s="93"/>
      <c r="P927" s="199"/>
      <c r="Q927" s="199"/>
      <c r="R927" s="199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20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</row>
    <row r="928" ht="15.75" customHeight="1">
      <c r="A928" s="191"/>
      <c r="B928" s="93"/>
      <c r="C928" s="93"/>
      <c r="D928" s="93"/>
      <c r="E928" s="201" t="s">
        <v>1899</v>
      </c>
      <c r="F928" s="201" t="s">
        <v>1902</v>
      </c>
      <c r="G928" s="196"/>
      <c r="H928" s="196"/>
      <c r="I928" s="192"/>
      <c r="J928" s="196"/>
      <c r="K928" s="197"/>
      <c r="L928" s="93"/>
      <c r="M928" s="198"/>
      <c r="N928" s="93"/>
      <c r="O928" s="93"/>
      <c r="P928" s="199"/>
      <c r="Q928" s="199"/>
      <c r="R928" s="199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20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</row>
    <row r="929" ht="15.75" customHeight="1">
      <c r="A929" s="191"/>
      <c r="B929" s="93"/>
      <c r="C929" s="93"/>
      <c r="D929" s="93"/>
      <c r="E929" s="201" t="s">
        <v>1899</v>
      </c>
      <c r="F929" s="201" t="s">
        <v>1903</v>
      </c>
      <c r="G929" s="196"/>
      <c r="H929" s="196"/>
      <c r="I929" s="192"/>
      <c r="J929" s="196"/>
      <c r="K929" s="197"/>
      <c r="L929" s="93"/>
      <c r="M929" s="198"/>
      <c r="N929" s="93"/>
      <c r="O929" s="93"/>
      <c r="P929" s="199"/>
      <c r="Q929" s="199"/>
      <c r="R929" s="199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20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</row>
  </sheetData>
  <autoFilter ref="$A$2:$AC$898">
    <sortState ref="A2:AC898">
      <sortCondition descending="1" ref="A2:A898"/>
    </sortState>
  </autoFilter>
  <customSheetViews>
    <customSheetView guid="{2D6D124A-0D35-42E2-8675-70EE44B44DF1}" filter="1" showAutoFilter="1">
      <autoFilter ref="$A$2:$AU$209">
        <filterColumn colId="2">
          <filters>
            <filter val="MM"/>
            <filter val="DE"/>
            <filter val="IK"/>
            <filter val="HP"/>
            <filter val="HS"/>
            <filter val="VB"/>
            <filter val="3D"/>
            <filter val="TI"/>
          </filters>
        </filterColumn>
        <sortState ref="A2:AU209">
          <sortCondition descending="1" ref="A2:A209"/>
        </sortState>
      </autoFilter>
    </customSheetView>
  </customSheetViews>
  <dataValidations>
    <dataValidation type="list" allowBlank="1" showErrorMessage="1" sqref="C3:C925">
      <formula1>"3D,RD,KB,NV,HI,DX,VV,CN,AR,EI,HG,VG,VW,LI,RA,VU,VS,PG,VI,QG,BT,TM,VB,VBB,TI,IK,EN,FU,MT,KK,PZ,HV,FS,CC,DI,BA,GG,PK,MM,FB,DE,HP,HS"</formula1>
    </dataValidation>
    <dataValidation type="list" allowBlank="1" showErrorMessage="1" sqref="G3:G929">
      <formula1>"B,Z,N,W,P,-,C"</formula1>
    </dataValidation>
    <dataValidation type="list" allowBlank="1" showErrorMessage="1" sqref="K3:K929">
      <formula1>"W,P,R,S,-"</formula1>
    </dataValidation>
    <dataValidation type="list" allowBlank="1" showErrorMessage="1" sqref="D3:D925">
      <formula1>"In progress,Pending,Done,Delivered,Cancelled,Waiting for approval,Order received"</formula1>
    </dataValidation>
    <dataValidation type="list" allowBlank="1" showErrorMessage="1" sqref="I3:I929">
      <formula1>"B,Z,N,W,P,-"</formula1>
    </dataValidation>
  </dataValidations>
  <hyperlinks>
    <hyperlink r:id="rId2" ref="N3"/>
    <hyperlink r:id="rId3" location="x=200980.04&amp;y=479221.02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"/>
    <hyperlink r:id="rId4" ref="P3"/>
    <hyperlink r:id="rId5" ref="N4"/>
    <hyperlink r:id="rId6" location="x=206389.45&amp;y=485230.08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"/>
    <hyperlink r:id="rId7" ref="P4"/>
    <hyperlink r:id="rId8" ref="N5"/>
    <hyperlink r:id="rId9" location="x=127413.19&amp;y=466914.35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"/>
    <hyperlink r:id="rId10" ref="P5"/>
    <hyperlink r:id="rId11" ref="N6"/>
    <hyperlink r:id="rId12" location="x=231507.84&amp;y=472475.8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"/>
    <hyperlink r:id="rId13" ref="P6"/>
    <hyperlink r:id="rId14" ref="N7"/>
    <hyperlink r:id="rId15" location="x=153142.62&amp;y=471369.94&amp;z=13.559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"/>
    <hyperlink r:id="rId16" ref="P7"/>
    <hyperlink r:id="rId17" ref="N8"/>
    <hyperlink r:id="rId18" location="x=106746.94&amp;y=453764.21&amp;z=13.034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"/>
    <hyperlink r:id="rId19" ref="P8"/>
    <hyperlink r:id="rId20" ref="Q8"/>
    <hyperlink r:id="rId21" ref="R8"/>
    <hyperlink r:id="rId22" ref="N9"/>
    <hyperlink r:id="rId23" location="x=187546.86&amp;y=433731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"/>
    <hyperlink r:id="rId24" ref="P9"/>
    <hyperlink r:id="rId25" ref="Q9"/>
    <hyperlink r:id="rId26" ref="R9"/>
    <hyperlink r:id="rId27" ref="N10"/>
    <hyperlink r:id="rId28" location="x=136227.00&amp;y=47254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"/>
    <hyperlink r:id="rId29" ref="P10"/>
    <hyperlink r:id="rId30" ref="N11"/>
    <hyperlink r:id="rId31" location="x=127208.37&amp;y=509463.36&amp;z=12.465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"/>
    <hyperlink r:id="rId32" ref="P11"/>
    <hyperlink r:id="rId33" ref="Q11"/>
    <hyperlink r:id="rId34" ref="N12"/>
    <hyperlink r:id="rId35" location="x=123153.56&amp;y=487818.19&amp;z=11.932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"/>
    <hyperlink r:id="rId36" ref="P12"/>
    <hyperlink r:id="rId37" ref="M13"/>
    <hyperlink r:id="rId38" ref="N13"/>
    <hyperlink r:id="rId39" location="x=201580.88&amp;y=503621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"/>
    <hyperlink r:id="rId40" ref="P13"/>
    <hyperlink r:id="rId41" ref="M14"/>
    <hyperlink r:id="rId42" ref="N14"/>
    <hyperlink r:id="rId43" location="x=168362.60&amp;y=480806.70&amp;z=14.379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"/>
    <hyperlink r:id="rId44" ref="P14"/>
    <hyperlink r:id="rId45" ref="M15"/>
    <hyperlink r:id="rId46" ref="N15"/>
    <hyperlink r:id="rId47" location="x=186801.46&amp;y=431884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"/>
    <hyperlink r:id="rId48" ref="P15"/>
    <hyperlink r:id="rId49" ref="M16"/>
    <hyperlink r:id="rId50" ref="N16"/>
    <hyperlink r:id="rId51" location="x=193339.62&amp;y=526774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"/>
    <hyperlink r:id="rId52" ref="P16"/>
    <hyperlink r:id="rId53" ref="M17"/>
    <hyperlink r:id="rId54" ref="N17"/>
    <hyperlink r:id="rId55" location="x=160026.16&amp;y=470877.61&amp;z=12.419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"/>
    <hyperlink r:id="rId56" ref="P17"/>
    <hyperlink r:id="rId57" ref="Q17"/>
    <hyperlink r:id="rId58" ref="R17"/>
    <hyperlink r:id="rId59" ref="M18"/>
    <hyperlink r:id="rId60" ref="N18"/>
    <hyperlink r:id="rId61" location="x=125389.82&amp;y=489818.77&amp;z=15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"/>
    <hyperlink r:id="rId62" ref="P18"/>
    <hyperlink r:id="rId63" ref="M19"/>
    <hyperlink r:id="rId64" ref="N19"/>
    <hyperlink r:id="rId65" location="x=84360.65&amp;y=431138.2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"/>
    <hyperlink r:id="rId66" ref="P19"/>
    <hyperlink r:id="rId67" ref="Q19"/>
    <hyperlink r:id="rId68" ref="N20"/>
    <hyperlink r:id="rId69" location="x=194945.89&amp;y=445910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"/>
    <hyperlink r:id="rId70" ref="P20"/>
    <hyperlink r:id="rId71" ref="M21"/>
    <hyperlink r:id="rId72" ref="N21"/>
    <hyperlink r:id="rId73" location="x=248175.84&amp;y=462505.1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"/>
    <hyperlink r:id="rId74" ref="P21"/>
    <hyperlink r:id="rId75" ref="M22"/>
    <hyperlink r:id="rId76" ref="N22"/>
    <hyperlink r:id="rId77" location="x=101025.71&amp;y=432954.2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"/>
    <hyperlink r:id="rId78" ref="P22"/>
    <hyperlink r:id="rId79" ref="Q22"/>
    <hyperlink r:id="rId80" ref="B23"/>
    <hyperlink r:id="rId81" ref="M23"/>
    <hyperlink r:id="rId82" ref="N23"/>
    <hyperlink r:id="rId83" location="x=105511.94&amp;y=498316.78&amp;z=11.373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"/>
    <hyperlink r:id="rId84" ref="P23"/>
    <hyperlink r:id="rId85" ref="Q23"/>
    <hyperlink r:id="rId86" ref="B24"/>
    <hyperlink r:id="rId87" ref="M24"/>
    <hyperlink r:id="rId88" ref="N24"/>
    <hyperlink r:id="rId89" location="x=105511.94&amp;y=498316.78&amp;z=11.373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"/>
    <hyperlink r:id="rId90" ref="P24"/>
    <hyperlink r:id="rId91" ref="Q24"/>
    <hyperlink r:id="rId92" ref="N25"/>
    <hyperlink r:id="rId93" location="x=114015.65&amp;y=477072.9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5"/>
    <hyperlink r:id="rId94" ref="P25"/>
    <hyperlink r:id="rId95" ref="Q25"/>
    <hyperlink r:id="rId96" ref="R25"/>
    <hyperlink r:id="rId97" ref="M26"/>
    <hyperlink r:id="rId98" ref="N26"/>
    <hyperlink r:id="rId99" location="x=169601.37&amp;y=568629.6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"/>
    <hyperlink r:id="rId100" ref="P26"/>
    <hyperlink r:id="rId101" ref="M27"/>
    <hyperlink r:id="rId102" ref="N27"/>
    <hyperlink r:id="rId103" location="x=98222.85&amp;y=438108.4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"/>
    <hyperlink r:id="rId104" ref="P27"/>
    <hyperlink r:id="rId105" ref="Q27"/>
    <hyperlink r:id="rId106" ref="B28"/>
    <hyperlink r:id="rId107" ref="M28"/>
    <hyperlink r:id="rId108" ref="N28"/>
    <hyperlink r:id="rId109" location="x=108715.14&amp;y=479015.1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8"/>
    <hyperlink r:id="rId110" ref="P28"/>
    <hyperlink r:id="rId111" ref="Q28"/>
    <hyperlink r:id="rId112" ref="R28"/>
    <hyperlink r:id="rId113" ref="M29"/>
    <hyperlink r:id="rId114" ref="N29"/>
    <hyperlink r:id="rId115" location="x=132389.00&amp;y=52075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"/>
    <hyperlink r:id="rId116" ref="P29"/>
    <hyperlink r:id="rId117" ref="Q29"/>
    <hyperlink r:id="rId118" ref="M30"/>
    <hyperlink r:id="rId119" ref="N30"/>
    <hyperlink r:id="rId120" location="x=121640.10&amp;y=512764.5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"/>
    <hyperlink r:id="rId121" ref="P30"/>
    <hyperlink r:id="rId122" ref="Q30"/>
    <hyperlink r:id="rId123" ref="M31"/>
    <hyperlink r:id="rId124" ref="N31"/>
    <hyperlink r:id="rId125" location="x=114689.24&amp;y=559084.6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"/>
    <hyperlink r:id="rId126" ref="P31"/>
    <hyperlink r:id="rId127" ref="Q31"/>
    <hyperlink r:id="rId128" ref="M32"/>
    <hyperlink r:id="rId129" ref="N32"/>
    <hyperlink r:id="rId130" location="x=115146.30&amp;y=559576.77&amp;z=12.953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"/>
    <hyperlink r:id="rId131" ref="P32"/>
    <hyperlink r:id="rId132" ref="Q32"/>
    <hyperlink r:id="rId133" ref="M33"/>
    <hyperlink r:id="rId134" ref="N33"/>
    <hyperlink r:id="rId135" location="x=222790.47&amp;y=523275.98&amp;z=11.474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"/>
    <hyperlink r:id="rId136" ref="P33"/>
    <hyperlink r:id="rId137" ref="M34"/>
    <hyperlink r:id="rId138" ref="N34"/>
    <hyperlink r:id="rId139" location="x=105351.68&amp;y=486658.8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"/>
    <hyperlink r:id="rId140" ref="P34"/>
    <hyperlink r:id="rId141" ref="M35"/>
    <hyperlink r:id="rId142" ref="N35"/>
    <hyperlink r:id="rId143" location="x=104738.57&amp;y=410817.56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"/>
    <hyperlink r:id="rId144" ref="P35"/>
    <hyperlink r:id="rId145" ref="M36"/>
    <hyperlink r:id="rId146" ref="N36"/>
    <hyperlink r:id="rId147" location="x=114344.00&amp;y=48839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"/>
    <hyperlink r:id="rId148" ref="P36"/>
    <hyperlink r:id="rId149" ref="M37"/>
    <hyperlink r:id="rId150" ref="N37"/>
    <hyperlink r:id="rId151" location="x=225351.00&amp;y=50161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7"/>
    <hyperlink r:id="rId152" ref="P37"/>
    <hyperlink r:id="rId153" ref="M38"/>
    <hyperlink r:id="rId154" ref="N38"/>
    <hyperlink r:id="rId155" location="x=238038.94&amp;y=575149.1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8"/>
    <hyperlink r:id="rId156" location="/map" ref="P38"/>
    <hyperlink r:id="rId157" ref="N39"/>
    <hyperlink r:id="rId158" location="x=163546.00&amp;y=42865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9"/>
    <hyperlink r:id="rId159" ref="P39"/>
    <hyperlink r:id="rId160" ref="M40"/>
    <hyperlink r:id="rId161" ref="N40"/>
    <hyperlink r:id="rId162" location="x=233532.12&amp;y=602066.13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0"/>
    <hyperlink r:id="rId163" ref="P40"/>
    <hyperlink r:id="rId164" ref="M41"/>
    <hyperlink r:id="rId165" ref="N41"/>
    <hyperlink r:id="rId166" location="x=119838.92&amp;y=436909.28&amp;z=14.359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1"/>
    <hyperlink r:id="rId167" ref="P41"/>
    <hyperlink r:id="rId168" ref="Q41"/>
    <hyperlink r:id="rId169" ref="R41"/>
    <hyperlink r:id="rId170" ref="M42"/>
    <hyperlink r:id="rId171" ref="N42"/>
    <hyperlink r:id="rId172" location="x=101326.48&amp;y=496315.9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2"/>
    <hyperlink r:id="rId173" ref="P42"/>
    <hyperlink r:id="rId174" ref="M43"/>
    <hyperlink r:id="rId175" ref="N43"/>
    <hyperlink r:id="rId176" location="x=90731.90&amp;y=459096.91&amp;z=10.282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3"/>
    <hyperlink r:id="rId177" ref="P43"/>
    <hyperlink r:id="rId178" ref="Q43"/>
    <hyperlink r:id="rId179" ref="R43"/>
    <hyperlink r:id="rId180" ref="M44"/>
    <hyperlink r:id="rId181" ref="N44"/>
    <hyperlink r:id="rId182" location="x=96331.30&amp;y=436330.74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4"/>
    <hyperlink r:id="rId183" location="data_s=id%3Awidget_12_output_config_0%3A0" ref="P44"/>
    <hyperlink r:id="rId184" location="data_s=id%3Awidget_6_output_config_20%3A0%2Cid%3AdataSource_7-195a35cd307-layer-19-195a35cd9cb-layer-21%3A41617" ref="Q44"/>
    <hyperlink r:id="rId185" ref="M45"/>
    <hyperlink r:id="rId186" ref="N45"/>
    <hyperlink r:id="rId187" location="x=224350.97&amp;y=531115.11&amp;z=11.670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5"/>
    <hyperlink r:id="rId188" ref="P45"/>
    <hyperlink r:id="rId189" ref="N46"/>
    <hyperlink r:id="rId190" location="x=160686.85&amp;y=436640.9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6"/>
    <hyperlink r:id="rId191" ref="P46"/>
    <hyperlink r:id="rId192" ref="M47"/>
    <hyperlink r:id="rId193" ref="N47"/>
    <hyperlink r:id="rId194" location="x=170951.00&amp;y=48185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7"/>
    <hyperlink r:id="rId195" ref="P47"/>
    <hyperlink r:id="rId196" ref="Q47"/>
    <hyperlink r:id="rId197" ref="M48"/>
    <hyperlink r:id="rId198" ref="N48"/>
    <hyperlink r:id="rId199" location="x=173517.08&amp;y=449270.4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8"/>
    <hyperlink r:id="rId200" ref="P48"/>
    <hyperlink r:id="rId201" ref="Q48"/>
    <hyperlink r:id="rId202" ref="M49"/>
    <hyperlink r:id="rId203" ref="N49"/>
    <hyperlink r:id="rId204" location="x=228941.64&amp;y=486461.8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49"/>
    <hyperlink r:id="rId205" ref="P49"/>
    <hyperlink r:id="rId206" ref="M50"/>
    <hyperlink r:id="rId207" ref="N50"/>
    <hyperlink r:id="rId208" location="x=143432.53&amp;y=487133.4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0"/>
    <hyperlink r:id="rId209" location="data_s=id%3Awidget_18_output_config_default_geocode_1_0%3A0" ref="P50"/>
    <hyperlink r:id="rId210" ref="M51"/>
    <hyperlink r:id="rId211" ref="N51"/>
    <hyperlink r:id="rId212" location="x=131811.61&amp;y=501094.79&amp;z=12.144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1"/>
    <hyperlink r:id="rId213" ref="P51"/>
    <hyperlink r:id="rId214" ref="Q51"/>
    <hyperlink r:id="rId215" ref="M52"/>
    <hyperlink r:id="rId216" ref="N52"/>
    <hyperlink r:id="rId217" location="x=94710.56&amp;y=444156.0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2"/>
    <hyperlink r:id="rId218" location="data_s=id%3Awidget_12_output_config_0%3A0" ref="P52"/>
    <hyperlink r:id="rId219" ref="M53"/>
    <hyperlink r:id="rId220" ref="N53"/>
    <hyperlink r:id="rId221" location="x=134994.56&amp;y=530382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3"/>
    <hyperlink r:id="rId222" ref="P53"/>
    <hyperlink r:id="rId223" ref="M54"/>
    <hyperlink r:id="rId224" ref="N54"/>
    <hyperlink r:id="rId225" location="x=107473.33&amp;y=488636.72&amp;z=12.338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4"/>
    <hyperlink r:id="rId226" ref="P54"/>
    <hyperlink r:id="rId227" ref="Q54"/>
    <hyperlink r:id="rId228" ref="R54"/>
    <hyperlink r:id="rId229" ref="M55"/>
    <hyperlink r:id="rId230" ref="N55"/>
    <hyperlink r:id="rId231" location="x=115319.74&amp;y=493424.77&amp;z=12.121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5"/>
    <hyperlink r:id="rId232" ref="P55"/>
    <hyperlink r:id="rId233" ref="M56"/>
    <hyperlink r:id="rId234" ref="N56"/>
    <hyperlink r:id="rId235" location="x=113621.00&amp;y=48704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6"/>
    <hyperlink r:id="rId236" ref="P56"/>
    <hyperlink r:id="rId237" ref="B57"/>
    <hyperlink r:id="rId238" ref="M57"/>
    <hyperlink r:id="rId239" ref="N57"/>
    <hyperlink r:id="rId240" location="x=118121.00&amp;y=48885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7"/>
    <hyperlink r:id="rId241" ref="P57"/>
    <hyperlink r:id="rId242" ref="M58"/>
    <hyperlink r:id="rId243" ref="N58"/>
    <hyperlink r:id="rId244" location="x=192457.24&amp;y=437516.12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8"/>
    <hyperlink r:id="rId245" ref="P58"/>
    <hyperlink r:id="rId246" ref="M59"/>
    <hyperlink r:id="rId247" ref="N59"/>
    <hyperlink r:id="rId248" location="x=132589.84&amp;y=483000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59"/>
    <hyperlink r:id="rId249" ref="P59"/>
    <hyperlink r:id="rId250" ref="M60"/>
    <hyperlink r:id="rId251" ref="N60"/>
    <hyperlink r:id="rId252" location="x=139598.14&amp;y=477732.34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0"/>
    <hyperlink r:id="rId253" ref="P60"/>
    <hyperlink r:id="rId254" ref="M61"/>
    <hyperlink r:id="rId255" ref="N61"/>
    <hyperlink r:id="rId256" location="x=233532.12&amp;y=602066.13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1"/>
    <hyperlink r:id="rId257" ref="P61"/>
    <hyperlink r:id="rId258" ref="M62"/>
    <hyperlink r:id="rId259" ref="N62"/>
    <hyperlink r:id="rId260" location="x=206436.64&amp;y=476719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2"/>
    <hyperlink r:id="rId261" ref="P62"/>
    <hyperlink r:id="rId262" ref="M63"/>
    <hyperlink r:id="rId263" ref="N63"/>
    <hyperlink r:id="rId264" location="x=112728.28&amp;y=527952.6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3"/>
    <hyperlink r:id="rId265" ref="P63"/>
    <hyperlink r:id="rId266" ref="Q63"/>
    <hyperlink r:id="rId267" ref="M64"/>
    <hyperlink r:id="rId268" ref="N64"/>
    <hyperlink r:id="rId269" location="x=244156.82&amp;y=471900.6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4"/>
    <hyperlink r:id="rId270" ref="P64"/>
    <hyperlink r:id="rId271" ref="M65"/>
    <hyperlink r:id="rId272" ref="N65"/>
    <hyperlink r:id="rId273" location="x=104191.46&amp;y=486604.8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5"/>
    <hyperlink r:id="rId274" ref="P65"/>
    <hyperlink r:id="rId275" ref="Q65"/>
    <hyperlink r:id="rId276" ref="R65"/>
    <hyperlink r:id="rId277" ref="M66"/>
    <hyperlink r:id="rId278" ref="N66"/>
    <hyperlink r:id="rId279" location="x=225341.00&amp;y=59181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6"/>
    <hyperlink r:id="rId280" ref="P66"/>
    <hyperlink r:id="rId281" ref="N67"/>
    <hyperlink r:id="rId282" location="x=174295.00&amp;y=4422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7"/>
    <hyperlink r:id="rId283" ref="P67"/>
    <hyperlink r:id="rId284" ref="M68"/>
    <hyperlink r:id="rId285" ref="N68"/>
    <hyperlink r:id="rId286" location="x=219882.49&amp;y=495233.15&amp;z=14.564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8"/>
    <hyperlink r:id="rId287" ref="P68"/>
    <hyperlink r:id="rId288" ref="M69"/>
    <hyperlink r:id="rId289" ref="N69"/>
    <hyperlink r:id="rId290" location="x=101163.00&amp;y=456632.6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69"/>
    <hyperlink r:id="rId291" ref="P69"/>
    <hyperlink r:id="rId292" ref="Q69"/>
    <hyperlink r:id="rId293" ref="R69"/>
    <hyperlink r:id="rId294" ref="M70"/>
    <hyperlink r:id="rId295" ref="N70"/>
    <hyperlink r:id="rId296" location="x=117703.00&amp;y=4844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0"/>
    <hyperlink r:id="rId297" ref="P70"/>
    <hyperlink r:id="rId298" ref="B71"/>
    <hyperlink r:id="rId299" ref="M71"/>
    <hyperlink r:id="rId300" ref="N71"/>
    <hyperlink r:id="rId301" location="x=104962.82&amp;y=497978.23&amp;z=12.438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1"/>
    <hyperlink r:id="rId302" ref="P71"/>
    <hyperlink r:id="rId303" ref="Q71"/>
    <hyperlink r:id="rId304" ref="B72"/>
    <hyperlink r:id="rId305" ref="M72"/>
    <hyperlink r:id="rId306" ref="N72"/>
    <hyperlink r:id="rId307" location="x=105251.73&amp;y=498758.8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2"/>
    <hyperlink r:id="rId308" ref="P72"/>
    <hyperlink r:id="rId309" ref="B73"/>
    <hyperlink r:id="rId310" ref="M73"/>
    <hyperlink r:id="rId311" ref="N73"/>
    <hyperlink r:id="rId312" location="x=105358.40&amp;y=498952.94&amp;z=12.090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3"/>
    <hyperlink r:id="rId313" ref="P73"/>
    <hyperlink r:id="rId314" ref="B74"/>
    <hyperlink r:id="rId315" ref="M74"/>
    <hyperlink r:id="rId316" ref="N74"/>
    <hyperlink r:id="rId317" location="x=105358.40&amp;y=498952.94&amp;z=12.090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4"/>
    <hyperlink r:id="rId318" ref="P74"/>
    <hyperlink r:id="rId319" ref="B75"/>
    <hyperlink r:id="rId320" ref="M75"/>
    <hyperlink r:id="rId321" ref="N75"/>
    <hyperlink r:id="rId322" location="x=105251.73&amp;y=498758.8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5"/>
    <hyperlink r:id="rId323" ref="P75"/>
    <hyperlink r:id="rId324" ref="B76"/>
    <hyperlink r:id="rId325" ref="M76"/>
    <hyperlink r:id="rId326" ref="N76"/>
    <hyperlink r:id="rId327" location="x=103386.45&amp;y=498331.67&amp;z=13.395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6"/>
    <hyperlink r:id="rId328" ref="P76"/>
    <hyperlink r:id="rId329" ref="N77"/>
    <hyperlink r:id="rId330" location="x=141846.60&amp;y=478398.7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7"/>
    <hyperlink r:id="rId331" ref="P77"/>
    <hyperlink r:id="rId332" ref="M78"/>
    <hyperlink r:id="rId333" ref="N78"/>
    <hyperlink r:id="rId334" location="x=117672.63&amp;y=490823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8"/>
    <hyperlink r:id="rId335" ref="P78"/>
    <hyperlink r:id="rId336" ref="B79"/>
    <hyperlink r:id="rId337" ref="M79"/>
    <hyperlink r:id="rId338" ref="N79"/>
    <hyperlink r:id="rId339" location="x=103386.45&amp;y=498331.67&amp;z=13.395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79"/>
    <hyperlink r:id="rId340" ref="P79"/>
    <hyperlink r:id="rId341" ref="B80"/>
    <hyperlink r:id="rId342" ref="M80"/>
    <hyperlink r:id="rId343" ref="N80"/>
    <hyperlink r:id="rId344" location="x=103386.45&amp;y=498331.67&amp;z=13.395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0"/>
    <hyperlink r:id="rId345" ref="P80"/>
    <hyperlink r:id="rId346" ref="M81"/>
    <hyperlink r:id="rId347" ref="N81"/>
    <hyperlink r:id="rId348" location="x=117716.03&amp;y=524095.06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1"/>
    <hyperlink r:id="rId349" ref="P81"/>
    <hyperlink r:id="rId350" ref="Q81"/>
    <hyperlink r:id="rId351" ref="M82"/>
    <hyperlink r:id="rId352" ref="N82"/>
    <hyperlink r:id="rId353" location="x=102307.12&amp;y=467497.3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2"/>
    <hyperlink r:id="rId354" ref="P82"/>
    <hyperlink r:id="rId355" ref="Q82"/>
    <hyperlink r:id="rId356" ref="R82"/>
    <hyperlink r:id="rId357" ref="M83"/>
    <hyperlink r:id="rId358" ref="N83"/>
    <hyperlink r:id="rId359" location="x=101722.88&amp;y=479528.1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3"/>
    <hyperlink r:id="rId360" ref="P83"/>
    <hyperlink r:id="rId361" ref="Q83"/>
    <hyperlink r:id="rId362" ref="R83"/>
    <hyperlink r:id="rId363" ref="B84"/>
    <hyperlink r:id="rId364" ref="M84"/>
    <hyperlink r:id="rId365" ref="N84"/>
    <hyperlink r:id="rId366" location="x=110233.31&amp;y=476632.36&amp;z=12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4"/>
    <hyperlink r:id="rId367" ref="P84"/>
    <hyperlink r:id="rId368" ref="Q84"/>
    <hyperlink r:id="rId369" ref="R84"/>
    <hyperlink r:id="rId370" ref="M85"/>
    <hyperlink r:id="rId371" ref="N85"/>
    <hyperlink r:id="rId372" location="x=105049.00&amp;y=495099.7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5"/>
    <hyperlink r:id="rId373" ref="P85"/>
    <hyperlink r:id="rId374" ref="N86"/>
    <hyperlink r:id="rId375" location="x=225173.51&amp;y=505081.4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6"/>
    <hyperlink r:id="rId376" ref="P86"/>
    <hyperlink r:id="rId377" ref="M87"/>
    <hyperlink r:id="rId378" ref="N87"/>
    <hyperlink r:id="rId379" location="x=229887.86&amp;y=594620.3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7"/>
    <hyperlink r:id="rId380" ref="P87"/>
    <hyperlink r:id="rId381" ref="M88"/>
    <hyperlink r:id="rId382" ref="N88"/>
    <hyperlink r:id="rId383" location="x=229887.86&amp;y=594620.3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8"/>
    <hyperlink r:id="rId384" ref="P88"/>
    <hyperlink r:id="rId385" ref="N89"/>
    <hyperlink r:id="rId386" location="x=122824.08&amp;y=495109.6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89"/>
    <hyperlink r:id="rId387" ref="P89"/>
    <hyperlink r:id="rId388" ref="Q89"/>
    <hyperlink r:id="rId389" ref="M90"/>
    <hyperlink r:id="rId390" ref="N90"/>
    <hyperlink r:id="rId391" location="x=105258.39&amp;y=460255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0"/>
    <hyperlink r:id="rId392" ref="P90"/>
    <hyperlink r:id="rId393" ref="Q90"/>
    <hyperlink r:id="rId394" ref="R90"/>
    <hyperlink r:id="rId395" ref="M91"/>
    <hyperlink r:id="rId396" ref="N91"/>
    <hyperlink r:id="rId397" location="x=178355.39&amp;y=543423.6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1"/>
    <hyperlink r:id="rId398" ref="P91"/>
    <hyperlink r:id="rId399" ref="R91"/>
    <hyperlink r:id="rId400" ref="M92"/>
    <hyperlink r:id="rId401" ref="N92"/>
    <hyperlink r:id="rId402" location="x=136932.00&amp;y=47180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2"/>
    <hyperlink r:id="rId403" ref="P92"/>
    <hyperlink r:id="rId404" ref="M93"/>
    <hyperlink r:id="rId405" ref="N93"/>
    <hyperlink r:id="rId406" location="x=170904.51&amp;y=482011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3"/>
    <hyperlink r:id="rId407" ref="P93"/>
    <hyperlink r:id="rId408" ref="M94"/>
    <hyperlink r:id="rId409" ref="N94"/>
    <hyperlink r:id="rId410" location="x=169739.00&amp;y=55355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4"/>
    <hyperlink r:id="rId411" ref="P94"/>
    <hyperlink r:id="rId412" ref="Q94"/>
    <hyperlink r:id="rId413" ref="R94"/>
    <hyperlink r:id="rId414" ref="M95"/>
    <hyperlink r:id="rId415" ref="N95"/>
    <hyperlink r:id="rId416" location="x=116862.18&amp;y=492381.0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5"/>
    <hyperlink r:id="rId417" ref="P95"/>
    <hyperlink r:id="rId418" ref="M96"/>
    <hyperlink r:id="rId419" ref="N96"/>
    <hyperlink r:id="rId420" location="x=102051.41&amp;y=476856.2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6"/>
    <hyperlink r:id="rId421" ref="P96"/>
    <hyperlink r:id="rId422" ref="Q96"/>
    <hyperlink r:id="rId423" ref="R96"/>
    <hyperlink r:id="rId424" ref="B97"/>
    <hyperlink r:id="rId425" ref="M97"/>
    <hyperlink r:id="rId426" ref="N97"/>
    <hyperlink r:id="rId427" location="x=116808.00&amp;y=488242.13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7"/>
    <hyperlink r:id="rId428" ref="P97"/>
    <hyperlink r:id="rId429" ref="M98"/>
    <hyperlink r:id="rId430" ref="N98"/>
    <hyperlink r:id="rId431" location="x=170703.78&amp;y=551587.17&amp;z=13.161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8"/>
    <hyperlink r:id="rId432" ref="P98"/>
    <hyperlink r:id="rId433" ref="Q98"/>
    <hyperlink r:id="rId434" ref="R98"/>
    <hyperlink r:id="rId435" ref="M99"/>
    <hyperlink r:id="rId436" ref="N99"/>
    <hyperlink r:id="rId437" location="x=100298.26&amp;y=439322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99"/>
    <hyperlink r:id="rId438" location="data_s=id%3Awidget_12_output_config_0%3A0" ref="P99"/>
    <hyperlink r:id="rId439" location="data_s=id%3Awidget_6_output_config_20%3A0" ref="Q99"/>
    <hyperlink r:id="rId440" ref="R99"/>
    <hyperlink r:id="rId441" ref="M100"/>
    <hyperlink r:id="rId442" ref="N100"/>
    <hyperlink r:id="rId443" location="x=98688.35&amp;y=437930.53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0"/>
    <hyperlink r:id="rId444" location="data_s=id%3Awidget_12_output_config_0%3A0" ref="P100"/>
    <hyperlink r:id="rId445" location="data_s=id%3Awidget_6_output_config_20%3A0" ref="Q100"/>
    <hyperlink r:id="rId446" ref="R100"/>
    <hyperlink r:id="rId447" ref="M101"/>
    <hyperlink r:id="rId448" ref="N101"/>
    <hyperlink r:id="rId449" location="x=97592.25&amp;y=438337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1"/>
    <hyperlink r:id="rId450" location="data_s=id%3Awidget_12_output_config_0%3A0" ref="P101"/>
    <hyperlink r:id="rId451" location="data_s=id%3Awidget_6_output_config_20%3A0" ref="Q101"/>
    <hyperlink r:id="rId452" ref="R101"/>
    <hyperlink r:id="rId453" ref="B102"/>
    <hyperlink r:id="rId454" ref="M102"/>
    <hyperlink r:id="rId455" ref="N102"/>
    <hyperlink r:id="rId456" location="x=118567.74&amp;y=490486.83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2"/>
    <hyperlink r:id="rId457" ref="P102"/>
    <hyperlink r:id="rId458" ref="B103"/>
    <hyperlink r:id="rId459" ref="M103"/>
    <hyperlink r:id="rId460" ref="N103"/>
    <hyperlink r:id="rId461" location="x=117063.00&amp;y=4870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3"/>
    <hyperlink r:id="rId462" ref="P103"/>
    <hyperlink r:id="rId463" ref="M104"/>
    <hyperlink r:id="rId464" ref="N104"/>
    <hyperlink r:id="rId465" location="x=144895.98&amp;y=476629.1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4"/>
    <hyperlink r:id="rId466" ref="P104"/>
    <hyperlink r:id="rId467" ref="M105"/>
    <hyperlink r:id="rId468" ref="N105"/>
    <hyperlink r:id="rId469" location="x=168663.65&amp;y=569655.94&amp;z=13.204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5"/>
    <hyperlink r:id="rId470" ref="P105"/>
    <hyperlink r:id="rId471" ref="M106"/>
    <hyperlink r:id="rId472" ref="N106"/>
    <hyperlink r:id="rId473" location="x=210485.71&amp;y=498107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6"/>
    <hyperlink r:id="rId474" ref="P106"/>
    <hyperlink r:id="rId475" ref="M107"/>
    <hyperlink r:id="rId476" ref="N107"/>
    <hyperlink r:id="rId477" location="x=120343.26&amp;y=488164.11&amp;z=14.073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7"/>
    <hyperlink r:id="rId478" ref="P107"/>
    <hyperlink r:id="rId479" ref="M108"/>
    <hyperlink r:id="rId480" ref="N108"/>
    <hyperlink r:id="rId481" location="x=131409.20&amp;y=448311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8"/>
    <hyperlink r:id="rId482" ref="P108"/>
    <hyperlink r:id="rId483" ref="Q108"/>
    <hyperlink r:id="rId484" ref="R108"/>
    <hyperlink r:id="rId485" ref="N109"/>
    <hyperlink r:id="rId486" location="x=193770.76&amp;y=526771.67&amp;z=12.835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09"/>
    <hyperlink r:id="rId487" ref="P109"/>
    <hyperlink r:id="rId488" ref="Q109"/>
    <hyperlink r:id="rId489" ref="R109"/>
    <hyperlink r:id="rId490" ref="M110"/>
    <hyperlink r:id="rId491" ref="N110"/>
    <hyperlink r:id="rId492" location="x=238741.85&amp;y=536865.66&amp;z=12.433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0"/>
    <hyperlink r:id="rId493" ref="P110"/>
    <hyperlink r:id="rId494" ref="M111"/>
    <hyperlink r:id="rId495" ref="N111"/>
    <hyperlink r:id="rId496" location="x=245392.48&amp;y=570754.7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1"/>
    <hyperlink r:id="rId497" location="/home" ref="P111"/>
    <hyperlink r:id="rId498" ref="M112"/>
    <hyperlink r:id="rId499" ref="N112"/>
    <hyperlink r:id="rId500" location="x=116845.18&amp;y=447799.1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2"/>
    <hyperlink r:id="rId501" ref="P112"/>
    <hyperlink r:id="rId502" ref="Q112"/>
    <hyperlink r:id="rId503" ref="R112"/>
    <hyperlink r:id="rId504" ref="M113"/>
    <hyperlink r:id="rId505" ref="N113"/>
    <hyperlink r:id="rId506" location="x=104984.55&amp;y=496169.37&amp;z=11.764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3"/>
    <hyperlink r:id="rId507" ref="P113"/>
    <hyperlink r:id="rId508" ref="M114"/>
    <hyperlink r:id="rId509" ref="N114"/>
    <hyperlink r:id="rId510" location="x=114765.85&amp;y=548631.70&amp;z=13.776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4"/>
    <hyperlink r:id="rId511" ref="P114"/>
    <hyperlink r:id="rId512" ref="M115"/>
    <hyperlink r:id="rId513" ref="N115"/>
    <hyperlink r:id="rId514" location="x=140350.72&amp;y=472414.2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5"/>
    <hyperlink r:id="rId515" ref="P115"/>
    <hyperlink r:id="rId516" ref="M116"/>
    <hyperlink r:id="rId517" ref="N116"/>
    <hyperlink r:id="rId518" location="x=96668.65&amp;y=476485.7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6"/>
    <hyperlink r:id="rId519" ref="P116"/>
    <hyperlink r:id="rId520" ref="M117"/>
    <hyperlink r:id="rId521" ref="N117"/>
    <hyperlink r:id="rId522" location="x=110796.40&amp;y=516266.71&amp;z=13.026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7"/>
    <hyperlink r:id="rId523" ref="P117"/>
    <hyperlink r:id="rId524" ref="M118"/>
    <hyperlink r:id="rId525" ref="N118"/>
    <hyperlink r:id="rId526" location="x=110149.47&amp;y=515364.0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8"/>
    <hyperlink r:id="rId527" ref="P118"/>
    <hyperlink r:id="rId528" ref="M119"/>
    <hyperlink r:id="rId529" ref="N119"/>
    <hyperlink r:id="rId530" location="x=106545.79&amp;y=479799.94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19"/>
    <hyperlink r:id="rId531" ref="P119"/>
    <hyperlink r:id="rId532" ref="M120"/>
    <hyperlink r:id="rId533" ref="N120"/>
    <hyperlink r:id="rId534" location="x=106176.00&amp;y=51938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0"/>
    <hyperlink r:id="rId535" ref="P120"/>
    <hyperlink r:id="rId536" ref="Q120"/>
    <hyperlink r:id="rId537" ref="M121"/>
    <hyperlink r:id="rId538" ref="N121"/>
    <hyperlink r:id="rId539" location="x=197279.32&amp;y=434318.7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1"/>
    <hyperlink r:id="rId540" ref="P121"/>
    <hyperlink r:id="rId541" ref="M122"/>
    <hyperlink r:id="rId542" ref="N122"/>
    <hyperlink r:id="rId543" location="x=203583.30&amp;y=472708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2"/>
    <hyperlink r:id="rId544" ref="P122"/>
    <hyperlink r:id="rId545" ref="M123"/>
    <hyperlink r:id="rId546" ref="N123"/>
    <hyperlink r:id="rId547" location="x=178405.00&amp;y=535520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3"/>
    <hyperlink r:id="rId548" ref="P123"/>
    <hyperlink r:id="rId549" ref="Q123"/>
    <hyperlink r:id="rId550" ref="M124"/>
    <hyperlink r:id="rId551" ref="N124"/>
    <hyperlink r:id="rId552" location="x=110530.05&amp;y=471939.1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4"/>
    <hyperlink r:id="rId553" ref="P124"/>
    <hyperlink r:id="rId554" ref="M125"/>
    <hyperlink r:id="rId555" ref="N125"/>
    <hyperlink r:id="rId556" location="x=111037.25&amp;y=475410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5"/>
    <hyperlink r:id="rId557" ref="P125"/>
    <hyperlink r:id="rId558" ref="Q125"/>
    <hyperlink r:id="rId559" ref="R125"/>
    <hyperlink r:id="rId560" ref="M126"/>
    <hyperlink r:id="rId561" ref="N126"/>
    <hyperlink r:id="rId562" location="x=120132.91&amp;y=499136.6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6"/>
    <hyperlink r:id="rId563" ref="P126"/>
    <hyperlink r:id="rId564" ref="Q126"/>
    <hyperlink r:id="rId565" ref="M127"/>
    <hyperlink r:id="rId566" ref="N127"/>
    <hyperlink r:id="rId567" location="x=93504.80&amp;y=454421.6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7"/>
    <hyperlink r:id="rId568" ref="P127"/>
    <hyperlink r:id="rId569" ref="Q127"/>
    <hyperlink r:id="rId570" ref="R127"/>
    <hyperlink r:id="rId571" ref="B128"/>
    <hyperlink r:id="rId572" ref="M128"/>
    <hyperlink r:id="rId573" ref="N128"/>
    <hyperlink r:id="rId574" location="x=101410.81&amp;y=489622.58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8"/>
    <hyperlink r:id="rId575" ref="P128"/>
    <hyperlink r:id="rId576" ref="Q128"/>
    <hyperlink r:id="rId577" ref="R128"/>
    <hyperlink r:id="rId578" ref="M129"/>
    <hyperlink r:id="rId579" ref="N129"/>
    <hyperlink r:id="rId580" location="x=104021.02&amp;y=495811.56&amp;z=12.164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29"/>
    <hyperlink r:id="rId581" ref="P129"/>
    <hyperlink r:id="rId582" ref="Q129"/>
    <hyperlink r:id="rId583" ref="R129"/>
    <hyperlink r:id="rId584" ref="M130"/>
    <hyperlink r:id="rId585" ref="N130"/>
    <hyperlink r:id="rId586" location="x=224189.06&amp;y=579212.55&amp;z=12.69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0"/>
    <hyperlink r:id="rId587" ref="P130"/>
    <hyperlink r:id="rId588" ref="Q130"/>
    <hyperlink r:id="rId589" ref="M132"/>
    <hyperlink r:id="rId590" ref="N132"/>
    <hyperlink r:id="rId591" location="x=124756.98&amp;y=456428.5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2"/>
    <hyperlink r:id="rId592" ref="P132"/>
    <hyperlink r:id="rId593" ref="Q132"/>
    <hyperlink r:id="rId594" ref="R132"/>
    <hyperlink r:id="rId595" ref="M133"/>
    <hyperlink r:id="rId596" ref="N133"/>
    <hyperlink r:id="rId597" location="x=101658.00&amp;y=48732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3"/>
    <hyperlink r:id="rId598" ref="P133"/>
    <hyperlink r:id="rId599" ref="Q133"/>
    <hyperlink r:id="rId600" ref="R133"/>
    <hyperlink r:id="rId601" ref="M134"/>
    <hyperlink r:id="rId602" ref="N134"/>
    <hyperlink r:id="rId603" location="x=177513.00&amp;y=55716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4"/>
    <hyperlink r:id="rId604" ref="P134"/>
    <hyperlink r:id="rId605" ref="Q134"/>
    <hyperlink r:id="rId606" location="data_s=id%3AdataSource_1-Peilen_1160-0-2%3A83857" ref="R134"/>
    <hyperlink r:id="rId607" ref="M135"/>
    <hyperlink r:id="rId608" ref="N135"/>
    <hyperlink r:id="rId609" location="x=175494.89&amp;y=566015.1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5"/>
    <hyperlink r:id="rId610" ref="P135"/>
    <hyperlink r:id="rId611" ref="Q135"/>
    <hyperlink r:id="rId612" location="data_s=id%3AdataSource_1-Peilen_1160-0-2%3A83857" ref="R135"/>
    <hyperlink r:id="rId613" ref="M136"/>
    <hyperlink r:id="rId614" ref="N136"/>
    <hyperlink r:id="rId615" location="x=210749.54&amp;y=467631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6"/>
    <hyperlink r:id="rId616" ref="P136"/>
    <hyperlink r:id="rId617" ref="M137"/>
    <hyperlink r:id="rId618" ref="N137"/>
    <hyperlink r:id="rId619" location="x=157140.48&amp;y=463597.68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7"/>
    <hyperlink r:id="rId620" ref="P137"/>
    <hyperlink r:id="rId621" ref="M138"/>
    <hyperlink r:id="rId622" ref="N138"/>
    <hyperlink r:id="rId623" location="x=105010.01&amp;y=454817.44&amp;z=12.066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8"/>
    <hyperlink r:id="rId624" ref="P138"/>
    <hyperlink r:id="rId625" ref="Q138"/>
    <hyperlink r:id="rId626" ref="R138"/>
    <hyperlink r:id="rId627" ref="M139"/>
    <hyperlink r:id="rId628" ref="N139"/>
    <hyperlink r:id="rId629" location="x=157140.48&amp;y=463597.68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39"/>
    <hyperlink r:id="rId630" ref="P139"/>
    <hyperlink r:id="rId631" ref="M140"/>
    <hyperlink r:id="rId632" ref="N140"/>
    <hyperlink r:id="rId633" location="x=89741.35&amp;y=454620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0"/>
    <hyperlink r:id="rId634" ref="P140"/>
    <hyperlink r:id="rId635" ref="Q140"/>
    <hyperlink r:id="rId636" ref="R140"/>
    <hyperlink r:id="rId637" ref="M141"/>
    <hyperlink r:id="rId638" ref="N141"/>
    <hyperlink r:id="rId639" location="x=101150.65&amp;y=467047.3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1"/>
    <hyperlink r:id="rId640" ref="P141"/>
    <hyperlink r:id="rId641" ref="Q141"/>
    <hyperlink r:id="rId642" ref="R141"/>
    <hyperlink r:id="rId643" ref="M142"/>
    <hyperlink r:id="rId644" ref="N142"/>
    <hyperlink r:id="rId645" location="x=88795.62&amp;y=393951.4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2"/>
    <hyperlink r:id="rId646" ref="P142"/>
    <hyperlink r:id="rId647" ref="M143"/>
    <hyperlink r:id="rId648" ref="N143"/>
    <hyperlink r:id="rId649" location="x=227835.55&amp;y=591737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3"/>
    <hyperlink r:id="rId650" ref="P143"/>
    <hyperlink r:id="rId651" ref="Q143"/>
    <hyperlink r:id="rId652" ref="M144"/>
    <hyperlink r:id="rId653" ref="N144"/>
    <hyperlink r:id="rId654" location="x=162463.29&amp;y=565344.16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4"/>
    <hyperlink r:id="rId655" ref="P144"/>
    <hyperlink r:id="rId656" ref="M145"/>
    <hyperlink r:id="rId657" ref="N145"/>
    <hyperlink r:id="rId658" location="x=163937.12&amp;y=568096.50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5"/>
    <hyperlink r:id="rId659" ref="P145"/>
    <hyperlink r:id="rId660" location="data_s=id%3AdataSource_1-Peilen_1160-0-2%3A60886" ref="R145"/>
    <hyperlink r:id="rId661" ref="M146"/>
    <hyperlink r:id="rId662" ref="N146"/>
    <hyperlink r:id="rId663" location="x=220501.48&amp;y=482944.4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6"/>
    <hyperlink r:id="rId664" ref="P146"/>
    <hyperlink r:id="rId665" ref="M147"/>
    <hyperlink r:id="rId666" ref="N147"/>
    <hyperlink r:id="rId667" location="x=211756.54&amp;y=460165.78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7"/>
    <hyperlink r:id="rId668" ref="P147"/>
    <hyperlink r:id="rId669" ref="M148"/>
    <hyperlink r:id="rId670" ref="N148"/>
    <hyperlink r:id="rId671" location="x=210932.27&amp;y=463601.57&amp;z=11.824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8"/>
    <hyperlink r:id="rId672" ref="P148"/>
    <hyperlink r:id="rId673" ref="M149"/>
    <hyperlink r:id="rId674" ref="N149"/>
    <hyperlink r:id="rId675" location="x=209968.75&amp;y=463800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49"/>
    <hyperlink r:id="rId676" ref="P149"/>
    <hyperlink r:id="rId677" ref="M150"/>
    <hyperlink r:id="rId678" ref="N150"/>
    <hyperlink r:id="rId679" location="x=106793.27&amp;y=489612.71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0"/>
    <hyperlink r:id="rId680" ref="P150"/>
    <hyperlink r:id="rId681" ref="Q150"/>
    <hyperlink r:id="rId682" ref="R150"/>
    <hyperlink r:id="rId683" ref="N151"/>
    <hyperlink r:id="rId684" location="x=257620.72&amp;y=539287.03&amp;z=11.436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1"/>
    <hyperlink r:id="rId685" location="/map" ref="P151"/>
    <hyperlink r:id="rId686" ref="M152"/>
    <hyperlink r:id="rId687" ref="N152"/>
    <hyperlink r:id="rId688" location="x=239800.75&amp;y=571823.1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2"/>
    <hyperlink r:id="rId689" location="/map" ref="P152"/>
    <hyperlink r:id="rId690" ref="M153"/>
    <hyperlink r:id="rId691" ref="N153"/>
    <hyperlink r:id="rId692" location="x=127026.44&amp;y=416637.82&amp;z=12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3"/>
    <hyperlink r:id="rId693" ref="P153"/>
    <hyperlink r:id="rId694" ref="Q153"/>
    <hyperlink r:id="rId695" ref="R153"/>
    <hyperlink r:id="rId696" ref="M154"/>
    <hyperlink r:id="rId697" ref="N154"/>
    <hyperlink r:id="rId698" location="x=144646.25&amp;y=479300.6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4"/>
    <hyperlink r:id="rId699" ref="P154"/>
    <hyperlink r:id="rId700" ref="M155"/>
    <hyperlink r:id="rId701" ref="N155"/>
    <hyperlink r:id="rId702" location="x=104567.84&amp;y=487032.5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5"/>
    <hyperlink r:id="rId703" ref="P155"/>
    <hyperlink r:id="rId704" ref="M156"/>
    <hyperlink r:id="rId705" ref="N156"/>
    <hyperlink r:id="rId706" location="x=176786.60&amp;y=383987.09&amp;z=11.993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6"/>
    <hyperlink r:id="rId707" ref="P156"/>
    <hyperlink r:id="rId708" ref="B157"/>
    <hyperlink r:id="rId709" ref="M157"/>
    <hyperlink r:id="rId710" ref="N157"/>
    <hyperlink r:id="rId711" location="x=106278.56&amp;y=484900.28&amp;z=12.451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7"/>
    <hyperlink r:id="rId712" ref="P157"/>
    <hyperlink r:id="rId713" ref="Q157"/>
    <hyperlink r:id="rId714" ref="R157"/>
    <hyperlink r:id="rId715" ref="B158"/>
    <hyperlink r:id="rId716" ref="M158"/>
    <hyperlink r:id="rId717" ref="N158"/>
    <hyperlink r:id="rId718" location="x=105885.23&amp;y=487208.31&amp;z=12.957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8"/>
    <hyperlink r:id="rId719" ref="P158"/>
    <hyperlink r:id="rId720" ref="Q158"/>
    <hyperlink r:id="rId721" ref="R158"/>
    <hyperlink r:id="rId722" ref="B159"/>
    <hyperlink r:id="rId723" ref="M159"/>
    <hyperlink r:id="rId724" ref="N159"/>
    <hyperlink r:id="rId725" location="x=106585.27&amp;y=483347.26&amp;z=12.386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59"/>
    <hyperlink r:id="rId726" ref="P159"/>
    <hyperlink r:id="rId727" ref="Q159"/>
    <hyperlink r:id="rId728" ref="R159"/>
    <hyperlink r:id="rId729" ref="B160"/>
    <hyperlink r:id="rId730" ref="M160"/>
    <hyperlink r:id="rId731" ref="N160"/>
    <hyperlink r:id="rId732" location="x=106278.56&amp;y=484900.28&amp;z=12.451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0"/>
    <hyperlink r:id="rId733" ref="P160"/>
    <hyperlink r:id="rId734" ref="Q160"/>
    <hyperlink r:id="rId735" ref="R160"/>
    <hyperlink r:id="rId736" ref="B161"/>
    <hyperlink r:id="rId737" ref="M161"/>
    <hyperlink r:id="rId738" ref="N161"/>
    <hyperlink r:id="rId739" location="x=112119.63&amp;y=477609.19&amp;z=12.808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1"/>
    <hyperlink r:id="rId740" ref="P161"/>
    <hyperlink r:id="rId741" ref="Q161"/>
    <hyperlink r:id="rId742" ref="R161"/>
    <hyperlink r:id="rId743" ref="B162"/>
    <hyperlink r:id="rId744" ref="M162"/>
    <hyperlink r:id="rId745" ref="N162"/>
    <hyperlink r:id="rId746" location="x=110931.01&amp;y=477069.30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2"/>
    <hyperlink r:id="rId747" ref="P162"/>
    <hyperlink r:id="rId748" ref="Q162"/>
    <hyperlink r:id="rId749" ref="R162"/>
    <hyperlink r:id="rId750" ref="B163"/>
    <hyperlink r:id="rId751" ref="M163"/>
    <hyperlink r:id="rId752" ref="N163"/>
    <hyperlink r:id="rId753" location="x=110887.34&amp;y=476583.74&amp;z=13.448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3"/>
    <hyperlink r:id="rId754" ref="P163"/>
    <hyperlink r:id="rId755" ref="Q163"/>
    <hyperlink r:id="rId756" ref="R163"/>
    <hyperlink r:id="rId757" ref="B164"/>
    <hyperlink r:id="rId758" ref="M164"/>
    <hyperlink r:id="rId759" ref="N164"/>
    <hyperlink r:id="rId760" location="x=109934.73&amp;y=477164.36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4"/>
    <hyperlink r:id="rId761" ref="P164"/>
    <hyperlink r:id="rId762" ref="Q164"/>
    <hyperlink r:id="rId763" ref="R164"/>
    <hyperlink r:id="rId764" ref="B165"/>
    <hyperlink r:id="rId765" ref="M165"/>
    <hyperlink r:id="rId766" ref="N165"/>
    <hyperlink r:id="rId767" location="x=109773.20&amp;y=477455.17&amp;z=11.465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5"/>
    <hyperlink r:id="rId768" ref="P165"/>
    <hyperlink r:id="rId769" ref="Q165"/>
    <hyperlink r:id="rId770" ref="R165"/>
    <hyperlink r:id="rId771" ref="B166"/>
    <hyperlink r:id="rId772" ref="M166"/>
    <hyperlink r:id="rId773" ref="N166"/>
    <hyperlink r:id="rId774" location="x=109558.71&amp;y=478251.93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6"/>
    <hyperlink r:id="rId775" ref="P166"/>
    <hyperlink r:id="rId776" ref="Q166"/>
    <hyperlink r:id="rId777" ref="R166"/>
    <hyperlink r:id="rId778" ref="B167"/>
    <hyperlink r:id="rId779" ref="M167"/>
    <hyperlink r:id="rId780" ref="N167"/>
    <hyperlink r:id="rId781" location="x=109282.81&amp;y=478522.35&amp;z=12.861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7"/>
    <hyperlink r:id="rId782" ref="P167"/>
    <hyperlink r:id="rId783" ref="Q167"/>
    <hyperlink r:id="rId784" ref="R167"/>
    <hyperlink r:id="rId785" ref="B168"/>
    <hyperlink r:id="rId786" ref="M168"/>
    <hyperlink r:id="rId787" ref="N168"/>
    <hyperlink r:id="rId788" location="x=108715.14&amp;y=479015.1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8"/>
    <hyperlink r:id="rId789" ref="P168"/>
    <hyperlink r:id="rId790" ref="Q168"/>
    <hyperlink r:id="rId791" ref="R168"/>
    <hyperlink r:id="rId792" ref="B169"/>
    <hyperlink r:id="rId793" ref="M169"/>
    <hyperlink r:id="rId794" ref="N169"/>
    <hyperlink r:id="rId795" location="x=107898.06&amp;y=480169.23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69"/>
    <hyperlink r:id="rId796" ref="P169"/>
    <hyperlink r:id="rId797" ref="Q169"/>
    <hyperlink r:id="rId798" ref="R169"/>
    <hyperlink r:id="rId799" ref="B170"/>
    <hyperlink r:id="rId800" ref="M170"/>
    <hyperlink r:id="rId801" ref="N170"/>
    <hyperlink r:id="rId802" location="x=105955.64&amp;y=488524.24&amp;z=12.520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0"/>
    <hyperlink r:id="rId803" ref="P170"/>
    <hyperlink r:id="rId804" ref="Q170"/>
    <hyperlink r:id="rId805" ref="R170"/>
    <hyperlink r:id="rId806" ref="B171"/>
    <hyperlink r:id="rId807" ref="M171"/>
    <hyperlink r:id="rId808" ref="N171"/>
    <hyperlink r:id="rId809" location="x=105356.87&amp;y=488793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1"/>
    <hyperlink r:id="rId810" ref="P171"/>
    <hyperlink r:id="rId811" ref="Q171"/>
    <hyperlink r:id="rId812" ref="R171"/>
    <hyperlink r:id="rId813" ref="B172"/>
    <hyperlink r:id="rId814" ref="M172"/>
    <hyperlink r:id="rId815" ref="N172"/>
    <hyperlink r:id="rId816" location="x=105514.96&amp;y=489937.24&amp;z=13.345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2"/>
    <hyperlink r:id="rId817" ref="P172"/>
    <hyperlink r:id="rId818" ref="Q172"/>
    <hyperlink r:id="rId819" ref="R172"/>
    <hyperlink r:id="rId820" ref="B173"/>
    <hyperlink r:id="rId821" ref="M173"/>
    <hyperlink r:id="rId822" ref="N173"/>
    <hyperlink r:id="rId823" location="x=105376.28&amp;y=490816.03&amp;z=12.223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3"/>
    <hyperlink r:id="rId824" ref="P173"/>
    <hyperlink r:id="rId825" ref="Q173"/>
    <hyperlink r:id="rId826" ref="R173"/>
    <hyperlink r:id="rId827" ref="B174"/>
    <hyperlink r:id="rId828" ref="M174"/>
    <hyperlink r:id="rId829" ref="N174"/>
    <hyperlink r:id="rId830" location="x=104978.39&amp;y=491626.11&amp;z=12.397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4"/>
    <hyperlink r:id="rId831" ref="P174"/>
    <hyperlink r:id="rId832" ref="Q174"/>
    <hyperlink r:id="rId833" ref="R174"/>
    <hyperlink r:id="rId834" ref="M175"/>
    <hyperlink r:id="rId835" ref="N175"/>
    <hyperlink r:id="rId836" location="x=114738.48&amp;y=474996.7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5"/>
    <hyperlink r:id="rId837" ref="P175"/>
    <hyperlink r:id="rId838" ref="M176"/>
    <hyperlink r:id="rId839" ref="N176"/>
    <hyperlink r:id="rId840" location="x=108506.14&amp;y=533348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6"/>
    <hyperlink r:id="rId841" ref="P176"/>
    <hyperlink r:id="rId842" ref="Q176"/>
    <hyperlink r:id="rId843" location="gid=1180820685" ref="B177"/>
    <hyperlink r:id="rId844" ref="M177"/>
    <hyperlink r:id="rId845" ref="N177"/>
    <hyperlink r:id="rId846" location="x=113250.16&amp;y=498686.00&amp;z=11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7"/>
    <hyperlink r:id="rId847" ref="P177"/>
    <hyperlink r:id="rId848" ref="M178"/>
    <hyperlink r:id="rId849" ref="N178"/>
    <hyperlink r:id="rId850" location="x=235685.00&amp;y=46700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8"/>
    <hyperlink r:id="rId851" ref="P178"/>
    <hyperlink r:id="rId852" ref="M179"/>
    <hyperlink r:id="rId853" ref="N179"/>
    <hyperlink r:id="rId854" location="x=244986.37&amp;y=528394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79"/>
    <hyperlink r:id="rId855" ref="P179"/>
    <hyperlink r:id="rId856" ref="M180"/>
    <hyperlink r:id="rId857" ref="N180"/>
    <hyperlink r:id="rId858" location="x=111128.29&amp;y=525580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0"/>
    <hyperlink r:id="rId859" ref="P180"/>
    <hyperlink r:id="rId860" ref="M181"/>
    <hyperlink r:id="rId861" ref="N181"/>
    <hyperlink r:id="rId862" location="x=214531.00&amp;y=51206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1"/>
    <hyperlink r:id="rId863" ref="P181"/>
    <hyperlink r:id="rId864" ref="M182"/>
    <hyperlink r:id="rId865" ref="N182"/>
    <hyperlink r:id="rId866" location="x=113134.77&amp;y=545623.5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2"/>
    <hyperlink r:id="rId867" ref="P182"/>
    <hyperlink r:id="rId868" ref="M183"/>
    <hyperlink r:id="rId869" ref="N183"/>
    <hyperlink r:id="rId870" location="x=248174.85&amp;y=575812.2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3"/>
    <hyperlink r:id="rId871" location="/map" ref="P183"/>
    <hyperlink r:id="rId872" ref="M184"/>
    <hyperlink r:id="rId873" ref="N184"/>
    <hyperlink r:id="rId874" location="x=248149.19&amp;y=575935.50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4"/>
    <hyperlink r:id="rId875" location="/map" ref="P184"/>
    <hyperlink r:id="rId876" ref="M185"/>
    <hyperlink r:id="rId877" ref="N185"/>
    <hyperlink r:id="rId878" location="x=131624.50&amp;y=394279.1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5"/>
    <hyperlink r:id="rId879" ref="P185"/>
    <hyperlink r:id="rId880" ref="M186"/>
    <hyperlink r:id="rId881" ref="N186"/>
    <hyperlink r:id="rId882" location="x=248004.09&amp;y=575981.29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6"/>
    <hyperlink r:id="rId883" location="/map" ref="P186"/>
    <hyperlink r:id="rId884" ref="M187"/>
    <hyperlink r:id="rId885" ref="N187"/>
    <hyperlink r:id="rId886" location="x=247920.57&amp;y=575888.15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7"/>
    <hyperlink r:id="rId887" location="/map" ref="P187"/>
    <hyperlink r:id="rId888" ref="M188"/>
    <hyperlink r:id="rId889" ref="N188"/>
    <hyperlink r:id="rId890" location="x=247808.99&amp;y=575695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8"/>
    <hyperlink r:id="rId891" location="/map" ref="P188"/>
    <hyperlink r:id="rId892" ref="M189"/>
    <hyperlink r:id="rId893" ref="N189"/>
    <hyperlink r:id="rId894" location="x=101211.37&amp;y=475755.5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89"/>
    <hyperlink r:id="rId895" ref="P189"/>
    <hyperlink r:id="rId896" ref="Q189"/>
    <hyperlink r:id="rId897" ref="R189"/>
    <hyperlink r:id="rId898" ref="M190"/>
    <hyperlink r:id="rId899" ref="N190"/>
    <hyperlink r:id="rId900" location="x=93426.69&amp;y=471972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0"/>
    <hyperlink r:id="rId901" ref="P190"/>
    <hyperlink r:id="rId902" ref="M191"/>
    <hyperlink r:id="rId903" ref="N191"/>
    <hyperlink r:id="rId904" location="x=121636.44&amp;y=424466.4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1"/>
    <hyperlink r:id="rId905" ref="P191"/>
    <hyperlink r:id="rId906" ref="M192"/>
    <hyperlink r:id="rId907" ref="N192"/>
    <hyperlink r:id="rId908" location="x=135158.00&amp;y=47491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2"/>
    <hyperlink r:id="rId909" ref="P192"/>
    <hyperlink r:id="rId910" ref="M193"/>
    <hyperlink r:id="rId911" ref="N193"/>
    <hyperlink r:id="rId912" location="x=163648.79&amp;y=464955.8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3"/>
    <hyperlink r:id="rId913" ref="P193"/>
    <hyperlink r:id="rId914" ref="M194"/>
    <hyperlink r:id="rId915" ref="N194"/>
    <hyperlink r:id="rId916" location="x=237011.35&amp;y=582141.18&amp;z=13.046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4"/>
    <hyperlink r:id="rId917" location="/home" ref="P194"/>
    <hyperlink r:id="rId918" ref="M195"/>
    <hyperlink r:id="rId919" ref="N195"/>
    <hyperlink r:id="rId920" location="x=236978.32&amp;y=582269.9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5"/>
    <hyperlink r:id="rId921" location="/home" ref="P195"/>
    <hyperlink r:id="rId922" ref="M196"/>
    <hyperlink r:id="rId923" ref="N196"/>
    <hyperlink r:id="rId924" location="x=106403.90&amp;y=477616.27&amp;z=12.481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6"/>
    <hyperlink r:id="rId925" ref="P196"/>
    <hyperlink r:id="rId926" ref="Q196"/>
    <hyperlink r:id="rId927" ref="R196"/>
    <hyperlink r:id="rId928" ref="M197"/>
    <hyperlink r:id="rId929" ref="N197"/>
    <hyperlink r:id="rId930" location="x=120455.16&amp;y=477730.4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7"/>
    <hyperlink r:id="rId931" ref="P197"/>
    <hyperlink r:id="rId932" ref="M198"/>
    <hyperlink r:id="rId933" ref="N198"/>
    <hyperlink r:id="rId934" location="x=102083.57&amp;y=479824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8"/>
    <hyperlink r:id="rId935" ref="P198"/>
    <hyperlink r:id="rId936" ref="Q198"/>
    <hyperlink r:id="rId937" ref="R198"/>
    <hyperlink r:id="rId938" ref="M199"/>
    <hyperlink r:id="rId939" ref="N199"/>
    <hyperlink r:id="rId940" location="x=109854.61&amp;y=471837.91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199"/>
    <hyperlink r:id="rId941" ref="P199"/>
    <hyperlink r:id="rId942" ref="M200"/>
    <hyperlink r:id="rId943" ref="N200"/>
    <hyperlink r:id="rId944" location="x=110480.91&amp;y=471906.4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0"/>
    <hyperlink r:id="rId945" ref="P200"/>
    <hyperlink r:id="rId946" ref="M201"/>
    <hyperlink r:id="rId947" ref="N201"/>
    <hyperlink r:id="rId948" location="x=98195.00&amp;y=449007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1"/>
    <hyperlink r:id="rId949" location="data_s=id%3Awidget_12_output_config_0%3A0" ref="P201"/>
    <hyperlink r:id="rId950" ref="Q201"/>
    <hyperlink r:id="rId951" ref="R201"/>
    <hyperlink r:id="rId952" ref="B202"/>
    <hyperlink r:id="rId953" ref="M202"/>
    <hyperlink r:id="rId954" ref="N202"/>
    <hyperlink r:id="rId955" location="x=131266.98&amp;y=529043.4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2"/>
    <hyperlink r:id="rId956" ref="P202"/>
    <hyperlink r:id="rId957" ref="M203"/>
    <hyperlink r:id="rId958" ref="N203"/>
    <hyperlink r:id="rId959" location="x=216933.15&amp;y=501598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3"/>
    <hyperlink r:id="rId960" ref="P203"/>
    <hyperlink r:id="rId961" ref="M204"/>
    <hyperlink r:id="rId962" ref="N204"/>
    <hyperlink r:id="rId963" location="x=112700.73&amp;y=398292.2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4"/>
    <hyperlink r:id="rId964" ref="P204"/>
    <hyperlink r:id="rId965" ref="B205"/>
    <hyperlink r:id="rId966" ref="M205"/>
    <hyperlink r:id="rId967" ref="N205"/>
    <hyperlink r:id="rId968" location="x=248567.96&amp;y=575686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5"/>
    <hyperlink r:id="rId969" location="/map" ref="P205"/>
    <hyperlink r:id="rId970" ref="B206"/>
    <hyperlink r:id="rId971" ref="M206"/>
    <hyperlink r:id="rId972" ref="N206"/>
    <hyperlink r:id="rId973" location="x=248567.96&amp;y=575686.6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6"/>
    <hyperlink r:id="rId974" location="/map" ref="P206"/>
    <hyperlink r:id="rId975" ref="M207"/>
    <hyperlink r:id="rId976" ref="N207"/>
    <hyperlink r:id="rId977" location="x=161684.46&amp;y=542574.5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7"/>
    <hyperlink r:id="rId978" ref="P207"/>
    <hyperlink r:id="rId979" ref="M208"/>
    <hyperlink r:id="rId980" ref="N208"/>
    <hyperlink r:id="rId981" location="x=168041.85&amp;y=477293.9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08"/>
    <hyperlink r:id="rId982" ref="P208"/>
    <hyperlink r:id="rId983" ref="M209"/>
    <hyperlink r:id="rId984" ref="N209"/>
    <hyperlink r:id="rId985" ref="M210"/>
    <hyperlink r:id="rId986" ref="N210"/>
    <hyperlink r:id="rId987" location="x=222081.00&amp;y=58395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0"/>
    <hyperlink r:id="rId988" ref="M211"/>
    <hyperlink r:id="rId989" ref="N211"/>
    <hyperlink r:id="rId990" location="x=220971.00&amp;y=58338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1"/>
    <hyperlink r:id="rId991" ref="M212"/>
    <hyperlink r:id="rId992" ref="N212"/>
    <hyperlink r:id="rId993" ref="M213"/>
    <hyperlink r:id="rId994" ref="N213"/>
    <hyperlink r:id="rId995" ref="M214"/>
    <hyperlink r:id="rId996" ref="N214"/>
    <hyperlink r:id="rId997" ref="M215"/>
    <hyperlink r:id="rId998" ref="N215"/>
    <hyperlink r:id="rId999" location="x=114251.25&amp;y=476442.66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5"/>
    <hyperlink r:id="rId1000" ref="P215"/>
    <hyperlink r:id="rId1001" ref="M216"/>
    <hyperlink r:id="rId1002" ref="N216"/>
    <hyperlink r:id="rId1003" location="x=128944.56&amp;y=484851.45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6"/>
    <hyperlink r:id="rId1004" ref="P216"/>
    <hyperlink r:id="rId1005" ref="M217"/>
    <hyperlink r:id="rId1006" ref="N217"/>
    <hyperlink r:id="rId1007" location="x=114125.25&amp;y=476744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7"/>
    <hyperlink r:id="rId1008" ref="P217"/>
    <hyperlink r:id="rId1009" ref="M218"/>
    <hyperlink r:id="rId1010" ref="N218"/>
    <hyperlink r:id="rId1011" location="x=82128.44&amp;y=448827.02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8"/>
    <hyperlink r:id="rId1012" location="data_s=id%3Awidget_60_output_config_24%3A0" ref="P218"/>
    <hyperlink r:id="rId1013" ref="M219"/>
    <hyperlink r:id="rId1014" ref="N219"/>
    <hyperlink r:id="rId1015" location="x=98329.25&amp;y=465725.45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19"/>
    <hyperlink r:id="rId1016" ref="P219"/>
    <hyperlink r:id="rId1017" ref="Q219"/>
    <hyperlink r:id="rId1018" ref="R219"/>
    <hyperlink r:id="rId1019" ref="M220"/>
    <hyperlink r:id="rId1020" ref="N220"/>
    <hyperlink r:id="rId1021" location="x=115574.46&amp;y=477536.39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0"/>
    <hyperlink r:id="rId1022" ref="P220"/>
    <hyperlink r:id="rId1023" ref="Q220"/>
    <hyperlink r:id="rId1024" ref="R220"/>
    <hyperlink r:id="rId1025" ref="M221"/>
    <hyperlink r:id="rId1026" ref="N221"/>
    <hyperlink r:id="rId1027" ref="M222"/>
    <hyperlink r:id="rId1028" ref="N222"/>
    <hyperlink r:id="rId1029" location="x=104064.20&amp;y=495941.4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2"/>
    <hyperlink r:id="rId1030" ref="P222"/>
    <hyperlink r:id="rId1031" ref="M223"/>
    <hyperlink r:id="rId1032" ref="N223"/>
    <hyperlink r:id="rId1033" location="x=254898.00&amp;y=48065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3"/>
    <hyperlink r:id="rId1034" ref="P223"/>
    <hyperlink r:id="rId1035" ref="N224"/>
    <hyperlink r:id="rId1036" ref="M225"/>
    <hyperlink r:id="rId1037" ref="N225"/>
    <hyperlink r:id="rId1038" location="x=214831.41&amp;y=581264.7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5"/>
    <hyperlink r:id="rId1039" ref="P225"/>
    <hyperlink r:id="rId1040" ref="M226"/>
    <hyperlink r:id="rId1041" ref="N226"/>
    <hyperlink r:id="rId1042" location="x=143554.54&amp;y=487078.5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6"/>
    <hyperlink r:id="rId1043" location="data_s=id%3Awidget_18_output_config_default_geocode_1_0%3A0" ref="P226"/>
    <hyperlink r:id="rId1044" ref="M227"/>
    <hyperlink r:id="rId1045" ref="N227"/>
    <hyperlink r:id="rId1046" location="x=106604.80&amp;y=479703.53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7"/>
    <hyperlink r:id="rId1047" ref="P227"/>
    <hyperlink r:id="rId1048" ref="M228"/>
    <hyperlink r:id="rId1049" ref="N228"/>
    <hyperlink r:id="rId1050" location="x=219613.00&amp;y=49322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8"/>
    <hyperlink r:id="rId1051" ref="P228"/>
    <hyperlink r:id="rId1052" ref="N229"/>
    <hyperlink r:id="rId1053" location="x=179285.00&amp;y=42975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29"/>
    <hyperlink r:id="rId1054" ref="P229"/>
    <hyperlink r:id="rId1055" ref="M230"/>
    <hyperlink r:id="rId1056" ref="N230"/>
    <hyperlink r:id="rId1057" location="x=128752.15&amp;y=496421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0"/>
    <hyperlink r:id="rId1058" ref="P230"/>
    <hyperlink r:id="rId1059" ref="Q230"/>
    <hyperlink r:id="rId1060" ref="M231"/>
    <hyperlink r:id="rId1061" ref="N231"/>
    <hyperlink r:id="rId1062" location="x=142539.85&amp;y=520947.3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1"/>
    <hyperlink r:id="rId1063" ref="P231"/>
    <hyperlink r:id="rId1064" ref="M232"/>
    <hyperlink r:id="rId1065" ref="N232"/>
    <hyperlink r:id="rId1066" location="x=142656.75&amp;y=521823.72&amp;z=11.7478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2"/>
    <hyperlink r:id="rId1067" ref="P232"/>
    <hyperlink r:id="rId1068" ref="M233"/>
    <hyperlink r:id="rId1069" ref="N233"/>
    <hyperlink r:id="rId1070" location="x=89942.38&amp;y=466046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3"/>
    <hyperlink r:id="rId1071" ref="P233"/>
    <hyperlink r:id="rId1072" ref="M234"/>
    <hyperlink r:id="rId1073" ref="N234"/>
    <hyperlink r:id="rId1074" location="x=89077.00&amp;y=468117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4"/>
    <hyperlink r:id="rId1075" ref="P234"/>
    <hyperlink r:id="rId1076" ref="M235"/>
    <hyperlink r:id="rId1077" ref="N235"/>
    <hyperlink r:id="rId1078" location="x=168110.00&amp;y=45249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5"/>
    <hyperlink r:id="rId1079" ref="P235"/>
    <hyperlink r:id="rId1080" ref="M236"/>
    <hyperlink r:id="rId1081" ref="N236"/>
    <hyperlink r:id="rId1082" location="x=145695.59&amp;y=524083.06&amp;z=12.588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6"/>
    <hyperlink r:id="rId1083" ref="P236"/>
    <hyperlink r:id="rId1084" ref="M237"/>
    <hyperlink r:id="rId1085" ref="N237"/>
    <hyperlink r:id="rId1086" location="x=111665.48&amp;y=475159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7"/>
    <hyperlink r:id="rId1087" ref="P237"/>
    <hyperlink r:id="rId1088" ref="Q237"/>
    <hyperlink r:id="rId1089" ref="R237"/>
    <hyperlink r:id="rId1090" ref="M238"/>
    <hyperlink r:id="rId1091" ref="N238"/>
    <hyperlink r:id="rId1092" location="x=134104.14&amp;y=470652.5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8"/>
    <hyperlink r:id="rId1093" ref="P238"/>
    <hyperlink r:id="rId1094" ref="M239"/>
    <hyperlink r:id="rId1095" ref="N239"/>
    <hyperlink r:id="rId1096" location="x=103602.49&amp;y=482933.0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39"/>
    <hyperlink r:id="rId1097" ref="P239"/>
    <hyperlink r:id="rId1098" ref="M240"/>
    <hyperlink r:id="rId1099" ref="N240"/>
    <hyperlink r:id="rId1100" location="x=138247.37&amp;y=401773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0"/>
    <hyperlink r:id="rId1101" ref="P240"/>
    <hyperlink r:id="rId1102" ref="M241"/>
    <hyperlink r:id="rId1103" ref="N241"/>
    <hyperlink r:id="rId1104" location="x=84129.70&amp;y=444077.7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1"/>
    <hyperlink r:id="rId1105" ref="P241"/>
    <hyperlink r:id="rId1106" ref="M242"/>
    <hyperlink r:id="rId1107" ref="N242"/>
    <hyperlink r:id="rId1108" location="x=126621.00&amp;y=481177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2"/>
    <hyperlink r:id="rId1109" ref="P242"/>
    <hyperlink r:id="rId1110" ref="M243"/>
    <hyperlink r:id="rId1111" ref="N243"/>
    <hyperlink r:id="rId1112" location="x=174745.00&amp;y=56372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3"/>
    <hyperlink r:id="rId1113" ref="P243"/>
    <hyperlink r:id="rId1114" ref="R243"/>
    <hyperlink r:id="rId1115" ref="M244"/>
    <hyperlink r:id="rId1116" ref="N244"/>
    <hyperlink r:id="rId1117" location="x=129453.17&amp;y=485093.1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4"/>
    <hyperlink r:id="rId1118" ref="P244"/>
    <hyperlink r:id="rId1119" ref="M245"/>
    <hyperlink r:id="rId1120" ref="N245"/>
    <hyperlink r:id="rId1121" location="x=111623.43&amp;y=472763.6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5"/>
    <hyperlink r:id="rId1122" ref="P245"/>
    <hyperlink r:id="rId1123" ref="M246"/>
    <hyperlink r:id="rId1124" ref="N246"/>
    <hyperlink r:id="rId1125" location="x=124477.91&amp;y=506281.2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46"/>
    <hyperlink r:id="rId1126" ref="P246"/>
    <hyperlink r:id="rId1127" ref="Q246"/>
    <hyperlink r:id="rId1128" ref="B247"/>
    <hyperlink r:id="rId1129" ref="M247"/>
    <hyperlink r:id="rId1130" ref="N247"/>
    <hyperlink r:id="rId1131" ref="O247"/>
    <hyperlink r:id="rId1132" ref="P247"/>
    <hyperlink r:id="rId1133" ref="Q247"/>
    <hyperlink r:id="rId1134" ref="R247"/>
    <hyperlink r:id="rId1135" ref="B248"/>
    <hyperlink r:id="rId1136" ref="M248"/>
    <hyperlink r:id="rId1137" ref="N248"/>
    <hyperlink r:id="rId1138" ref="O248"/>
    <hyperlink r:id="rId1139" ref="P248"/>
    <hyperlink r:id="rId1140" ref="Q248"/>
    <hyperlink r:id="rId1141" ref="R248"/>
    <hyperlink r:id="rId1142" ref="B249"/>
    <hyperlink r:id="rId1143" ref="M249"/>
    <hyperlink r:id="rId1144" ref="N249"/>
    <hyperlink r:id="rId1145" ref="O249"/>
    <hyperlink r:id="rId1146" ref="P249"/>
    <hyperlink r:id="rId1147" ref="Q249"/>
    <hyperlink r:id="rId1148" ref="R249"/>
    <hyperlink r:id="rId1149" ref="B250"/>
    <hyperlink r:id="rId1150" ref="M250"/>
    <hyperlink r:id="rId1151" ref="N250"/>
    <hyperlink r:id="rId1152" ref="O250"/>
    <hyperlink r:id="rId1153" ref="P250"/>
    <hyperlink r:id="rId1154" ref="Q250"/>
    <hyperlink r:id="rId1155" ref="R250"/>
    <hyperlink r:id="rId1156" ref="B251"/>
    <hyperlink r:id="rId1157" ref="M251"/>
    <hyperlink r:id="rId1158" ref="N251"/>
    <hyperlink r:id="rId1159" ref="O251"/>
    <hyperlink r:id="rId1160" ref="P251"/>
    <hyperlink r:id="rId1161" ref="Q251"/>
    <hyperlink r:id="rId1162" ref="R251"/>
    <hyperlink r:id="rId1163" ref="B252"/>
    <hyperlink r:id="rId1164" ref="M252"/>
    <hyperlink r:id="rId1165" ref="N252"/>
    <hyperlink r:id="rId1166" ref="O252"/>
    <hyperlink r:id="rId1167" ref="P252"/>
    <hyperlink r:id="rId1168" ref="Q252"/>
    <hyperlink r:id="rId1169" ref="R252"/>
    <hyperlink r:id="rId1170" ref="M253"/>
    <hyperlink r:id="rId1171" ref="N253"/>
    <hyperlink r:id="rId1172" location="x=59627.00&amp;y=38437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53"/>
    <hyperlink r:id="rId1173" ref="P253"/>
    <hyperlink r:id="rId1174" ref="Q253"/>
    <hyperlink r:id="rId1175" ref="M254"/>
    <hyperlink r:id="rId1176" ref="N254"/>
    <hyperlink r:id="rId1177" location="x=189797.32&amp;y=508323.5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54"/>
    <hyperlink r:id="rId1178" ref="P254"/>
    <hyperlink r:id="rId1179" ref="M255"/>
    <hyperlink r:id="rId1180" ref="N255"/>
    <hyperlink r:id="rId1181" location="x=189200.45&amp;y=508590.8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55"/>
    <hyperlink r:id="rId1182" ref="P255"/>
    <hyperlink r:id="rId1183" ref="B256"/>
    <hyperlink r:id="rId1184" ref="M256"/>
    <hyperlink r:id="rId1185" ref="N256"/>
    <hyperlink r:id="rId1186" ref="O256"/>
    <hyperlink r:id="rId1187" ref="P256"/>
    <hyperlink r:id="rId1188" ref="Q256"/>
    <hyperlink r:id="rId1189" ref="R256"/>
    <hyperlink r:id="rId1190" ref="M257"/>
    <hyperlink r:id="rId1191" ref="N257"/>
    <hyperlink r:id="rId1192" location="x=117783.70&amp;y=485854.2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57"/>
    <hyperlink r:id="rId1193" ref="P257"/>
    <hyperlink r:id="rId1194" ref="B258"/>
    <hyperlink r:id="rId1195" ref="M258"/>
    <hyperlink r:id="rId1196" ref="N258"/>
    <hyperlink r:id="rId1197" ref="O258"/>
    <hyperlink r:id="rId1198" ref="P258"/>
    <hyperlink r:id="rId1199" ref="Q258"/>
    <hyperlink r:id="rId1200" ref="R258"/>
    <hyperlink r:id="rId1201" ref="M259"/>
    <hyperlink r:id="rId1202" ref="N259"/>
    <hyperlink r:id="rId1203" location="x=144243.29&amp;y=475920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59"/>
    <hyperlink r:id="rId1204" ref="P259"/>
    <hyperlink r:id="rId1205" ref="M260"/>
    <hyperlink r:id="rId1206" ref="N260"/>
    <hyperlink r:id="rId1207" location="x=146908.43&amp;y=465435.3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0"/>
    <hyperlink r:id="rId1208" ref="P260"/>
    <hyperlink r:id="rId1209" ref="M261"/>
    <hyperlink r:id="rId1210" ref="N261"/>
    <hyperlink r:id="rId1211" location="x=152863.59&amp;y=464109.2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1"/>
    <hyperlink r:id="rId1212" ref="P261"/>
    <hyperlink r:id="rId1213" ref="M262"/>
    <hyperlink r:id="rId1214" ref="N262"/>
    <hyperlink r:id="rId1215" location="x=204668.70&amp;y=451623.7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2"/>
    <hyperlink r:id="rId1216" ref="P262"/>
    <hyperlink r:id="rId1217" ref="M263"/>
    <hyperlink r:id="rId1218" ref="N263"/>
    <hyperlink r:id="rId1219" location="x=206274.00&amp;y=42953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3"/>
    <hyperlink r:id="rId1220" ref="P263"/>
    <hyperlink r:id="rId1221" ref="M264"/>
    <hyperlink r:id="rId1222" ref="N264"/>
    <hyperlink r:id="rId1223" location="x=188197.32&amp;y=427755.9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4"/>
    <hyperlink r:id="rId1224" ref="P264"/>
    <hyperlink r:id="rId1225" ref="Q264"/>
    <hyperlink r:id="rId1226" ref="M265"/>
    <hyperlink r:id="rId1227" ref="N265"/>
    <hyperlink r:id="rId1228" location="x=186390.70&amp;y=427614.2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5"/>
    <hyperlink r:id="rId1229" ref="P265"/>
    <hyperlink r:id="rId1230" ref="Q265"/>
    <hyperlink r:id="rId1231" ref="M266"/>
    <hyperlink r:id="rId1232" ref="N266"/>
    <hyperlink r:id="rId1233" location="x=184779.26&amp;y=424448.7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6"/>
    <hyperlink r:id="rId1234" ref="P266"/>
    <hyperlink r:id="rId1235" ref="Q266"/>
    <hyperlink r:id="rId1236" ref="M267"/>
    <hyperlink r:id="rId1237" ref="N267"/>
    <hyperlink r:id="rId1238" location="x=128071.78&amp;y=516149.41&amp;z=12.811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7"/>
    <hyperlink r:id="rId1239" ref="P267"/>
    <hyperlink r:id="rId1240" ref="Q267"/>
    <hyperlink r:id="rId1241" ref="M268"/>
    <hyperlink r:id="rId1242" ref="N268"/>
    <hyperlink r:id="rId1243" location="x=144170.27&amp;y=474163.2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8"/>
    <hyperlink r:id="rId1244" ref="P268"/>
    <hyperlink r:id="rId1245" ref="M269"/>
    <hyperlink r:id="rId1246" ref="N269"/>
    <hyperlink r:id="rId1247" location="x=133979.00&amp;y=47359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69"/>
    <hyperlink r:id="rId1248" ref="P269"/>
    <hyperlink r:id="rId1249" ref="B270"/>
    <hyperlink r:id="rId1250" ref="M270"/>
    <hyperlink r:id="rId1251" ref="N270"/>
    <hyperlink r:id="rId1252" location="x=107876.77&amp;y=473107.33&amp;z=15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0"/>
    <hyperlink r:id="rId1253" ref="P270"/>
    <hyperlink r:id="rId1254" ref="Q270"/>
    <hyperlink r:id="rId1255" ref="R270"/>
    <hyperlink r:id="rId1256" ref="B271"/>
    <hyperlink r:id="rId1257" ref="M271"/>
    <hyperlink r:id="rId1258" ref="N271"/>
    <hyperlink r:id="rId1259" location="x=107772.97&amp;y=475145.63&amp;z=12.410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1"/>
    <hyperlink r:id="rId1260" ref="P271"/>
    <hyperlink r:id="rId1261" ref="Q271"/>
    <hyperlink r:id="rId1262" ref="R271"/>
    <hyperlink r:id="rId1263" ref="M272"/>
    <hyperlink r:id="rId1264" ref="N272"/>
    <hyperlink r:id="rId1265" location="x=241189.00&amp;y=59488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2"/>
    <hyperlink r:id="rId1266" ref="P272"/>
    <hyperlink r:id="rId1267" ref="M273"/>
    <hyperlink r:id="rId1268" ref="N273"/>
    <hyperlink r:id="rId1269" location="x=229708.24&amp;y=439247.7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3"/>
    <hyperlink r:id="rId1270" ref="P273"/>
    <hyperlink r:id="rId1271" ref="M274"/>
    <hyperlink r:id="rId1272" ref="N274"/>
    <hyperlink r:id="rId1273" location="x=217863.00&amp;y=510324.15&amp;z=14.8669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4"/>
    <hyperlink r:id="rId1274" ref="P274"/>
    <hyperlink r:id="rId1275" ref="B275"/>
    <hyperlink r:id="rId1276" ref="M275"/>
    <hyperlink r:id="rId1277" ref="N275"/>
    <hyperlink r:id="rId1278" ref="O275"/>
    <hyperlink r:id="rId1279" ref="P275"/>
    <hyperlink r:id="rId1280" ref="Q275"/>
    <hyperlink r:id="rId1281" ref="R275"/>
    <hyperlink r:id="rId1282" ref="B276"/>
    <hyperlink r:id="rId1283" ref="M276"/>
    <hyperlink r:id="rId1284" ref="N276"/>
    <hyperlink r:id="rId1285" ref="O276"/>
    <hyperlink r:id="rId1286" ref="P276"/>
    <hyperlink r:id="rId1287" ref="Q276"/>
    <hyperlink r:id="rId1288" ref="R276"/>
    <hyperlink r:id="rId1289" ref="B277"/>
    <hyperlink r:id="rId1290" ref="M277"/>
    <hyperlink r:id="rId1291" ref="N277"/>
    <hyperlink r:id="rId1292" location="x=110049.00&amp;y=476746.38&amp;z=12.704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77"/>
    <hyperlink r:id="rId1293" ref="P277"/>
    <hyperlink r:id="rId1294" ref="Q277"/>
    <hyperlink r:id="rId1295" ref="R277"/>
    <hyperlink r:id="rId1296" ref="B278"/>
    <hyperlink r:id="rId1297" ref="M278"/>
    <hyperlink r:id="rId1298" ref="N278"/>
    <hyperlink r:id="rId1299" ref="O278"/>
    <hyperlink r:id="rId1300" ref="P278"/>
    <hyperlink r:id="rId1301" ref="Q278"/>
    <hyperlink r:id="rId1302" ref="R278"/>
    <hyperlink r:id="rId1303" ref="B279"/>
    <hyperlink r:id="rId1304" ref="M279"/>
    <hyperlink r:id="rId1305" ref="N279"/>
    <hyperlink r:id="rId1306" ref="O279"/>
    <hyperlink r:id="rId1307" ref="P279"/>
    <hyperlink r:id="rId1308" ref="Q279"/>
    <hyperlink r:id="rId1309" ref="R279"/>
    <hyperlink r:id="rId1310" ref="B280"/>
    <hyperlink r:id="rId1311" ref="M280"/>
    <hyperlink r:id="rId1312" ref="N280"/>
    <hyperlink r:id="rId1313" ref="O280"/>
    <hyperlink r:id="rId1314" ref="P280"/>
    <hyperlink r:id="rId1315" ref="Q280"/>
    <hyperlink r:id="rId1316" ref="R280"/>
    <hyperlink r:id="rId1317" ref="B281"/>
    <hyperlink r:id="rId1318" ref="M281"/>
    <hyperlink r:id="rId1319" ref="N281"/>
    <hyperlink r:id="rId1320" ref="O281"/>
    <hyperlink r:id="rId1321" ref="P281"/>
    <hyperlink r:id="rId1322" ref="Q281"/>
    <hyperlink r:id="rId1323" ref="R281"/>
    <hyperlink r:id="rId1324" ref="B282"/>
    <hyperlink r:id="rId1325" ref="M282"/>
    <hyperlink r:id="rId1326" ref="N282"/>
    <hyperlink r:id="rId1327" ref="O282"/>
    <hyperlink r:id="rId1328" ref="P282"/>
    <hyperlink r:id="rId1329" ref="Q282"/>
    <hyperlink r:id="rId1330" ref="R282"/>
    <hyperlink r:id="rId1331" ref="B283"/>
    <hyperlink r:id="rId1332" ref="M283"/>
    <hyperlink r:id="rId1333" ref="N283"/>
    <hyperlink r:id="rId1334" ref="O283"/>
    <hyperlink r:id="rId1335" ref="P283"/>
    <hyperlink r:id="rId1336" ref="Q283"/>
    <hyperlink r:id="rId1337" ref="R283"/>
    <hyperlink r:id="rId1338" ref="B284"/>
    <hyperlink r:id="rId1339" ref="M284"/>
    <hyperlink r:id="rId1340" ref="N284"/>
    <hyperlink r:id="rId1341" ref="O284"/>
    <hyperlink r:id="rId1342" ref="P284"/>
    <hyperlink r:id="rId1343" ref="Q284"/>
    <hyperlink r:id="rId1344" ref="R284"/>
    <hyperlink r:id="rId1345" ref="M285"/>
    <hyperlink r:id="rId1346" ref="N285"/>
    <hyperlink r:id="rId1347" location="x=245940.70&amp;y=574786.8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85"/>
    <hyperlink r:id="rId1348" location="/map" ref="P285"/>
    <hyperlink r:id="rId1349" ref="M286"/>
    <hyperlink r:id="rId1350" ref="N286"/>
    <hyperlink r:id="rId1351" location="x=109854.61&amp;y=471837.91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86"/>
    <hyperlink r:id="rId1352" ref="P286"/>
    <hyperlink r:id="rId1353" ref="M287"/>
    <hyperlink r:id="rId1354" ref="N287"/>
    <hyperlink r:id="rId1355" location="x=249737.99&amp;y=477676.0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87"/>
    <hyperlink r:id="rId1356" ref="P287"/>
    <hyperlink r:id="rId1357" ref="B288"/>
    <hyperlink r:id="rId1358" ref="M288"/>
    <hyperlink r:id="rId1359" ref="N288"/>
    <hyperlink r:id="rId1360" location="x=249061.62&amp;y=575991.27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88"/>
    <hyperlink r:id="rId1361" location="/map" ref="P288"/>
    <hyperlink r:id="rId1362" ref="B289"/>
    <hyperlink r:id="rId1363" ref="M289"/>
    <hyperlink r:id="rId1364" ref="N289"/>
    <hyperlink r:id="rId1365" location="x=248780.55&amp;y=575808.3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89"/>
    <hyperlink r:id="rId1366" location="/map" ref="P289"/>
    <hyperlink r:id="rId1367" ref="B290"/>
    <hyperlink r:id="rId1368" ref="M290"/>
    <hyperlink r:id="rId1369" ref="N290"/>
    <hyperlink r:id="rId1370" location="x=248734.36&amp;y=576117.20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0"/>
    <hyperlink r:id="rId1371" location="/map" ref="P290"/>
    <hyperlink r:id="rId1372" ref="B291"/>
    <hyperlink r:id="rId1373" ref="M291"/>
    <hyperlink r:id="rId1374" ref="N291"/>
    <hyperlink r:id="rId1375" location="x=248582.50&amp;y=575886.27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1"/>
    <hyperlink r:id="rId1376" location="/map" ref="P291"/>
    <hyperlink r:id="rId1377" ref="B292"/>
    <hyperlink r:id="rId1378" ref="M292"/>
    <hyperlink r:id="rId1379" ref="N292"/>
    <hyperlink r:id="rId1380" location="x=248547.05&amp;y=576004.9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2"/>
    <hyperlink r:id="rId1381" location="/map" ref="P292"/>
    <hyperlink r:id="rId1382" ref="M293"/>
    <hyperlink r:id="rId1383" ref="N293"/>
    <hyperlink r:id="rId1384" location="x=246368.96&amp;y=575125.78&amp;z=15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3"/>
    <hyperlink r:id="rId1385" location="/map" ref="P293"/>
    <hyperlink r:id="rId1386" ref="M294"/>
    <hyperlink r:id="rId1387" ref="N294"/>
    <hyperlink r:id="rId1388" location="x=245545.98&amp;y=560586.5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4"/>
    <hyperlink r:id="rId1389" location="/map" ref="P294"/>
    <hyperlink r:id="rId1390" ref="M295"/>
    <hyperlink r:id="rId1391" ref="N295"/>
    <hyperlink r:id="rId1392" location="x=135214.43&amp;y=590072.86&amp;z=13.222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5"/>
    <hyperlink r:id="rId1393" ref="P295"/>
    <hyperlink r:id="rId1394" ref="M296"/>
    <hyperlink r:id="rId1395" ref="N296"/>
    <hyperlink r:id="rId1396" location="x=135086.11&amp;y=590215.36&amp;z=14.169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6"/>
    <hyperlink r:id="rId1397" ref="P296"/>
    <hyperlink r:id="rId1398" ref="M297"/>
    <hyperlink r:id="rId1399" ref="N297"/>
    <hyperlink r:id="rId1400" location="x=134700.09&amp;y=590139.06&amp;z=13.139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7"/>
    <hyperlink r:id="rId1401" ref="P297"/>
    <hyperlink r:id="rId1402" ref="M298"/>
    <hyperlink r:id="rId1403" ref="N298"/>
    <hyperlink r:id="rId1404" location="x=124417.10&amp;y=462822.47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8"/>
    <hyperlink r:id="rId1405" ref="P298"/>
    <hyperlink r:id="rId1406" location="data_s=id%3AdataSource_4-18b434f3d88-layer-28-17cea6e09d0-layer-48-c75e273a-9710-4d8a-bdc6-ba39b723497a%3A49293" ref="Q298"/>
    <hyperlink r:id="rId1407" ref="R298"/>
    <hyperlink r:id="rId1408" ref="M299"/>
    <hyperlink r:id="rId1409" ref="N299"/>
    <hyperlink r:id="rId1410" location="x=140380.80&amp;y=471440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299"/>
    <hyperlink r:id="rId1411" ref="P299"/>
    <hyperlink r:id="rId1412" ref="M300"/>
    <hyperlink r:id="rId1413" ref="N300"/>
    <hyperlink r:id="rId1414" location="x=100572.00&amp;y=466313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0"/>
    <hyperlink r:id="rId1415" ref="P300"/>
    <hyperlink r:id="rId1416" ref="Q300"/>
    <hyperlink r:id="rId1417" ref="R300"/>
    <hyperlink r:id="rId1418" ref="M301"/>
    <hyperlink r:id="rId1419" ref="N301"/>
    <hyperlink r:id="rId1420" location="x=211121.13&amp;y=463546.0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1"/>
    <hyperlink r:id="rId1421" ref="P301"/>
    <hyperlink r:id="rId1422" ref="M302"/>
    <hyperlink r:id="rId1423" ref="N302"/>
    <hyperlink r:id="rId1424" location="x=105619.86&amp;y=497916.16&amp;z=13.589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2"/>
    <hyperlink r:id="rId1425" ref="P302"/>
    <hyperlink r:id="rId1426" ref="M303"/>
    <hyperlink r:id="rId1427" ref="N303"/>
    <hyperlink r:id="rId1428" location="x=74960.49&amp;y=446707.0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3"/>
    <hyperlink r:id="rId1429" ref="P303"/>
    <hyperlink r:id="rId1430" ref="M304"/>
    <hyperlink r:id="rId1431" ref="N304"/>
    <hyperlink r:id="rId1432" location="x=197133.63&amp;y=527737.24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4"/>
    <hyperlink r:id="rId1433" ref="P304"/>
    <hyperlink r:id="rId1434" ref="M305"/>
    <hyperlink r:id="rId1435" ref="N305"/>
    <hyperlink r:id="rId1436" location="x=119592.55&amp;y=507091.2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5"/>
    <hyperlink r:id="rId1437" ref="P305"/>
    <hyperlink r:id="rId1438" ref="Q305"/>
    <hyperlink r:id="rId1439" ref="M306"/>
    <hyperlink r:id="rId1440" ref="N306"/>
    <hyperlink r:id="rId1441" location="x=190198.00&amp;y=536211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6"/>
    <hyperlink r:id="rId1442" ref="P306"/>
    <hyperlink r:id="rId1443" ref="Q306"/>
    <hyperlink r:id="rId1444" ref="M307"/>
    <hyperlink r:id="rId1445" ref="N307"/>
    <hyperlink r:id="rId1446" location="x=197979.31&amp;y=535274.3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7"/>
    <hyperlink r:id="rId1447" ref="P307"/>
    <hyperlink r:id="rId1448" ref="M308"/>
    <hyperlink r:id="rId1449" ref="N308"/>
    <hyperlink r:id="rId1450" location="x=96733.35&amp;y=478109.1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8"/>
    <hyperlink r:id="rId1451" ref="P308"/>
    <hyperlink r:id="rId1452" ref="Q308"/>
    <hyperlink r:id="rId1453" ref="R308"/>
    <hyperlink r:id="rId1454" ref="M309"/>
    <hyperlink r:id="rId1455" ref="N309"/>
    <hyperlink r:id="rId1456" location="x=91498.53&amp;y=467894.1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09"/>
    <hyperlink r:id="rId1457" ref="P309"/>
    <hyperlink r:id="rId1458" ref="Q309"/>
    <hyperlink r:id="rId1459" ref="R309"/>
    <hyperlink r:id="rId1460" ref="M310"/>
    <hyperlink r:id="rId1461" ref="N310"/>
    <hyperlink r:id="rId1462" location="x=101017.67&amp;y=406887.6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0"/>
    <hyperlink r:id="rId1463" ref="P310"/>
    <hyperlink r:id="rId1464" ref="M311"/>
    <hyperlink r:id="rId1465" ref="N311"/>
    <hyperlink r:id="rId1466" location="x=127628.00&amp;y=480424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1"/>
    <hyperlink r:id="rId1467" ref="P311"/>
    <hyperlink r:id="rId1468" ref="M312"/>
    <hyperlink r:id="rId1469" ref="N312"/>
    <hyperlink r:id="rId1470" location="x=244143.00&amp;y=499329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2"/>
    <hyperlink r:id="rId1471" ref="P312"/>
    <hyperlink r:id="rId1472" ref="M313"/>
    <hyperlink r:id="rId1473" ref="N313"/>
    <hyperlink r:id="rId1474" location="x=209457.00&amp;y=462238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3"/>
    <hyperlink r:id="rId1475" ref="P313"/>
    <hyperlink r:id="rId1476" ref="M314"/>
    <hyperlink r:id="rId1477" ref="N314"/>
    <hyperlink r:id="rId1478" location="x=115744.40&amp;y=476597.9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4"/>
    <hyperlink r:id="rId1479" ref="P314"/>
    <hyperlink r:id="rId1480" ref="M315"/>
    <hyperlink r:id="rId1481" ref="N315"/>
    <hyperlink r:id="rId1482" location="x=220207.72&amp;y=516962.5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5"/>
    <hyperlink r:id="rId1483" ref="P315"/>
    <hyperlink r:id="rId1484" ref="M316"/>
    <hyperlink r:id="rId1485" ref="N316"/>
    <hyperlink r:id="rId1486" location="x=219800.04&amp;y=517310.78&amp;z=12.3826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6"/>
    <hyperlink r:id="rId1487" ref="P316"/>
    <hyperlink r:id="rId1488" ref="M317"/>
    <hyperlink r:id="rId1489" ref="N317"/>
    <hyperlink r:id="rId1490" location="x=94765.56&amp;y=478337.3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7"/>
    <hyperlink r:id="rId1491" ref="P317"/>
    <hyperlink r:id="rId1492" ref="Q317"/>
    <hyperlink r:id="rId1493" ref="R317"/>
    <hyperlink r:id="rId1494" ref="M318"/>
    <hyperlink r:id="rId1495" ref="N318"/>
    <hyperlink r:id="rId1496" location="x=186244.54&amp;y=544692.9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8"/>
    <hyperlink r:id="rId1497" ref="P318"/>
    <hyperlink r:id="rId1498" ref="M319"/>
    <hyperlink r:id="rId1499" ref="N319"/>
    <hyperlink r:id="rId1500" location="x=133057.80&amp;y=518900.89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19"/>
    <hyperlink r:id="rId1501" ref="P319"/>
    <hyperlink r:id="rId1502" ref="M320"/>
    <hyperlink r:id="rId1503" ref="N320"/>
    <hyperlink r:id="rId1504" location="x=114878.21&amp;y=559066.40&amp;z=10.823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0"/>
    <hyperlink r:id="rId1505" ref="P320"/>
    <hyperlink r:id="rId1506" ref="Q320"/>
    <hyperlink r:id="rId1507" ref="M321"/>
    <hyperlink r:id="rId1508" ref="N321"/>
    <hyperlink r:id="rId1509" location="x=191699.00&amp;y=53815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1"/>
    <hyperlink r:id="rId1510" ref="P321"/>
    <hyperlink r:id="rId1511" ref="M322"/>
    <hyperlink r:id="rId1512" ref="N322"/>
    <hyperlink r:id="rId1513" location="x=105914.21&amp;y=490204.41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2"/>
    <hyperlink r:id="rId1514" ref="P322"/>
    <hyperlink r:id="rId1515" ref="Q322"/>
    <hyperlink r:id="rId1516" ref="R322"/>
    <hyperlink r:id="rId1517" ref="M323"/>
    <hyperlink r:id="rId1518" ref="N323"/>
    <hyperlink r:id="rId1519" location="x=82277.20&amp;y=450285.39&amp;z=13.446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3"/>
    <hyperlink r:id="rId1520" ref="P323"/>
    <hyperlink r:id="rId1521" ref="M324"/>
    <hyperlink r:id="rId1522" ref="N324"/>
    <hyperlink r:id="rId1523" location="x=167039.67&amp;y=556004.6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4"/>
    <hyperlink r:id="rId1524" ref="P324"/>
    <hyperlink r:id="rId1525" ref="M325"/>
    <hyperlink r:id="rId1526" ref="N325"/>
    <hyperlink r:id="rId1527" location="x=158475.50&amp;y=466981.90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5"/>
    <hyperlink r:id="rId1528" ref="P325"/>
    <hyperlink r:id="rId1529" ref="M326"/>
    <hyperlink r:id="rId1530" ref="N326"/>
    <hyperlink r:id="rId1531" location="x=158096.92&amp;y=466013.8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6"/>
    <hyperlink r:id="rId1532" ref="P326"/>
    <hyperlink r:id="rId1533" ref="B327"/>
    <hyperlink r:id="rId1534" ref="M327"/>
    <hyperlink r:id="rId1535" ref="N327"/>
    <hyperlink r:id="rId1536" location="x=104544.90&amp;y=490071.48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7"/>
    <hyperlink r:id="rId1537" ref="P327"/>
    <hyperlink r:id="rId1538" ref="Q327"/>
    <hyperlink r:id="rId1539" ref="R327"/>
    <hyperlink r:id="rId1540" ref="B328"/>
    <hyperlink r:id="rId1541" ref="M328"/>
    <hyperlink r:id="rId1542" ref="N328"/>
    <hyperlink r:id="rId1543" location="x=104544.90&amp;y=490071.48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8"/>
    <hyperlink r:id="rId1544" ref="P328"/>
    <hyperlink r:id="rId1545" ref="Q328"/>
    <hyperlink r:id="rId1546" ref="R328"/>
    <hyperlink r:id="rId1547" ref="M329"/>
    <hyperlink r:id="rId1548" ref="N329"/>
    <hyperlink r:id="rId1549" location="x=235090.00&amp;y=490552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29"/>
    <hyperlink r:id="rId1550" ref="P329"/>
    <hyperlink r:id="rId1551" ref="M330"/>
    <hyperlink r:id="rId1552" ref="N330"/>
    <hyperlink r:id="rId1553" location="x=102285.87&amp;y=477004.94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0"/>
    <hyperlink r:id="rId1554" ref="P330"/>
    <hyperlink r:id="rId1555" ref="M331"/>
    <hyperlink r:id="rId1556" ref="N331"/>
    <hyperlink r:id="rId1557" location="x=270544.69&amp;y=560889.72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1"/>
    <hyperlink r:id="rId1558" location="/map" ref="P331"/>
    <hyperlink r:id="rId1559" ref="M332"/>
    <hyperlink r:id="rId1560" ref="N332"/>
    <hyperlink r:id="rId1561" location="x=215787.65&amp;y=481025.97&amp;z=12.6911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2"/>
    <hyperlink r:id="rId1562" ref="P332"/>
    <hyperlink r:id="rId1563" ref="M333"/>
    <hyperlink r:id="rId1564" ref="N333"/>
    <hyperlink r:id="rId1565" location="x=115237.63&amp;y=476449.73&amp;z=14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3"/>
    <hyperlink r:id="rId1566" ref="P333"/>
    <hyperlink r:id="rId1567" ref="M334"/>
    <hyperlink r:id="rId1568" ref="N334"/>
    <hyperlink r:id="rId1569" location="x=138690.08&amp;y=477459.25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4"/>
    <hyperlink r:id="rId1570" ref="P334"/>
    <hyperlink r:id="rId1571" ref="M335"/>
    <hyperlink r:id="rId1572" ref="N335"/>
    <hyperlink r:id="rId1573" location="x=138886.05&amp;y=478203.24&amp;z=14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5"/>
    <hyperlink r:id="rId1574" ref="P335"/>
    <hyperlink r:id="rId1575" ref="M336"/>
    <hyperlink r:id="rId1576" ref="N336"/>
    <hyperlink r:id="rId1577" location="x=105588.17&amp;y=484445.32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6"/>
    <hyperlink r:id="rId1578" ref="P336"/>
    <hyperlink r:id="rId1579" ref="Q336"/>
    <hyperlink r:id="rId1580" ref="R336"/>
    <hyperlink r:id="rId1581" ref="B337"/>
    <hyperlink r:id="rId1582" ref="M337"/>
    <hyperlink r:id="rId1583" ref="N337"/>
    <hyperlink r:id="rId1584" location="x=130684.57&amp;y=517154.04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7"/>
    <hyperlink r:id="rId1585" ref="P337"/>
    <hyperlink r:id="rId1586" ref="Q337"/>
    <hyperlink r:id="rId1587" ref="R337"/>
    <hyperlink r:id="rId1588" ref="M338"/>
    <hyperlink r:id="rId1589" ref="N338"/>
    <hyperlink r:id="rId1590" location="x=240714.44&amp;y=484560.5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8"/>
    <hyperlink r:id="rId1591" ref="P338"/>
    <hyperlink r:id="rId1592" ref="M339"/>
    <hyperlink r:id="rId1593" ref="N339"/>
    <hyperlink r:id="rId1594" location="x=234814.67&amp;y=508927.14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39"/>
    <hyperlink r:id="rId1595" ref="P339"/>
    <hyperlink r:id="rId1596" ref="M340"/>
    <hyperlink r:id="rId1597" ref="N340"/>
    <hyperlink r:id="rId1598" location="x=36649.45&amp;y=370249.67&amp;z=13.58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0"/>
    <hyperlink r:id="rId1599" location="data_s=id%3Awidget_18_output_config_0%3A0" ref="P340"/>
    <hyperlink r:id="rId1600" ref="Q340"/>
    <hyperlink r:id="rId1601" ref="R340"/>
    <hyperlink r:id="rId1602" ref="M341"/>
    <hyperlink r:id="rId1603" ref="N341"/>
    <hyperlink r:id="rId1604" location="x=216366.05&amp;y=542354.60&amp;z=11.4242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1"/>
    <hyperlink r:id="rId1605" ref="P341"/>
    <hyperlink r:id="rId1606" ref="Q341"/>
    <hyperlink r:id="rId1607" ref="M342"/>
    <hyperlink r:id="rId1608" ref="N342"/>
    <hyperlink r:id="rId1609" location="x=102381.00&amp;y=490635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2"/>
    <hyperlink r:id="rId1610" ref="P342"/>
    <hyperlink r:id="rId1611" ref="M343"/>
    <hyperlink r:id="rId1612" ref="N343"/>
    <hyperlink r:id="rId1613" location="x=98747.00&amp;y=452586.00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3"/>
    <hyperlink r:id="rId1614" location="data_s=id%3Awidget_12_output_config_0%3A0" ref="P343"/>
    <hyperlink r:id="rId1615" location="data_s=id%3AdataSource_7-195a35cd307-layer-19-195a35cd9cb-layer-21%3A39140" ref="Q343"/>
    <hyperlink r:id="rId1616" ref="M344"/>
    <hyperlink r:id="rId1617" ref="N344"/>
    <hyperlink r:id="rId1618" location="x=117540.34&amp;y=513598.0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4"/>
    <hyperlink r:id="rId1619" ref="P344"/>
    <hyperlink r:id="rId1620" ref="Q344"/>
    <hyperlink r:id="rId1621" ref="B345"/>
    <hyperlink r:id="rId1622" ref="M345"/>
    <hyperlink r:id="rId1623" ref="N345"/>
    <hyperlink r:id="rId1624" ref="O345"/>
    <hyperlink r:id="rId1625" location="x=125071.94&amp;y=502740.58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P345"/>
    <hyperlink r:id="rId1626" ref="M346"/>
    <hyperlink r:id="rId1627" ref="N346"/>
    <hyperlink r:id="rId1628" location="x=180385.40&amp;y=579915.71&amp;z=13.667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6"/>
    <hyperlink r:id="rId1629" ref="P346"/>
    <hyperlink r:id="rId1630" ref="M347"/>
    <hyperlink r:id="rId1631" ref="N347"/>
    <hyperlink r:id="rId1632" location="x=116059.47&amp;y=532300.1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7"/>
    <hyperlink r:id="rId1633" ref="P347"/>
    <hyperlink r:id="rId1634" ref="M348"/>
    <hyperlink r:id="rId1635" ref="N348"/>
    <hyperlink r:id="rId1636" location="x=234166.26&amp;y=479392.51&amp;z=13.1415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8"/>
    <hyperlink r:id="rId1637" ref="P348"/>
    <hyperlink r:id="rId1638" ref="M349"/>
    <hyperlink r:id="rId1639" ref="N349"/>
    <hyperlink r:id="rId1640" location="x=113730.95&amp;y=490147.22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49"/>
    <hyperlink r:id="rId1641" ref="P349"/>
    <hyperlink r:id="rId1642" ref="M350"/>
    <hyperlink r:id="rId1643" ref="N350"/>
    <hyperlink r:id="rId1644" location="x=125249.71&amp;y=479902.81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0"/>
    <hyperlink r:id="rId1645" ref="P350"/>
    <hyperlink r:id="rId1646" ref="M351"/>
    <hyperlink r:id="rId1647" ref="N351"/>
    <hyperlink r:id="rId1648" location="x=102661.65&amp;y=426830.73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1"/>
    <hyperlink r:id="rId1649" ref="P351"/>
    <hyperlink r:id="rId1650" ref="N352"/>
    <hyperlink r:id="rId1651" location="x=121057.63&amp;y=512686.99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2"/>
    <hyperlink r:id="rId1652" ref="P352"/>
    <hyperlink r:id="rId1653" ref="Q352"/>
    <hyperlink r:id="rId1654" ref="M353"/>
    <hyperlink r:id="rId1655" ref="N353"/>
    <hyperlink r:id="rId1656" location="x=133178.78&amp;y=401797.50&amp;z=12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3"/>
    <hyperlink r:id="rId1657" ref="P353"/>
    <hyperlink r:id="rId1658" ref="M354"/>
    <hyperlink r:id="rId1659" ref="N354"/>
    <hyperlink r:id="rId1660" location="x=135876.34&amp;y=496699.2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4"/>
    <hyperlink r:id="rId1661" ref="P354"/>
    <hyperlink r:id="rId1662" ref="Q354"/>
    <hyperlink r:id="rId1663" ref="R354"/>
    <hyperlink r:id="rId1664" ref="B355"/>
    <hyperlink r:id="rId1665" ref="M355"/>
    <hyperlink r:id="rId1666" ref="N355"/>
    <hyperlink r:id="rId1667" location="x=104544.90&amp;y=490071.48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5"/>
    <hyperlink r:id="rId1668" ref="P355"/>
    <hyperlink r:id="rId1669" ref="Q355"/>
    <hyperlink r:id="rId1670" ref="R355"/>
    <hyperlink r:id="rId1671" ref="B356"/>
    <hyperlink r:id="rId1672" ref="M356"/>
    <hyperlink r:id="rId1673" ref="N356"/>
    <hyperlink r:id="rId1674" location="x=103840.68&amp;y=490879.58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6"/>
    <hyperlink r:id="rId1675" ref="P356"/>
    <hyperlink r:id="rId1676" ref="Q356"/>
    <hyperlink r:id="rId1677" ref="R356"/>
    <hyperlink r:id="rId1678" ref="B357"/>
    <hyperlink r:id="rId1679" ref="M357"/>
    <hyperlink r:id="rId1680" ref="N357"/>
    <hyperlink r:id="rId1681" location="x=103840.68&amp;y=490879.58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7"/>
    <hyperlink r:id="rId1682" ref="P357"/>
    <hyperlink r:id="rId1683" ref="Q357"/>
    <hyperlink r:id="rId1684" ref="R357"/>
    <hyperlink r:id="rId1685" ref="B358"/>
    <hyperlink r:id="rId1686" ref="M358"/>
    <hyperlink r:id="rId1687" ref="N358"/>
    <hyperlink r:id="rId1688" location="x=104835.24&amp;y=490513.81&amp;z=13.6667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8"/>
    <hyperlink r:id="rId1689" ref="P358"/>
    <hyperlink r:id="rId1690" ref="Q358"/>
    <hyperlink r:id="rId1691" ref="R358"/>
    <hyperlink r:id="rId1692" ref="B359"/>
    <hyperlink r:id="rId1693" ref="M359"/>
    <hyperlink r:id="rId1694" ref="N359"/>
    <hyperlink r:id="rId1695" location="x=104847.48&amp;y=491637.17&amp;z=12.4814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59"/>
    <hyperlink r:id="rId1696" ref="P359"/>
    <hyperlink r:id="rId1697" ref="Q359"/>
    <hyperlink r:id="rId1698" ref="R359"/>
    <hyperlink r:id="rId1699" ref="B360"/>
    <hyperlink r:id="rId1700" ref="M360"/>
    <hyperlink r:id="rId1701" ref="N360"/>
    <hyperlink r:id="rId1702" location="x=104816.51&amp;y=492368.1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0"/>
    <hyperlink r:id="rId1703" ref="P360"/>
    <hyperlink r:id="rId1704" ref="Q360"/>
    <hyperlink r:id="rId1705" ref="R360"/>
    <hyperlink r:id="rId1706" ref="B361"/>
    <hyperlink r:id="rId1707" ref="M361"/>
    <hyperlink r:id="rId1708" ref="N361"/>
    <hyperlink r:id="rId1709" location="x=105195.70&amp;y=491410.41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1"/>
    <hyperlink r:id="rId1710" ref="P361"/>
    <hyperlink r:id="rId1711" ref="Q361"/>
    <hyperlink r:id="rId1712" ref="R361"/>
    <hyperlink r:id="rId1713" ref="B362"/>
    <hyperlink r:id="rId1714" ref="M362"/>
    <hyperlink r:id="rId1715" ref="N362"/>
    <hyperlink r:id="rId1716" location="x=105137.20&amp;y=491215.4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2"/>
    <hyperlink r:id="rId1717" ref="P362"/>
    <hyperlink r:id="rId1718" ref="Q362"/>
    <hyperlink r:id="rId1719" ref="R362"/>
    <hyperlink r:id="rId1720" ref="B363"/>
    <hyperlink r:id="rId1721" ref="M363"/>
    <hyperlink r:id="rId1722" ref="N363"/>
    <hyperlink r:id="rId1723" location="x=105157.59&amp;y=490889.86&amp;z=14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3"/>
    <hyperlink r:id="rId1724" ref="P363"/>
    <hyperlink r:id="rId1725" ref="Q363"/>
    <hyperlink r:id="rId1726" ref="R363"/>
    <hyperlink r:id="rId1727" ref="B364"/>
    <hyperlink r:id="rId1728" ref="M364"/>
    <hyperlink r:id="rId1729" ref="N364"/>
    <hyperlink r:id="rId1730" location="x=103597.91&amp;y=489282.5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4"/>
    <hyperlink r:id="rId1731" ref="P364"/>
    <hyperlink r:id="rId1732" ref="Q364"/>
    <hyperlink r:id="rId1733" ref="B365"/>
    <hyperlink r:id="rId1734" ref="M365"/>
    <hyperlink r:id="rId1735" ref="N365"/>
    <hyperlink r:id="rId1736" location="x=103597.91&amp;y=489282.51&amp;z=13.0000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5"/>
    <hyperlink r:id="rId1737" ref="P365"/>
    <hyperlink r:id="rId1738" ref="Q365"/>
    <hyperlink r:id="rId1739" location="viewer=5469a9663c5e4643b10efe6da9a15ae2" ref="R365"/>
    <hyperlink r:id="rId1740" ref="B366"/>
    <hyperlink r:id="rId1741" ref="M366"/>
    <hyperlink r:id="rId1742" ref="N366"/>
    <hyperlink r:id="rId1743" location="x=103993.51&amp;y=489299.8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6"/>
    <hyperlink r:id="rId1744" ref="P366"/>
    <hyperlink r:id="rId1745" ref="Q366"/>
    <hyperlink r:id="rId1746" ref="R366"/>
    <hyperlink r:id="rId1747" ref="B367"/>
    <hyperlink r:id="rId1748" ref="M367"/>
    <hyperlink r:id="rId1749" ref="N367"/>
    <hyperlink r:id="rId1750" location="x=103993.51&amp;y=489299.87&amp;z=13.3333&amp;background=Luchtfoto&amp;layers=3e2fb829-3c81-45b5-a65c-95ecc2d891d4;BeheerBouwwerk;_;1,3e2fb829-3c81-45b5-a65c-95ecc2d891d4;BeheerGebied;_;1,3e2fb829-3c81-45b5-a65c-95ecc2d891d4;BeheerLeiding;_;1,3e2fb829-3c81-45b5-a65c-95ecc2d891d4;BeheerPomp;_;1,3e2fb829-3c81-45b5-a65c-95ecc2d891d4;BeheerPut;_;1,3e2fb829-3c81-45b5-a65c-95ecc2d891d4;BeheerLozing;_;1,3e2fb829-3c81-45b5-a65c-95ecc2d891d4;AansluitingPunt;_;1,3e2fb829-3c81-45b5-a65c-95ecc2d891d4;AansluitingLeiding;_;1" ref="O367"/>
    <hyperlink r:id="rId1751" ref="P367"/>
    <hyperlink r:id="rId1752" ref="Q367"/>
    <hyperlink r:id="rId1753" ref="R367"/>
  </hyperlinks>
  <drawing r:id="rId1754"/>
  <legacyDrawing r:id="rId17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7.25"/>
    <col customWidth="1" min="3" max="3" width="14.75"/>
    <col customWidth="1" min="4" max="4" width="8.63"/>
    <col customWidth="1" min="5" max="5" width="8.88"/>
    <col customWidth="1" min="6" max="6" width="18.63"/>
    <col customWidth="1" min="7" max="7" width="7.63"/>
    <col customWidth="1" min="8" max="8" width="18.25"/>
    <col customWidth="1" min="9" max="9" width="8.63"/>
    <col customWidth="1" min="10" max="10" width="15.88"/>
    <col customWidth="1" min="11" max="11" width="19.5"/>
    <col customWidth="1" min="12" max="12" width="15.88"/>
    <col customWidth="1" min="13" max="13" width="63.0"/>
    <col customWidth="1" min="14" max="14" width="42.25"/>
    <col customWidth="1" min="15" max="15" width="26.63"/>
    <col customWidth="1" min="16" max="16" width="112.25"/>
  </cols>
  <sheetData>
    <row r="1" ht="42.75" customHeight="1">
      <c r="A1" s="8" t="s">
        <v>0</v>
      </c>
      <c r="B1" s="8"/>
      <c r="C1" s="202"/>
      <c r="D1" s="203"/>
      <c r="E1" s="202"/>
      <c r="F1" s="202"/>
      <c r="G1" s="202"/>
      <c r="H1" s="202"/>
      <c r="I1" s="202"/>
      <c r="J1" s="202"/>
      <c r="K1" s="202"/>
      <c r="L1" s="202"/>
      <c r="M1" s="203"/>
      <c r="N1" s="203"/>
      <c r="O1" s="204"/>
      <c r="P1" s="204"/>
      <c r="Q1" s="10"/>
      <c r="R1" s="10"/>
      <c r="S1" s="10"/>
      <c r="T1" s="10"/>
      <c r="U1" s="10"/>
      <c r="V1" s="10"/>
      <c r="W1" s="10"/>
      <c r="X1" s="10"/>
    </row>
    <row r="2" ht="25.5" customHeight="1">
      <c r="A2" s="205" t="s">
        <v>1904</v>
      </c>
      <c r="B2" s="205" t="s">
        <v>1905</v>
      </c>
      <c r="C2" s="206" t="s">
        <v>2</v>
      </c>
      <c r="D2" s="206" t="s">
        <v>3</v>
      </c>
      <c r="E2" s="207" t="s">
        <v>1906</v>
      </c>
      <c r="F2" s="207" t="s">
        <v>4</v>
      </c>
      <c r="G2" s="208" t="s">
        <v>1907</v>
      </c>
      <c r="H2" s="208" t="s">
        <v>4</v>
      </c>
      <c r="I2" s="209" t="s">
        <v>1908</v>
      </c>
      <c r="J2" s="209" t="s">
        <v>4</v>
      </c>
      <c r="K2" s="210" t="s">
        <v>1909</v>
      </c>
      <c r="L2" s="211" t="s">
        <v>4</v>
      </c>
      <c r="M2" s="212" t="s">
        <v>1910</v>
      </c>
      <c r="N2" s="213" t="s">
        <v>1911</v>
      </c>
      <c r="O2" s="214" t="s">
        <v>1912</v>
      </c>
      <c r="P2" s="215" t="s">
        <v>1913</v>
      </c>
      <c r="Q2" s="10"/>
      <c r="R2" s="10"/>
      <c r="S2" s="10"/>
      <c r="T2" s="10"/>
      <c r="U2" s="10"/>
      <c r="V2" s="10"/>
      <c r="W2" s="10"/>
      <c r="X2" s="10"/>
    </row>
    <row r="3">
      <c r="A3" s="216">
        <v>46093.0</v>
      </c>
      <c r="B3" s="217">
        <v>11.0</v>
      </c>
      <c r="C3" s="217" t="s">
        <v>1914</v>
      </c>
      <c r="D3" s="218" t="s">
        <v>175</v>
      </c>
      <c r="E3" s="219">
        <v>3.0</v>
      </c>
      <c r="F3" s="26" t="s">
        <v>85</v>
      </c>
      <c r="G3" s="219"/>
      <c r="H3" s="26"/>
      <c r="I3" s="219"/>
      <c r="J3" s="26"/>
      <c r="K3" s="219"/>
      <c r="L3" s="26"/>
      <c r="M3" s="220"/>
      <c r="N3" s="220"/>
      <c r="O3" s="32"/>
      <c r="P3" s="32"/>
      <c r="Q3" s="10"/>
      <c r="R3" s="10"/>
      <c r="S3" s="10"/>
      <c r="T3" s="10"/>
      <c r="U3" s="10"/>
      <c r="V3" s="10"/>
      <c r="W3" s="10"/>
      <c r="X3" s="10"/>
    </row>
    <row r="4">
      <c r="A4" s="216">
        <v>46092.0</v>
      </c>
      <c r="B4" s="221">
        <v>11.0</v>
      </c>
      <c r="C4" s="221" t="s">
        <v>1915</v>
      </c>
      <c r="D4" s="222" t="s">
        <v>44</v>
      </c>
      <c r="E4" s="223">
        <v>4.0</v>
      </c>
      <c r="F4" s="26" t="s">
        <v>85</v>
      </c>
      <c r="G4" s="223"/>
      <c r="H4" s="26"/>
      <c r="I4" s="223"/>
      <c r="J4" s="26"/>
      <c r="K4" s="223"/>
      <c r="L4" s="26"/>
      <c r="M4" s="220"/>
      <c r="N4" s="220"/>
      <c r="O4" s="32"/>
      <c r="P4" s="32"/>
      <c r="Q4" s="10"/>
      <c r="R4" s="10"/>
      <c r="S4" s="10"/>
      <c r="T4" s="10"/>
      <c r="U4" s="10"/>
      <c r="V4" s="10"/>
      <c r="W4" s="10"/>
      <c r="X4" s="10"/>
    </row>
    <row r="5">
      <c r="A5" s="216">
        <v>46087.0</v>
      </c>
      <c r="B5" s="221">
        <v>10.0</v>
      </c>
      <c r="C5" s="221" t="s">
        <v>1916</v>
      </c>
      <c r="D5" s="222" t="s">
        <v>84</v>
      </c>
      <c r="E5" s="223"/>
      <c r="F5" s="26"/>
      <c r="G5" s="223">
        <v>4.0</v>
      </c>
      <c r="H5" s="26" t="s">
        <v>211</v>
      </c>
      <c r="I5" s="223"/>
      <c r="J5" s="26"/>
      <c r="K5" s="223"/>
      <c r="L5" s="26"/>
      <c r="M5" s="224" t="s">
        <v>1917</v>
      </c>
      <c r="N5" s="220"/>
      <c r="O5" s="32"/>
      <c r="P5" s="32"/>
      <c r="Q5" s="10"/>
      <c r="R5" s="10"/>
      <c r="S5" s="10"/>
      <c r="T5" s="10"/>
      <c r="U5" s="10"/>
      <c r="V5" s="10"/>
      <c r="W5" s="10"/>
      <c r="X5" s="10"/>
    </row>
    <row r="6">
      <c r="A6" s="216">
        <v>46087.0</v>
      </c>
      <c r="B6" s="221">
        <v>10.0</v>
      </c>
      <c r="C6" s="221" t="s">
        <v>1918</v>
      </c>
      <c r="D6" s="222" t="s">
        <v>175</v>
      </c>
      <c r="E6" s="223">
        <v>1.0</v>
      </c>
      <c r="F6" s="26" t="s">
        <v>190</v>
      </c>
      <c r="G6" s="223"/>
      <c r="H6" s="26"/>
      <c r="I6" s="223"/>
      <c r="J6" s="26"/>
      <c r="K6" s="223"/>
      <c r="L6" s="26"/>
      <c r="M6" s="220"/>
      <c r="N6" s="220"/>
      <c r="O6" s="32"/>
      <c r="P6" s="32"/>
      <c r="Q6" s="10"/>
      <c r="R6" s="10"/>
      <c r="S6" s="10"/>
      <c r="T6" s="10"/>
      <c r="U6" s="10"/>
      <c r="V6" s="10"/>
      <c r="W6" s="10"/>
      <c r="X6" s="10"/>
    </row>
    <row r="7">
      <c r="A7" s="216">
        <v>46086.0</v>
      </c>
      <c r="B7" s="221">
        <v>10.0</v>
      </c>
      <c r="C7" s="221" t="s">
        <v>1919</v>
      </c>
      <c r="D7" s="222" t="s">
        <v>44</v>
      </c>
      <c r="E7" s="223" t="s">
        <v>1920</v>
      </c>
      <c r="F7" s="26" t="s">
        <v>91</v>
      </c>
      <c r="G7" s="223"/>
      <c r="H7" s="26"/>
      <c r="I7" s="223"/>
      <c r="J7" s="26"/>
      <c r="K7" s="223"/>
      <c r="L7" s="26"/>
      <c r="M7" s="225" t="s">
        <v>1921</v>
      </c>
      <c r="N7" s="220"/>
      <c r="O7" s="32"/>
      <c r="P7" s="32"/>
      <c r="Q7" s="10"/>
      <c r="R7" s="10"/>
      <c r="S7" s="10"/>
      <c r="T7" s="10"/>
      <c r="U7" s="10"/>
      <c r="V7" s="10"/>
      <c r="W7" s="10"/>
      <c r="X7" s="10"/>
    </row>
    <row r="8">
      <c r="A8" s="216">
        <v>46085.0</v>
      </c>
      <c r="B8" s="221">
        <v>10.0</v>
      </c>
      <c r="C8" s="221" t="s">
        <v>1922</v>
      </c>
      <c r="D8" s="222" t="s">
        <v>54</v>
      </c>
      <c r="E8" s="223">
        <v>8.0</v>
      </c>
      <c r="F8" s="26" t="s">
        <v>91</v>
      </c>
      <c r="G8" s="223">
        <v>2.0</v>
      </c>
      <c r="H8" s="26" t="s">
        <v>91</v>
      </c>
      <c r="I8" s="223"/>
      <c r="J8" s="26"/>
      <c r="K8" s="223"/>
      <c r="L8" s="26"/>
      <c r="M8" s="224" t="s">
        <v>1923</v>
      </c>
      <c r="N8" s="220"/>
      <c r="O8" s="32"/>
      <c r="P8" s="32"/>
      <c r="Q8" s="10"/>
      <c r="R8" s="10"/>
      <c r="S8" s="10"/>
      <c r="T8" s="10"/>
      <c r="U8" s="10"/>
      <c r="V8" s="10"/>
      <c r="W8" s="10"/>
      <c r="X8" s="10"/>
    </row>
    <row r="9">
      <c r="A9" s="216">
        <v>46080.0</v>
      </c>
      <c r="B9" s="221">
        <v>9.0</v>
      </c>
      <c r="C9" s="221" t="s">
        <v>1924</v>
      </c>
      <c r="D9" s="222" t="s">
        <v>84</v>
      </c>
      <c r="E9" s="223"/>
      <c r="F9" s="26"/>
      <c r="G9" s="223">
        <v>6.0</v>
      </c>
      <c r="H9" s="26" t="s">
        <v>211</v>
      </c>
      <c r="I9" s="223"/>
      <c r="J9" s="26"/>
      <c r="K9" s="223"/>
      <c r="L9" s="26"/>
      <c r="M9" s="220"/>
      <c r="N9" s="220"/>
      <c r="O9" s="32"/>
      <c r="P9" s="32"/>
      <c r="Q9" s="10"/>
      <c r="R9" s="10"/>
      <c r="S9" s="10"/>
      <c r="T9" s="10"/>
      <c r="U9" s="10"/>
      <c r="V9" s="10"/>
      <c r="W9" s="10"/>
      <c r="X9" s="10"/>
    </row>
    <row r="10">
      <c r="A10" s="216">
        <v>46079.0</v>
      </c>
      <c r="B10" s="221">
        <v>9.0</v>
      </c>
      <c r="C10" s="221" t="s">
        <v>1925</v>
      </c>
      <c r="D10" s="222" t="s">
        <v>175</v>
      </c>
      <c r="E10" s="223">
        <v>4.0</v>
      </c>
      <c r="F10" s="26" t="s">
        <v>190</v>
      </c>
      <c r="G10" s="223"/>
      <c r="H10" s="26"/>
      <c r="I10" s="223"/>
      <c r="J10" s="26"/>
      <c r="K10" s="223"/>
      <c r="L10" s="26"/>
      <c r="M10" s="225" t="s">
        <v>1926</v>
      </c>
      <c r="N10" s="220"/>
      <c r="O10" s="32"/>
      <c r="P10" s="32"/>
      <c r="Q10" s="10"/>
      <c r="R10" s="10"/>
      <c r="S10" s="10"/>
      <c r="T10" s="10"/>
      <c r="U10" s="10"/>
      <c r="V10" s="10"/>
      <c r="W10" s="10"/>
      <c r="X10" s="10"/>
    </row>
    <row r="11">
      <c r="A11" s="216">
        <v>46077.0</v>
      </c>
      <c r="B11" s="221">
        <v>9.0</v>
      </c>
      <c r="C11" s="221" t="s">
        <v>1927</v>
      </c>
      <c r="D11" s="222" t="s">
        <v>44</v>
      </c>
      <c r="E11" s="223">
        <v>4.0</v>
      </c>
      <c r="F11" s="26" t="s">
        <v>211</v>
      </c>
      <c r="G11" s="223"/>
      <c r="H11" s="26"/>
      <c r="I11" s="223"/>
      <c r="J11" s="26"/>
      <c r="K11" s="223"/>
      <c r="L11" s="26"/>
      <c r="M11" s="220"/>
      <c r="N11" s="220"/>
      <c r="O11" s="32"/>
      <c r="P11" s="32"/>
      <c r="Q11" s="10"/>
      <c r="R11" s="10"/>
      <c r="S11" s="10"/>
      <c r="T11" s="10"/>
      <c r="U11" s="10"/>
      <c r="V11" s="10"/>
      <c r="W11" s="10"/>
      <c r="X11" s="10"/>
    </row>
    <row r="12">
      <c r="A12" s="216">
        <v>46072.0</v>
      </c>
      <c r="B12" s="221">
        <v>8.0</v>
      </c>
      <c r="C12" s="221" t="s">
        <v>1928</v>
      </c>
      <c r="D12" s="222" t="s">
        <v>175</v>
      </c>
      <c r="E12" s="223">
        <v>2.0</v>
      </c>
      <c r="F12" s="26" t="s">
        <v>190</v>
      </c>
      <c r="G12" s="223"/>
      <c r="H12" s="26"/>
      <c r="I12" s="223"/>
      <c r="J12" s="26"/>
      <c r="K12" s="223"/>
      <c r="L12" s="26"/>
      <c r="M12" s="224" t="s">
        <v>1929</v>
      </c>
      <c r="N12" s="226"/>
      <c r="O12" s="32"/>
      <c r="P12" s="32"/>
      <c r="Q12" s="10"/>
      <c r="R12" s="10"/>
      <c r="S12" s="10"/>
      <c r="T12" s="10"/>
      <c r="U12" s="10"/>
      <c r="V12" s="10"/>
      <c r="W12" s="10"/>
      <c r="X12" s="10"/>
    </row>
    <row r="13">
      <c r="A13" s="216">
        <v>46072.0</v>
      </c>
      <c r="B13" s="221">
        <v>8.0</v>
      </c>
      <c r="C13" s="221" t="s">
        <v>1930</v>
      </c>
      <c r="D13" s="222" t="s">
        <v>84</v>
      </c>
      <c r="E13" s="223"/>
      <c r="F13" s="26"/>
      <c r="G13" s="223">
        <v>3.0</v>
      </c>
      <c r="H13" s="26" t="s">
        <v>211</v>
      </c>
      <c r="I13" s="223"/>
      <c r="J13" s="26"/>
      <c r="K13" s="223"/>
      <c r="L13" s="26"/>
      <c r="M13" s="225" t="s">
        <v>1931</v>
      </c>
      <c r="N13" s="226"/>
      <c r="O13" s="32"/>
      <c r="P13" s="32"/>
      <c r="Q13" s="10"/>
      <c r="R13" s="10"/>
      <c r="S13" s="10"/>
      <c r="T13" s="10"/>
      <c r="U13" s="10"/>
      <c r="V13" s="10"/>
      <c r="W13" s="10"/>
      <c r="X13" s="10"/>
    </row>
    <row r="14">
      <c r="A14" s="216">
        <v>46071.0</v>
      </c>
      <c r="B14" s="221">
        <v>8.0</v>
      </c>
      <c r="C14" s="221" t="s">
        <v>1927</v>
      </c>
      <c r="D14" s="222" t="s">
        <v>44</v>
      </c>
      <c r="E14" s="223">
        <v>4.0</v>
      </c>
      <c r="F14" s="26" t="s">
        <v>190</v>
      </c>
      <c r="G14" s="223"/>
      <c r="H14" s="26"/>
      <c r="I14" s="223"/>
      <c r="J14" s="26"/>
      <c r="K14" s="223"/>
      <c r="L14" s="26"/>
      <c r="M14" s="227"/>
      <c r="N14" s="226"/>
      <c r="O14" s="32"/>
      <c r="P14" s="32"/>
      <c r="Q14" s="10"/>
      <c r="R14" s="10"/>
      <c r="S14" s="10"/>
      <c r="T14" s="10"/>
      <c r="U14" s="10"/>
      <c r="V14" s="10"/>
      <c r="W14" s="10"/>
      <c r="X14" s="10"/>
    </row>
    <row r="15">
      <c r="A15" s="216">
        <v>46066.0</v>
      </c>
      <c r="B15" s="221">
        <v>7.0</v>
      </c>
      <c r="C15" s="221" t="s">
        <v>1932</v>
      </c>
      <c r="D15" s="222" t="s">
        <v>84</v>
      </c>
      <c r="E15" s="223"/>
      <c r="F15" s="26"/>
      <c r="G15" s="223">
        <v>4.0</v>
      </c>
      <c r="H15" s="26" t="s">
        <v>211</v>
      </c>
      <c r="I15" s="223"/>
      <c r="J15" s="26"/>
      <c r="K15" s="223"/>
      <c r="L15" s="26"/>
      <c r="M15" s="220"/>
      <c r="N15" s="226"/>
      <c r="O15" s="32"/>
      <c r="P15" s="32"/>
      <c r="Q15" s="10"/>
      <c r="R15" s="10"/>
      <c r="S15" s="10"/>
      <c r="T15" s="10"/>
      <c r="U15" s="10"/>
      <c r="V15" s="10"/>
      <c r="W15" s="10"/>
      <c r="X15" s="10"/>
    </row>
    <row r="16">
      <c r="A16" s="216">
        <v>46065.0</v>
      </c>
      <c r="B16" s="221">
        <v>7.0</v>
      </c>
      <c r="C16" s="221" t="s">
        <v>1933</v>
      </c>
      <c r="D16" s="222" t="s">
        <v>175</v>
      </c>
      <c r="E16" s="223">
        <v>1.0</v>
      </c>
      <c r="F16" s="26" t="s">
        <v>190</v>
      </c>
      <c r="G16" s="223"/>
      <c r="H16" s="26"/>
      <c r="I16" s="223"/>
      <c r="J16" s="26"/>
      <c r="K16" s="223"/>
      <c r="L16" s="26"/>
      <c r="M16" s="224" t="s">
        <v>1934</v>
      </c>
      <c r="N16" s="220"/>
      <c r="O16" s="32"/>
      <c r="P16" s="32"/>
      <c r="Q16" s="10"/>
      <c r="R16" s="10"/>
      <c r="S16" s="10"/>
      <c r="T16" s="10"/>
      <c r="U16" s="10"/>
      <c r="V16" s="10"/>
      <c r="W16" s="10"/>
      <c r="X16" s="10"/>
    </row>
    <row r="17">
      <c r="A17" s="216">
        <v>46064.0</v>
      </c>
      <c r="B17" s="221">
        <v>6.0</v>
      </c>
      <c r="C17" s="221" t="s">
        <v>1935</v>
      </c>
      <c r="D17" s="222" t="s">
        <v>84</v>
      </c>
      <c r="E17" s="223"/>
      <c r="F17" s="26"/>
      <c r="G17" s="223">
        <v>20.0</v>
      </c>
      <c r="H17" s="26" t="s">
        <v>190</v>
      </c>
      <c r="I17" s="223"/>
      <c r="J17" s="26"/>
      <c r="K17" s="223"/>
      <c r="L17" s="26"/>
      <c r="M17" s="224" t="s">
        <v>1936</v>
      </c>
      <c r="N17" s="220"/>
      <c r="O17" s="32"/>
      <c r="P17" s="32"/>
      <c r="Q17" s="10"/>
      <c r="R17" s="10"/>
      <c r="S17" s="10"/>
      <c r="T17" s="10"/>
      <c r="U17" s="10"/>
      <c r="V17" s="10"/>
      <c r="W17" s="10"/>
      <c r="X17" s="10"/>
    </row>
    <row r="18">
      <c r="A18" s="216">
        <v>46064.0</v>
      </c>
      <c r="B18" s="221">
        <v>7.0</v>
      </c>
      <c r="C18" s="221" t="s">
        <v>1937</v>
      </c>
      <c r="D18" s="222" t="s">
        <v>44</v>
      </c>
      <c r="E18" s="223">
        <v>7.0</v>
      </c>
      <c r="F18" s="26" t="s">
        <v>190</v>
      </c>
      <c r="G18" s="223"/>
      <c r="H18" s="26"/>
      <c r="I18" s="223"/>
      <c r="J18" s="26"/>
      <c r="K18" s="223"/>
      <c r="L18" s="26"/>
      <c r="M18" s="227"/>
      <c r="N18" s="220"/>
      <c r="O18" s="32"/>
      <c r="P18" s="32"/>
      <c r="Q18" s="10"/>
      <c r="R18" s="10"/>
      <c r="S18" s="10"/>
      <c r="T18" s="10"/>
      <c r="U18" s="10"/>
      <c r="V18" s="10"/>
      <c r="W18" s="10"/>
      <c r="X18" s="10"/>
    </row>
    <row r="19">
      <c r="A19" s="216">
        <v>46059.0</v>
      </c>
      <c r="B19" s="221">
        <v>6.0</v>
      </c>
      <c r="C19" s="221" t="s">
        <v>1938</v>
      </c>
      <c r="D19" s="222" t="s">
        <v>44</v>
      </c>
      <c r="E19" s="223">
        <v>1.0</v>
      </c>
      <c r="F19" s="26" t="s">
        <v>190</v>
      </c>
      <c r="G19" s="223"/>
      <c r="H19" s="26"/>
      <c r="I19" s="223"/>
      <c r="J19" s="26"/>
      <c r="K19" s="223"/>
      <c r="L19" s="26"/>
      <c r="M19" s="220"/>
      <c r="N19" s="220"/>
      <c r="O19" s="32"/>
      <c r="P19" s="32"/>
      <c r="Q19" s="10"/>
      <c r="R19" s="10"/>
      <c r="S19" s="10"/>
      <c r="T19" s="10"/>
      <c r="U19" s="10"/>
      <c r="V19" s="10"/>
      <c r="W19" s="10"/>
      <c r="X19" s="10"/>
    </row>
    <row r="20">
      <c r="A20" s="216">
        <v>46058.0</v>
      </c>
      <c r="B20" s="221">
        <v>5.0</v>
      </c>
      <c r="C20" s="221" t="s">
        <v>1939</v>
      </c>
      <c r="D20" s="222" t="s">
        <v>44</v>
      </c>
      <c r="E20" s="223">
        <v>1.0</v>
      </c>
      <c r="F20" s="26" t="s">
        <v>190</v>
      </c>
      <c r="G20" s="223"/>
      <c r="H20" s="26"/>
      <c r="I20" s="223"/>
      <c r="J20" s="26"/>
      <c r="K20" s="223"/>
      <c r="L20" s="26"/>
      <c r="M20" s="220"/>
      <c r="N20" s="220"/>
      <c r="O20" s="32"/>
      <c r="P20" s="32"/>
      <c r="Q20" s="10"/>
      <c r="R20" s="10"/>
      <c r="S20" s="10"/>
      <c r="T20" s="10"/>
      <c r="U20" s="10"/>
      <c r="V20" s="10"/>
      <c r="W20" s="10"/>
      <c r="X20" s="10"/>
    </row>
    <row r="21">
      <c r="A21" s="216">
        <v>46055.0</v>
      </c>
      <c r="B21" s="221">
        <v>5.0</v>
      </c>
      <c r="C21" s="221" t="s">
        <v>1940</v>
      </c>
      <c r="D21" s="222" t="s">
        <v>84</v>
      </c>
      <c r="E21" s="223"/>
      <c r="F21" s="26"/>
      <c r="G21" s="223">
        <v>14.0</v>
      </c>
      <c r="H21" s="26" t="s">
        <v>190</v>
      </c>
      <c r="I21" s="223"/>
      <c r="J21" s="26"/>
      <c r="K21" s="223"/>
      <c r="L21" s="26"/>
      <c r="M21" s="227"/>
      <c r="N21" s="220"/>
      <c r="O21" s="32"/>
      <c r="P21" s="32"/>
      <c r="Q21" s="10"/>
      <c r="R21" s="10"/>
      <c r="S21" s="10"/>
      <c r="T21" s="10"/>
      <c r="U21" s="10"/>
      <c r="V21" s="10"/>
      <c r="W21" s="10"/>
      <c r="X21" s="10"/>
    </row>
    <row r="22">
      <c r="A22" s="216">
        <v>46051.0</v>
      </c>
      <c r="B22" s="221">
        <v>5.0</v>
      </c>
      <c r="C22" s="221" t="s">
        <v>1941</v>
      </c>
      <c r="D22" s="222" t="s">
        <v>175</v>
      </c>
      <c r="E22" s="223">
        <v>1.0</v>
      </c>
      <c r="F22" s="26" t="s">
        <v>190</v>
      </c>
      <c r="G22" s="223"/>
      <c r="H22" s="26"/>
      <c r="I22" s="223"/>
      <c r="J22" s="26"/>
      <c r="K22" s="223"/>
      <c r="L22" s="26"/>
      <c r="M22" s="224" t="s">
        <v>1942</v>
      </c>
      <c r="N22" s="220"/>
      <c r="O22" s="32"/>
      <c r="P22" s="32"/>
      <c r="Q22" s="10"/>
      <c r="R22" s="10"/>
      <c r="S22" s="10"/>
      <c r="T22" s="10"/>
      <c r="U22" s="10"/>
      <c r="V22" s="10"/>
      <c r="W22" s="10"/>
      <c r="X22" s="10"/>
    </row>
    <row r="23">
      <c r="A23" s="216">
        <v>46045.0</v>
      </c>
      <c r="B23" s="221">
        <v>4.0</v>
      </c>
      <c r="C23" s="221" t="s">
        <v>1943</v>
      </c>
      <c r="D23" s="222" t="s">
        <v>44</v>
      </c>
      <c r="E23" s="223">
        <v>3.0</v>
      </c>
      <c r="F23" s="26" t="s">
        <v>190</v>
      </c>
      <c r="G23" s="223"/>
      <c r="H23" s="26"/>
      <c r="I23" s="223"/>
      <c r="J23" s="26"/>
      <c r="K23" s="223"/>
      <c r="L23" s="26"/>
      <c r="M23" s="224"/>
      <c r="N23" s="220"/>
      <c r="O23" s="32"/>
      <c r="P23" s="32"/>
      <c r="Q23" s="10"/>
      <c r="R23" s="10"/>
      <c r="S23" s="10"/>
      <c r="T23" s="10"/>
      <c r="U23" s="10"/>
      <c r="V23" s="10"/>
      <c r="W23" s="10"/>
      <c r="X23" s="10"/>
    </row>
    <row r="24">
      <c r="A24" s="216">
        <v>46038.0</v>
      </c>
      <c r="B24" s="221">
        <v>3.0</v>
      </c>
      <c r="C24" s="221" t="s">
        <v>1944</v>
      </c>
      <c r="D24" s="222" t="s">
        <v>175</v>
      </c>
      <c r="E24" s="223">
        <v>2.0</v>
      </c>
      <c r="F24" s="26" t="s">
        <v>190</v>
      </c>
      <c r="G24" s="223"/>
      <c r="H24" s="26"/>
      <c r="I24" s="223"/>
      <c r="J24" s="26"/>
      <c r="K24" s="223"/>
      <c r="L24" s="26"/>
      <c r="M24" s="220"/>
      <c r="N24" s="220"/>
      <c r="O24" s="32"/>
      <c r="P24" s="32"/>
      <c r="Q24" s="10"/>
      <c r="R24" s="10"/>
      <c r="S24" s="10"/>
      <c r="T24" s="10"/>
      <c r="U24" s="10"/>
      <c r="V24" s="10"/>
      <c r="W24" s="10"/>
      <c r="X24" s="10"/>
    </row>
    <row r="25">
      <c r="A25" s="216">
        <v>46034.0</v>
      </c>
      <c r="B25" s="221">
        <v>3.0</v>
      </c>
      <c r="C25" s="221" t="s">
        <v>1945</v>
      </c>
      <c r="D25" s="222" t="s">
        <v>44</v>
      </c>
      <c r="E25" s="223">
        <v>3.0</v>
      </c>
      <c r="F25" s="26" t="s">
        <v>190</v>
      </c>
      <c r="G25" s="223"/>
      <c r="H25" s="26"/>
      <c r="I25" s="223"/>
      <c r="J25" s="26"/>
      <c r="K25" s="223"/>
      <c r="L25" s="26"/>
      <c r="M25" s="227"/>
      <c r="N25" s="220"/>
      <c r="O25" s="32"/>
      <c r="P25" s="32"/>
      <c r="Q25" s="10"/>
      <c r="R25" s="10"/>
      <c r="S25" s="10"/>
      <c r="T25" s="10"/>
      <c r="U25" s="10"/>
      <c r="V25" s="10"/>
      <c r="W25" s="10"/>
      <c r="X25" s="10"/>
    </row>
    <row r="26">
      <c r="A26" s="216">
        <v>46031.0</v>
      </c>
      <c r="B26" s="221">
        <v>2.0</v>
      </c>
      <c r="C26" s="221" t="s">
        <v>1946</v>
      </c>
      <c r="D26" s="222" t="s">
        <v>44</v>
      </c>
      <c r="E26" s="223">
        <v>4.0</v>
      </c>
      <c r="F26" s="26" t="s">
        <v>190</v>
      </c>
      <c r="G26" s="223"/>
      <c r="H26" s="26"/>
      <c r="I26" s="223"/>
      <c r="J26" s="26"/>
      <c r="K26" s="223"/>
      <c r="L26" s="26"/>
      <c r="M26" s="224" t="s">
        <v>1947</v>
      </c>
      <c r="N26" s="220"/>
      <c r="O26" s="32"/>
      <c r="P26" s="32"/>
      <c r="Q26" s="10"/>
      <c r="R26" s="10"/>
      <c r="S26" s="10"/>
      <c r="T26" s="10"/>
      <c r="U26" s="10"/>
      <c r="V26" s="10"/>
      <c r="W26" s="10"/>
      <c r="X26" s="10"/>
    </row>
    <row r="27">
      <c r="A27" s="216">
        <v>46010.0</v>
      </c>
      <c r="B27" s="221">
        <v>51.0</v>
      </c>
      <c r="C27" s="221" t="s">
        <v>1948</v>
      </c>
      <c r="D27" s="222" t="s">
        <v>84</v>
      </c>
      <c r="E27" s="223"/>
      <c r="F27" s="26"/>
      <c r="G27" s="223">
        <v>4.0</v>
      </c>
      <c r="H27" s="26" t="s">
        <v>190</v>
      </c>
      <c r="I27" s="223"/>
      <c r="J27" s="26"/>
      <c r="K27" s="223"/>
      <c r="L27" s="26"/>
      <c r="M27" s="220"/>
      <c r="N27" s="220"/>
      <c r="O27" s="32"/>
      <c r="P27" s="32"/>
      <c r="Q27" s="10"/>
      <c r="R27" s="10"/>
      <c r="S27" s="10"/>
      <c r="T27" s="10"/>
      <c r="U27" s="10"/>
      <c r="V27" s="10"/>
      <c r="W27" s="10"/>
      <c r="X27" s="10"/>
    </row>
    <row r="28">
      <c r="A28" s="216">
        <v>46006.0</v>
      </c>
      <c r="B28" s="221">
        <v>50.0</v>
      </c>
      <c r="C28" s="221" t="s">
        <v>1949</v>
      </c>
      <c r="D28" s="222" t="s">
        <v>175</v>
      </c>
      <c r="E28" s="223">
        <v>1.0</v>
      </c>
      <c r="F28" s="26" t="s">
        <v>190</v>
      </c>
      <c r="G28" s="223"/>
      <c r="H28" s="26"/>
      <c r="I28" s="223"/>
      <c r="J28" s="26"/>
      <c r="K28" s="223"/>
      <c r="L28" s="26"/>
      <c r="M28" s="228" t="s">
        <v>1073</v>
      </c>
      <c r="N28" s="220"/>
      <c r="O28" s="32"/>
      <c r="P28" s="32"/>
      <c r="Q28" s="10"/>
      <c r="R28" s="10"/>
      <c r="S28" s="10"/>
      <c r="T28" s="10"/>
      <c r="U28" s="10"/>
      <c r="V28" s="10"/>
      <c r="W28" s="10"/>
      <c r="X28" s="10"/>
    </row>
    <row r="29">
      <c r="A29" s="216">
        <v>46006.0</v>
      </c>
      <c r="B29" s="221">
        <v>51.0</v>
      </c>
      <c r="C29" s="221" t="s">
        <v>1950</v>
      </c>
      <c r="D29" s="222" t="s">
        <v>44</v>
      </c>
      <c r="E29" s="223">
        <v>5.0</v>
      </c>
      <c r="F29" s="26" t="s">
        <v>190</v>
      </c>
      <c r="G29" s="223"/>
      <c r="H29" s="26"/>
      <c r="I29" s="223"/>
      <c r="J29" s="26"/>
      <c r="K29" s="223"/>
      <c r="L29" s="26"/>
      <c r="M29" s="220"/>
      <c r="N29" s="220"/>
      <c r="O29" s="32"/>
      <c r="P29" s="32"/>
      <c r="Q29" s="10"/>
      <c r="R29" s="10"/>
      <c r="S29" s="10"/>
      <c r="T29" s="10"/>
      <c r="U29" s="10"/>
      <c r="V29" s="10"/>
      <c r="W29" s="10"/>
      <c r="X29" s="10"/>
    </row>
    <row r="30">
      <c r="A30" s="216">
        <v>46003.0</v>
      </c>
      <c r="B30" s="221">
        <v>50.0</v>
      </c>
      <c r="C30" s="221" t="s">
        <v>1951</v>
      </c>
      <c r="D30" s="222" t="s">
        <v>44</v>
      </c>
      <c r="E30" s="223">
        <v>5.0</v>
      </c>
      <c r="F30" s="26" t="s">
        <v>190</v>
      </c>
      <c r="G30" s="223"/>
      <c r="H30" s="26"/>
      <c r="I30" s="223"/>
      <c r="J30" s="26"/>
      <c r="K30" s="223"/>
      <c r="L30" s="26"/>
      <c r="M30" s="229" t="s">
        <v>1952</v>
      </c>
      <c r="N30" s="220"/>
      <c r="O30" s="32"/>
      <c r="P30" s="32"/>
      <c r="Q30" s="10"/>
      <c r="R30" s="10"/>
      <c r="S30" s="10"/>
      <c r="T30" s="10"/>
      <c r="U30" s="10"/>
      <c r="V30" s="10"/>
      <c r="W30" s="10"/>
      <c r="X30" s="10"/>
    </row>
    <row r="31">
      <c r="A31" s="216">
        <v>46003.0</v>
      </c>
      <c r="B31" s="221">
        <v>50.0</v>
      </c>
      <c r="C31" s="221" t="s">
        <v>1953</v>
      </c>
      <c r="D31" s="222" t="s">
        <v>84</v>
      </c>
      <c r="E31" s="223"/>
      <c r="F31" s="26"/>
      <c r="G31" s="223">
        <v>7.0</v>
      </c>
      <c r="H31" s="26" t="s">
        <v>190</v>
      </c>
      <c r="I31" s="223"/>
      <c r="J31" s="26"/>
      <c r="K31" s="223"/>
      <c r="L31" s="26"/>
      <c r="M31" s="220"/>
      <c r="N31" s="220"/>
      <c r="O31" s="32"/>
      <c r="P31" s="32"/>
      <c r="Q31" s="10"/>
      <c r="R31" s="10"/>
      <c r="S31" s="10"/>
      <c r="T31" s="10"/>
      <c r="U31" s="10"/>
      <c r="V31" s="10"/>
      <c r="W31" s="10"/>
      <c r="X31" s="10"/>
    </row>
    <row r="32">
      <c r="A32" s="216">
        <v>45999.0</v>
      </c>
      <c r="B32" s="221">
        <v>49.0</v>
      </c>
      <c r="C32" s="221" t="s">
        <v>1954</v>
      </c>
      <c r="D32" s="222" t="s">
        <v>84</v>
      </c>
      <c r="E32" s="223"/>
      <c r="F32" s="26"/>
      <c r="G32" s="223">
        <v>6.0</v>
      </c>
      <c r="H32" s="26" t="s">
        <v>190</v>
      </c>
      <c r="I32" s="223"/>
      <c r="J32" s="26"/>
      <c r="K32" s="223"/>
      <c r="L32" s="26"/>
      <c r="M32" s="227"/>
      <c r="N32" s="220"/>
      <c r="O32" s="32"/>
      <c r="P32" s="32"/>
      <c r="Q32" s="10"/>
      <c r="R32" s="10"/>
      <c r="S32" s="10"/>
      <c r="T32" s="10"/>
      <c r="U32" s="10"/>
      <c r="V32" s="10"/>
      <c r="W32" s="10"/>
      <c r="X32" s="10"/>
    </row>
    <row r="33">
      <c r="A33" s="216">
        <v>45993.0</v>
      </c>
      <c r="B33" s="221">
        <v>49.0</v>
      </c>
      <c r="C33" s="221" t="s">
        <v>1955</v>
      </c>
      <c r="D33" s="222" t="s">
        <v>44</v>
      </c>
      <c r="E33" s="223">
        <v>8.0</v>
      </c>
      <c r="F33" s="26" t="s">
        <v>190</v>
      </c>
      <c r="G33" s="223"/>
      <c r="H33" s="26"/>
      <c r="I33" s="223"/>
      <c r="J33" s="26"/>
      <c r="K33" s="223"/>
      <c r="L33" s="26"/>
      <c r="M33" s="220"/>
      <c r="N33" s="220"/>
      <c r="O33" s="32"/>
      <c r="P33" s="32"/>
      <c r="Q33" s="10"/>
      <c r="R33" s="10"/>
      <c r="S33" s="10"/>
      <c r="T33" s="10"/>
      <c r="U33" s="10"/>
      <c r="V33" s="10"/>
      <c r="W33" s="10"/>
      <c r="X33" s="10"/>
    </row>
    <row r="34">
      <c r="A34" s="216">
        <v>45992.0</v>
      </c>
      <c r="B34" s="221">
        <v>48.0</v>
      </c>
      <c r="C34" s="221" t="s">
        <v>1956</v>
      </c>
      <c r="D34" s="222" t="s">
        <v>175</v>
      </c>
      <c r="E34" s="223">
        <v>6.0</v>
      </c>
      <c r="F34" s="26" t="s">
        <v>190</v>
      </c>
      <c r="G34" s="223"/>
      <c r="H34" s="26"/>
      <c r="I34" s="223"/>
      <c r="J34" s="26"/>
      <c r="K34" s="223"/>
      <c r="L34" s="26"/>
      <c r="M34" s="220"/>
      <c r="N34" s="220"/>
      <c r="O34" s="32"/>
      <c r="P34" s="32"/>
      <c r="Q34" s="10"/>
      <c r="R34" s="10"/>
      <c r="S34" s="10"/>
      <c r="T34" s="10"/>
      <c r="U34" s="10"/>
      <c r="V34" s="10"/>
      <c r="W34" s="10"/>
      <c r="X34" s="10"/>
    </row>
    <row r="35">
      <c r="A35" s="216">
        <v>45992.0</v>
      </c>
      <c r="B35" s="221">
        <v>48.0</v>
      </c>
      <c r="C35" s="221" t="s">
        <v>1957</v>
      </c>
      <c r="D35" s="222" t="s">
        <v>84</v>
      </c>
      <c r="E35" s="223"/>
      <c r="F35" s="26"/>
      <c r="G35" s="223">
        <v>4.0</v>
      </c>
      <c r="H35" s="26" t="s">
        <v>190</v>
      </c>
      <c r="I35" s="223"/>
      <c r="J35" s="26"/>
      <c r="K35" s="223"/>
      <c r="L35" s="26"/>
      <c r="M35" s="220"/>
      <c r="N35" s="220"/>
      <c r="O35" s="32"/>
      <c r="P35" s="32"/>
      <c r="Q35" s="10"/>
      <c r="R35" s="10"/>
      <c r="S35" s="10"/>
      <c r="T35" s="10"/>
      <c r="U35" s="10"/>
      <c r="V35" s="10"/>
      <c r="W35" s="10"/>
      <c r="X35" s="10"/>
    </row>
    <row r="36">
      <c r="A36" s="216">
        <v>45988.0</v>
      </c>
      <c r="B36" s="221">
        <v>48.0</v>
      </c>
      <c r="C36" s="221" t="s">
        <v>1958</v>
      </c>
      <c r="D36" s="222" t="s">
        <v>44</v>
      </c>
      <c r="E36" s="223">
        <v>2.0</v>
      </c>
      <c r="F36" s="26" t="s">
        <v>190</v>
      </c>
      <c r="G36" s="223"/>
      <c r="H36" s="26"/>
      <c r="I36" s="223"/>
      <c r="J36" s="26"/>
      <c r="K36" s="223"/>
      <c r="L36" s="26"/>
      <c r="M36" s="230"/>
      <c r="N36" s="220"/>
      <c r="O36" s="32"/>
      <c r="P36" s="32"/>
      <c r="Q36" s="10"/>
      <c r="R36" s="10"/>
      <c r="S36" s="10"/>
      <c r="T36" s="10"/>
      <c r="U36" s="10"/>
      <c r="V36" s="10"/>
      <c r="W36" s="10"/>
      <c r="X36" s="10"/>
    </row>
    <row r="37">
      <c r="A37" s="216">
        <v>45988.0</v>
      </c>
      <c r="B37" s="221">
        <v>47.0</v>
      </c>
      <c r="C37" s="221" t="s">
        <v>1959</v>
      </c>
      <c r="D37" s="222" t="s">
        <v>84</v>
      </c>
      <c r="E37" s="223"/>
      <c r="F37" s="26"/>
      <c r="G37" s="223">
        <v>5.0</v>
      </c>
      <c r="H37" s="26" t="s">
        <v>190</v>
      </c>
      <c r="I37" s="223"/>
      <c r="J37" s="26"/>
      <c r="K37" s="223"/>
      <c r="L37" s="26"/>
      <c r="M37" s="231" t="s">
        <v>1960</v>
      </c>
      <c r="N37" s="220"/>
      <c r="O37" s="32"/>
      <c r="P37" s="32"/>
      <c r="Q37" s="10"/>
      <c r="R37" s="10"/>
      <c r="S37" s="10"/>
      <c r="T37" s="10"/>
      <c r="U37" s="10"/>
      <c r="V37" s="10"/>
      <c r="W37" s="10"/>
      <c r="X37" s="10"/>
    </row>
    <row r="38">
      <c r="A38" s="216">
        <v>45982.0</v>
      </c>
      <c r="B38" s="221">
        <v>47.0</v>
      </c>
      <c r="C38" s="221" t="s">
        <v>1961</v>
      </c>
      <c r="D38" s="222" t="s">
        <v>44</v>
      </c>
      <c r="E38" s="223">
        <v>4.0</v>
      </c>
      <c r="F38" s="26" t="s">
        <v>190</v>
      </c>
      <c r="G38" s="223"/>
      <c r="H38" s="26"/>
      <c r="I38" s="223"/>
      <c r="J38" s="26"/>
      <c r="K38" s="223"/>
      <c r="L38" s="26"/>
      <c r="M38" s="228"/>
      <c r="N38" s="220"/>
      <c r="O38" s="32"/>
      <c r="P38" s="32"/>
      <c r="Q38" s="10"/>
      <c r="R38" s="10"/>
      <c r="S38" s="10"/>
      <c r="T38" s="10"/>
      <c r="U38" s="10"/>
      <c r="V38" s="10"/>
      <c r="W38" s="10"/>
      <c r="X38" s="10"/>
    </row>
    <row r="39">
      <c r="A39" s="216">
        <v>45978.0</v>
      </c>
      <c r="B39" s="221">
        <v>46.0</v>
      </c>
      <c r="C39" s="221" t="s">
        <v>1962</v>
      </c>
      <c r="D39" s="232" t="s">
        <v>175</v>
      </c>
      <c r="E39" s="233">
        <v>3.0</v>
      </c>
      <c r="F39" s="26" t="s">
        <v>190</v>
      </c>
      <c r="G39" s="233"/>
      <c r="H39" s="26"/>
      <c r="I39" s="233"/>
      <c r="J39" s="26"/>
      <c r="K39" s="233"/>
      <c r="L39" s="26"/>
      <c r="M39" s="220"/>
      <c r="N39" s="220"/>
      <c r="O39" s="32"/>
      <c r="P39" s="32"/>
      <c r="Q39" s="10"/>
      <c r="R39" s="10"/>
      <c r="S39" s="10"/>
      <c r="T39" s="10"/>
      <c r="U39" s="10"/>
      <c r="V39" s="10"/>
      <c r="W39" s="10"/>
      <c r="X39" s="10"/>
    </row>
    <row r="40">
      <c r="A40" s="234">
        <v>45975.0</v>
      </c>
      <c r="B40" s="235">
        <v>46.0</v>
      </c>
      <c r="C40" s="221" t="s">
        <v>1963</v>
      </c>
      <c r="D40" s="232" t="s">
        <v>84</v>
      </c>
      <c r="E40" s="233"/>
      <c r="F40" s="26"/>
      <c r="G40" s="233">
        <v>13.0</v>
      </c>
      <c r="H40" s="26" t="s">
        <v>190</v>
      </c>
      <c r="I40" s="233"/>
      <c r="J40" s="26"/>
      <c r="K40" s="233"/>
      <c r="L40" s="26"/>
      <c r="M40" s="227"/>
      <c r="N40" s="220"/>
      <c r="O40" s="32"/>
      <c r="P40" s="32"/>
      <c r="Q40" s="10"/>
      <c r="R40" s="10"/>
      <c r="S40" s="10"/>
      <c r="T40" s="10"/>
      <c r="U40" s="10"/>
      <c r="V40" s="10"/>
      <c r="W40" s="10"/>
      <c r="X40" s="10"/>
    </row>
    <row r="41">
      <c r="A41" s="234">
        <v>45972.0</v>
      </c>
      <c r="B41" s="235">
        <v>45.0</v>
      </c>
      <c r="C41" s="235" t="s">
        <v>1964</v>
      </c>
      <c r="D41" s="232" t="s">
        <v>175</v>
      </c>
      <c r="E41" s="233">
        <v>2.0</v>
      </c>
      <c r="F41" s="26" t="s">
        <v>190</v>
      </c>
      <c r="G41" s="233"/>
      <c r="H41" s="26"/>
      <c r="I41" s="233"/>
      <c r="J41" s="26"/>
      <c r="K41" s="233"/>
      <c r="L41" s="26"/>
      <c r="M41" s="220"/>
      <c r="N41" s="220"/>
      <c r="O41" s="32"/>
      <c r="P41" s="32"/>
      <c r="Q41" s="10"/>
      <c r="R41" s="10"/>
      <c r="S41" s="10"/>
      <c r="T41" s="10"/>
      <c r="U41" s="10"/>
      <c r="V41" s="10"/>
      <c r="W41" s="10"/>
      <c r="X41" s="10"/>
    </row>
    <row r="42">
      <c r="A42" s="234">
        <v>45972.0</v>
      </c>
      <c r="B42" s="235">
        <v>46.0</v>
      </c>
      <c r="C42" s="221" t="s">
        <v>1965</v>
      </c>
      <c r="D42" s="232" t="s">
        <v>44</v>
      </c>
      <c r="E42" s="233">
        <v>11.0</v>
      </c>
      <c r="F42" s="26" t="s">
        <v>190</v>
      </c>
      <c r="G42" s="233"/>
      <c r="H42" s="26"/>
      <c r="I42" s="233"/>
      <c r="J42" s="26"/>
      <c r="K42" s="233"/>
      <c r="L42" s="26"/>
      <c r="M42" s="227"/>
      <c r="N42" s="220"/>
      <c r="O42" s="32"/>
      <c r="P42" s="32"/>
      <c r="Q42" s="10"/>
      <c r="R42" s="10"/>
      <c r="S42" s="10"/>
      <c r="T42" s="10"/>
      <c r="U42" s="10"/>
      <c r="V42" s="10"/>
      <c r="W42" s="10"/>
      <c r="X42" s="10"/>
    </row>
    <row r="43">
      <c r="A43" s="234">
        <v>45971.0</v>
      </c>
      <c r="B43" s="235">
        <v>45.0</v>
      </c>
      <c r="C43" s="221" t="s">
        <v>1966</v>
      </c>
      <c r="D43" s="232" t="s">
        <v>84</v>
      </c>
      <c r="E43" s="233"/>
      <c r="F43" s="26"/>
      <c r="G43" s="233">
        <v>2.0</v>
      </c>
      <c r="H43" s="26" t="s">
        <v>190</v>
      </c>
      <c r="I43" s="233"/>
      <c r="J43" s="26"/>
      <c r="K43" s="233"/>
      <c r="L43" s="26"/>
      <c r="M43" s="227"/>
      <c r="N43" s="220"/>
      <c r="O43" s="32"/>
      <c r="P43" s="32"/>
      <c r="Q43" s="10"/>
      <c r="R43" s="10"/>
      <c r="S43" s="10"/>
      <c r="T43" s="10"/>
      <c r="U43" s="10"/>
      <c r="V43" s="10"/>
      <c r="W43" s="10"/>
      <c r="X43" s="10"/>
    </row>
    <row r="44">
      <c r="A44" s="234">
        <v>45966.0</v>
      </c>
      <c r="B44" s="235">
        <v>45.0</v>
      </c>
      <c r="C44" s="221" t="s">
        <v>1967</v>
      </c>
      <c r="D44" s="232" t="s">
        <v>44</v>
      </c>
      <c r="E44" s="233">
        <v>9.0</v>
      </c>
      <c r="F44" s="26" t="s">
        <v>190</v>
      </c>
      <c r="G44" s="233"/>
      <c r="H44" s="26"/>
      <c r="I44" s="233"/>
      <c r="J44" s="26"/>
      <c r="K44" s="233"/>
      <c r="L44" s="26"/>
      <c r="M44" s="220"/>
      <c r="N44" s="220"/>
      <c r="O44" s="32"/>
      <c r="P44" s="32"/>
      <c r="Q44" s="10"/>
      <c r="R44" s="10"/>
      <c r="S44" s="10"/>
      <c r="T44" s="10"/>
      <c r="U44" s="10"/>
      <c r="V44" s="10"/>
      <c r="W44" s="10"/>
      <c r="X44" s="10"/>
    </row>
    <row r="45">
      <c r="A45" s="234">
        <v>45964.0</v>
      </c>
      <c r="B45" s="235">
        <v>44.0</v>
      </c>
      <c r="C45" s="221" t="s">
        <v>1968</v>
      </c>
      <c r="D45" s="232" t="s">
        <v>84</v>
      </c>
      <c r="E45" s="233"/>
      <c r="F45" s="26"/>
      <c r="G45" s="233">
        <v>5.0</v>
      </c>
      <c r="H45" s="26" t="s">
        <v>190</v>
      </c>
      <c r="I45" s="233"/>
      <c r="J45" s="26"/>
      <c r="K45" s="233"/>
      <c r="L45" s="26"/>
      <c r="M45" s="220"/>
      <c r="N45" s="220"/>
      <c r="O45" s="32"/>
      <c r="P45" s="32"/>
      <c r="Q45" s="10"/>
      <c r="R45" s="10"/>
      <c r="S45" s="10"/>
      <c r="T45" s="10"/>
      <c r="U45" s="10"/>
      <c r="V45" s="10"/>
      <c r="W45" s="10"/>
      <c r="X45" s="10"/>
    </row>
    <row r="46">
      <c r="A46" s="234">
        <v>45961.0</v>
      </c>
      <c r="B46" s="235">
        <v>44.0</v>
      </c>
      <c r="C46" s="221" t="s">
        <v>1969</v>
      </c>
      <c r="D46" s="232" t="s">
        <v>44</v>
      </c>
      <c r="E46" s="233">
        <v>6.0</v>
      </c>
      <c r="F46" s="26" t="s">
        <v>190</v>
      </c>
      <c r="G46" s="233"/>
      <c r="H46" s="26"/>
      <c r="I46" s="233"/>
      <c r="J46" s="26"/>
      <c r="K46" s="233"/>
      <c r="L46" s="26"/>
      <c r="M46" s="220"/>
      <c r="N46" s="220"/>
      <c r="O46" s="32"/>
      <c r="P46" s="32"/>
      <c r="Q46" s="10"/>
      <c r="R46" s="10"/>
      <c r="S46" s="10"/>
      <c r="T46" s="10"/>
      <c r="U46" s="10"/>
      <c r="V46" s="10"/>
      <c r="W46" s="10"/>
      <c r="X46" s="10"/>
    </row>
    <row r="47">
      <c r="A47" s="234">
        <v>45960.0</v>
      </c>
      <c r="B47" s="235">
        <v>44.0</v>
      </c>
      <c r="C47" s="235" t="s">
        <v>1970</v>
      </c>
      <c r="D47" s="232" t="s">
        <v>175</v>
      </c>
      <c r="E47" s="236">
        <v>2.0</v>
      </c>
      <c r="F47" s="26" t="s">
        <v>190</v>
      </c>
      <c r="G47" s="233"/>
      <c r="H47" s="26"/>
      <c r="I47" s="233"/>
      <c r="J47" s="26"/>
      <c r="K47" s="233"/>
      <c r="L47" s="26"/>
      <c r="M47" s="227"/>
      <c r="N47" s="220"/>
      <c r="O47" s="32"/>
      <c r="P47" s="32"/>
      <c r="Q47" s="10"/>
      <c r="R47" s="10"/>
      <c r="S47" s="10"/>
      <c r="T47" s="10"/>
      <c r="U47" s="10"/>
      <c r="V47" s="10"/>
      <c r="W47" s="10"/>
      <c r="X47" s="10"/>
    </row>
    <row r="48">
      <c r="A48" s="234">
        <v>45954.0</v>
      </c>
      <c r="B48" s="235">
        <v>43.0</v>
      </c>
      <c r="C48" s="221" t="s">
        <v>1971</v>
      </c>
      <c r="D48" s="232" t="s">
        <v>84</v>
      </c>
      <c r="E48" s="233"/>
      <c r="F48" s="26"/>
      <c r="G48" s="233">
        <v>5.0</v>
      </c>
      <c r="H48" s="26" t="s">
        <v>190</v>
      </c>
      <c r="I48" s="233"/>
      <c r="J48" s="26"/>
      <c r="K48" s="233"/>
      <c r="L48" s="26"/>
      <c r="M48" s="231" t="s">
        <v>1972</v>
      </c>
      <c r="N48" s="220"/>
      <c r="O48" s="32"/>
      <c r="P48" s="32"/>
      <c r="Q48" s="10"/>
      <c r="R48" s="10"/>
      <c r="S48" s="10"/>
      <c r="T48" s="10"/>
      <c r="U48" s="10"/>
      <c r="V48" s="10"/>
      <c r="W48" s="10"/>
      <c r="X48" s="10"/>
    </row>
    <row r="49">
      <c r="A49" s="234">
        <v>45953.0</v>
      </c>
      <c r="B49" s="235">
        <v>43.0</v>
      </c>
      <c r="C49" s="221" t="s">
        <v>1973</v>
      </c>
      <c r="D49" s="232" t="s">
        <v>44</v>
      </c>
      <c r="E49" s="233">
        <v>8.0</v>
      </c>
      <c r="F49" s="26" t="s">
        <v>190</v>
      </c>
      <c r="G49" s="233"/>
      <c r="H49" s="26"/>
      <c r="I49" s="233"/>
      <c r="J49" s="26"/>
      <c r="K49" s="233"/>
      <c r="L49" s="26"/>
      <c r="M49" s="230"/>
      <c r="N49" s="220"/>
      <c r="O49" s="32"/>
      <c r="P49" s="32"/>
      <c r="Q49" s="10"/>
      <c r="R49" s="10"/>
      <c r="S49" s="10"/>
      <c r="T49" s="10"/>
      <c r="U49" s="10"/>
      <c r="V49" s="10"/>
      <c r="W49" s="10"/>
      <c r="X49" s="10"/>
    </row>
    <row r="50">
      <c r="A50" s="234">
        <v>45951.0</v>
      </c>
      <c r="B50" s="235">
        <v>43.0</v>
      </c>
      <c r="C50" s="221" t="s">
        <v>1974</v>
      </c>
      <c r="D50" s="232" t="s">
        <v>38</v>
      </c>
      <c r="E50" s="233"/>
      <c r="F50" s="26"/>
      <c r="G50" s="233">
        <v>4.0</v>
      </c>
      <c r="H50" s="26" t="s">
        <v>190</v>
      </c>
      <c r="I50" s="233"/>
      <c r="J50" s="26"/>
      <c r="K50" s="233"/>
      <c r="L50" s="26"/>
      <c r="M50" s="227"/>
      <c r="N50" s="220"/>
      <c r="O50" s="32"/>
      <c r="P50" s="32"/>
      <c r="Q50" s="10"/>
      <c r="R50" s="10"/>
      <c r="S50" s="10"/>
      <c r="T50" s="10"/>
      <c r="U50" s="10"/>
      <c r="V50" s="10"/>
      <c r="W50" s="10"/>
      <c r="X50" s="10"/>
    </row>
    <row r="51">
      <c r="A51" s="234">
        <v>45947.0</v>
      </c>
      <c r="B51" s="235">
        <v>42.0</v>
      </c>
      <c r="C51" s="221" t="s">
        <v>1975</v>
      </c>
      <c r="D51" s="232" t="s">
        <v>175</v>
      </c>
      <c r="E51" s="233">
        <v>1.0</v>
      </c>
      <c r="F51" s="26" t="s">
        <v>190</v>
      </c>
      <c r="G51" s="233"/>
      <c r="H51" s="26"/>
      <c r="I51" s="233"/>
      <c r="J51" s="26"/>
      <c r="K51" s="233"/>
      <c r="L51" s="26"/>
      <c r="M51" s="230" t="s">
        <v>1976</v>
      </c>
      <c r="N51" s="220"/>
      <c r="O51" s="32"/>
      <c r="P51" s="32"/>
      <c r="Q51" s="10"/>
      <c r="R51" s="10"/>
      <c r="S51" s="10"/>
      <c r="T51" s="10"/>
      <c r="U51" s="10"/>
      <c r="V51" s="10"/>
      <c r="W51" s="10"/>
      <c r="X51" s="10"/>
    </row>
    <row r="52">
      <c r="A52" s="234">
        <v>45947.0</v>
      </c>
      <c r="B52" s="235">
        <v>42.0</v>
      </c>
      <c r="C52" s="221" t="s">
        <v>1977</v>
      </c>
      <c r="D52" s="232" t="s">
        <v>54</v>
      </c>
      <c r="E52" s="233">
        <v>2.0</v>
      </c>
      <c r="F52" s="26" t="s">
        <v>190</v>
      </c>
      <c r="G52" s="233"/>
      <c r="H52" s="26"/>
      <c r="I52" s="233"/>
      <c r="J52" s="26"/>
      <c r="K52" s="233"/>
      <c r="L52" s="26"/>
      <c r="M52" s="224"/>
      <c r="N52" s="220"/>
      <c r="O52" s="32"/>
      <c r="P52" s="32"/>
      <c r="Q52" s="10"/>
      <c r="R52" s="10"/>
      <c r="S52" s="10"/>
      <c r="T52" s="10"/>
      <c r="U52" s="10"/>
      <c r="V52" s="10"/>
      <c r="W52" s="10"/>
      <c r="X52" s="10"/>
    </row>
    <row r="53">
      <c r="A53" s="234">
        <v>45947.0</v>
      </c>
      <c r="B53" s="235">
        <v>42.0</v>
      </c>
      <c r="C53" s="221" t="s">
        <v>1978</v>
      </c>
      <c r="D53" s="232" t="s">
        <v>84</v>
      </c>
      <c r="E53" s="233"/>
      <c r="F53" s="26"/>
      <c r="G53" s="233">
        <v>5.0</v>
      </c>
      <c r="H53" s="26" t="s">
        <v>190</v>
      </c>
      <c r="I53" s="233"/>
      <c r="J53" s="26"/>
      <c r="K53" s="233">
        <v>8.0</v>
      </c>
      <c r="L53" s="26" t="s">
        <v>190</v>
      </c>
      <c r="M53" s="229" t="s">
        <v>1979</v>
      </c>
      <c r="N53" s="220"/>
      <c r="O53" s="32"/>
      <c r="P53" s="32"/>
      <c r="Q53" s="10"/>
      <c r="R53" s="10"/>
      <c r="S53" s="10"/>
      <c r="T53" s="10"/>
      <c r="U53" s="10"/>
      <c r="V53" s="10"/>
      <c r="W53" s="10"/>
      <c r="X53" s="10"/>
    </row>
    <row r="54">
      <c r="A54" s="234">
        <v>45945.0</v>
      </c>
      <c r="B54" s="235">
        <v>42.0</v>
      </c>
      <c r="C54" s="221" t="s">
        <v>1980</v>
      </c>
      <c r="D54" s="232" t="s">
        <v>44</v>
      </c>
      <c r="E54" s="233">
        <v>5.0</v>
      </c>
      <c r="F54" s="26" t="s">
        <v>190</v>
      </c>
      <c r="G54" s="233"/>
      <c r="H54" s="26"/>
      <c r="I54" s="233"/>
      <c r="J54" s="26"/>
      <c r="K54" s="233"/>
      <c r="L54" s="26"/>
      <c r="M54" s="229" t="s">
        <v>1981</v>
      </c>
      <c r="N54" s="220"/>
      <c r="O54" s="32"/>
      <c r="P54" s="32"/>
      <c r="Q54" s="10"/>
      <c r="R54" s="10"/>
      <c r="S54" s="10"/>
      <c r="T54" s="10"/>
      <c r="U54" s="10"/>
      <c r="V54" s="10"/>
      <c r="W54" s="10"/>
      <c r="X54" s="10"/>
    </row>
    <row r="55">
      <c r="A55" s="234">
        <v>45944.0</v>
      </c>
      <c r="B55" s="235">
        <v>41.0</v>
      </c>
      <c r="C55" s="221" t="s">
        <v>1982</v>
      </c>
      <c r="D55" s="232" t="s">
        <v>84</v>
      </c>
      <c r="E55" s="233"/>
      <c r="F55" s="26"/>
      <c r="G55" s="233">
        <v>6.0</v>
      </c>
      <c r="H55" s="26" t="s">
        <v>190</v>
      </c>
      <c r="I55" s="233"/>
      <c r="J55" s="26"/>
      <c r="K55" s="233"/>
      <c r="L55" s="26"/>
      <c r="M55" s="237"/>
      <c r="N55" s="220"/>
      <c r="O55" s="32"/>
      <c r="P55" s="32"/>
      <c r="Q55" s="10"/>
      <c r="R55" s="10"/>
      <c r="S55" s="10"/>
      <c r="T55" s="10"/>
      <c r="U55" s="10"/>
      <c r="V55" s="10"/>
      <c r="W55" s="10"/>
      <c r="X55" s="10"/>
    </row>
    <row r="56">
      <c r="A56" s="234">
        <v>45937.0</v>
      </c>
      <c r="B56" s="235">
        <v>41.0</v>
      </c>
      <c r="C56" s="221" t="s">
        <v>1983</v>
      </c>
      <c r="D56" s="232" t="s">
        <v>175</v>
      </c>
      <c r="E56" s="233">
        <v>3.0</v>
      </c>
      <c r="F56" s="26" t="s">
        <v>190</v>
      </c>
      <c r="G56" s="233"/>
      <c r="H56" s="26"/>
      <c r="I56" s="233"/>
      <c r="J56" s="26"/>
      <c r="K56" s="233"/>
      <c r="L56" s="26"/>
      <c r="M56" s="229" t="s">
        <v>1984</v>
      </c>
      <c r="N56" s="220"/>
      <c r="O56" s="32"/>
      <c r="P56" s="32"/>
      <c r="Q56" s="10"/>
      <c r="R56" s="10"/>
      <c r="S56" s="10"/>
      <c r="T56" s="10"/>
      <c r="U56" s="10"/>
      <c r="V56" s="10"/>
      <c r="W56" s="10"/>
      <c r="X56" s="10"/>
    </row>
    <row r="57">
      <c r="A57" s="234">
        <v>45937.0</v>
      </c>
      <c r="B57" s="235">
        <v>41.0</v>
      </c>
      <c r="C57" s="221" t="s">
        <v>1985</v>
      </c>
      <c r="D57" s="232" t="s">
        <v>44</v>
      </c>
      <c r="E57" s="233">
        <v>6.0</v>
      </c>
      <c r="F57" s="26" t="s">
        <v>190</v>
      </c>
      <c r="G57" s="233"/>
      <c r="H57" s="26"/>
      <c r="I57" s="233"/>
      <c r="J57" s="26"/>
      <c r="K57" s="233"/>
      <c r="L57" s="26"/>
      <c r="M57" s="220"/>
      <c r="N57" s="220"/>
      <c r="O57" s="32"/>
      <c r="P57" s="32"/>
      <c r="Q57" s="10"/>
      <c r="R57" s="10"/>
      <c r="S57" s="10"/>
      <c r="T57" s="10"/>
      <c r="U57" s="10"/>
      <c r="V57" s="10"/>
      <c r="W57" s="10"/>
      <c r="X57" s="10"/>
    </row>
    <row r="58">
      <c r="A58" s="234">
        <v>45933.0</v>
      </c>
      <c r="B58" s="235">
        <v>40.0</v>
      </c>
      <c r="C58" s="221" t="s">
        <v>1986</v>
      </c>
      <c r="D58" s="232" t="s">
        <v>175</v>
      </c>
      <c r="E58" s="233">
        <v>1.0</v>
      </c>
      <c r="F58" s="26" t="s">
        <v>190</v>
      </c>
      <c r="G58" s="233"/>
      <c r="H58" s="26"/>
      <c r="I58" s="233"/>
      <c r="J58" s="26"/>
      <c r="K58" s="233"/>
      <c r="L58" s="26"/>
      <c r="M58" s="220"/>
      <c r="N58" s="220"/>
      <c r="O58" s="32"/>
      <c r="P58" s="32"/>
      <c r="Q58" s="10"/>
      <c r="R58" s="10"/>
      <c r="S58" s="10"/>
      <c r="T58" s="10"/>
      <c r="U58" s="10"/>
      <c r="V58" s="10"/>
      <c r="W58" s="10"/>
      <c r="X58" s="10"/>
    </row>
    <row r="59">
      <c r="A59" s="234">
        <v>45933.0</v>
      </c>
      <c r="B59" s="235">
        <v>40.0</v>
      </c>
      <c r="C59" s="221" t="s">
        <v>1987</v>
      </c>
      <c r="D59" s="232" t="s">
        <v>84</v>
      </c>
      <c r="E59" s="233"/>
      <c r="F59" s="26"/>
      <c r="G59" s="233">
        <v>1.0</v>
      </c>
      <c r="H59" s="26" t="s">
        <v>190</v>
      </c>
      <c r="I59" s="233"/>
      <c r="J59" s="26"/>
      <c r="K59" s="233"/>
      <c r="L59" s="26"/>
      <c r="M59" s="220"/>
      <c r="N59" s="220"/>
      <c r="O59" s="32"/>
      <c r="P59" s="32"/>
      <c r="Q59" s="10"/>
      <c r="R59" s="10"/>
      <c r="S59" s="10"/>
      <c r="T59" s="10"/>
      <c r="U59" s="10"/>
      <c r="V59" s="10"/>
      <c r="W59" s="10"/>
      <c r="X59" s="10"/>
    </row>
    <row r="60">
      <c r="A60" s="234">
        <v>45933.0</v>
      </c>
      <c r="B60" s="235">
        <v>40.0</v>
      </c>
      <c r="C60" s="221" t="s">
        <v>1987</v>
      </c>
      <c r="D60" s="232" t="s">
        <v>84</v>
      </c>
      <c r="E60" s="233"/>
      <c r="F60" s="26"/>
      <c r="G60" s="233"/>
      <c r="H60" s="26"/>
      <c r="I60" s="233"/>
      <c r="J60" s="26"/>
      <c r="K60" s="233">
        <v>15.0</v>
      </c>
      <c r="L60" s="26" t="s">
        <v>190</v>
      </c>
      <c r="M60" s="224"/>
      <c r="N60" s="220"/>
      <c r="O60" s="32"/>
      <c r="P60" s="32"/>
      <c r="Q60" s="10"/>
      <c r="R60" s="10"/>
      <c r="S60" s="10"/>
      <c r="T60" s="10"/>
      <c r="U60" s="10"/>
      <c r="V60" s="10"/>
      <c r="W60" s="10"/>
      <c r="X60" s="10"/>
    </row>
    <row r="61">
      <c r="A61" s="234">
        <v>45933.0</v>
      </c>
      <c r="B61" s="235">
        <v>39.0</v>
      </c>
      <c r="C61" s="221" t="s">
        <v>1988</v>
      </c>
      <c r="D61" s="232" t="s">
        <v>84</v>
      </c>
      <c r="E61" s="233"/>
      <c r="F61" s="26"/>
      <c r="G61" s="233">
        <v>2.0</v>
      </c>
      <c r="H61" s="26" t="s">
        <v>190</v>
      </c>
      <c r="I61" s="233"/>
      <c r="J61" s="26"/>
      <c r="K61" s="233"/>
      <c r="L61" s="26"/>
      <c r="M61" s="220"/>
      <c r="N61" s="220"/>
      <c r="O61" s="32"/>
      <c r="P61" s="32"/>
      <c r="Q61" s="10"/>
      <c r="R61" s="10"/>
      <c r="S61" s="10"/>
      <c r="T61" s="10"/>
      <c r="U61" s="10"/>
      <c r="V61" s="10"/>
      <c r="W61" s="10"/>
      <c r="X61" s="10"/>
    </row>
    <row r="62">
      <c r="A62" s="234">
        <v>45932.0</v>
      </c>
      <c r="B62" s="235">
        <v>40.0</v>
      </c>
      <c r="C62" s="221" t="s">
        <v>1989</v>
      </c>
      <c r="D62" s="232" t="s">
        <v>44</v>
      </c>
      <c r="E62" s="233">
        <v>8.0</v>
      </c>
      <c r="F62" s="26" t="s">
        <v>190</v>
      </c>
      <c r="G62" s="233"/>
      <c r="H62" s="26"/>
      <c r="I62" s="233"/>
      <c r="J62" s="26"/>
      <c r="K62" s="233"/>
      <c r="L62" s="26"/>
      <c r="M62" s="224"/>
      <c r="N62" s="220"/>
      <c r="O62" s="32"/>
      <c r="P62" s="32"/>
      <c r="Q62" s="10"/>
      <c r="R62" s="10"/>
      <c r="S62" s="10"/>
      <c r="T62" s="10"/>
      <c r="U62" s="10"/>
      <c r="V62" s="10"/>
      <c r="W62" s="10"/>
      <c r="X62" s="10"/>
    </row>
    <row r="63">
      <c r="A63" s="234">
        <v>45926.0</v>
      </c>
      <c r="B63" s="235">
        <v>39.0</v>
      </c>
      <c r="C63" s="221" t="s">
        <v>1990</v>
      </c>
      <c r="D63" s="232" t="s">
        <v>175</v>
      </c>
      <c r="E63" s="233">
        <v>2.0</v>
      </c>
      <c r="F63" s="26" t="s">
        <v>190</v>
      </c>
      <c r="G63" s="233"/>
      <c r="H63" s="26"/>
      <c r="I63" s="233"/>
      <c r="J63" s="26"/>
      <c r="K63" s="233"/>
      <c r="L63" s="26"/>
      <c r="M63" s="220"/>
      <c r="N63" s="220"/>
      <c r="O63" s="32"/>
      <c r="P63" s="32"/>
      <c r="Q63" s="10"/>
      <c r="R63" s="10"/>
      <c r="S63" s="10"/>
      <c r="T63" s="10"/>
      <c r="U63" s="10"/>
      <c r="V63" s="10"/>
      <c r="W63" s="10"/>
      <c r="X63" s="10"/>
    </row>
    <row r="64">
      <c r="A64" s="234">
        <v>45925.0</v>
      </c>
      <c r="B64" s="235">
        <v>38.0</v>
      </c>
      <c r="C64" s="221" t="s">
        <v>1991</v>
      </c>
      <c r="D64" s="232" t="s">
        <v>84</v>
      </c>
      <c r="E64" s="233"/>
      <c r="F64" s="26"/>
      <c r="G64" s="233">
        <v>6.0</v>
      </c>
      <c r="H64" s="26" t="s">
        <v>190</v>
      </c>
      <c r="I64" s="233"/>
      <c r="J64" s="26"/>
      <c r="K64" s="233"/>
      <c r="L64" s="26"/>
      <c r="M64" s="220"/>
      <c r="N64" s="220"/>
      <c r="O64" s="32"/>
      <c r="P64" s="32"/>
      <c r="Q64" s="10"/>
      <c r="R64" s="10"/>
      <c r="S64" s="10"/>
      <c r="T64" s="10"/>
      <c r="U64" s="10"/>
      <c r="V64" s="10"/>
      <c r="W64" s="10"/>
      <c r="X64" s="10"/>
    </row>
    <row r="65">
      <c r="A65" s="234">
        <v>45923.0</v>
      </c>
      <c r="B65" s="235">
        <v>39.0</v>
      </c>
      <c r="C65" s="221" t="s">
        <v>1992</v>
      </c>
      <c r="D65" s="232" t="s">
        <v>44</v>
      </c>
      <c r="E65" s="233">
        <v>8.0</v>
      </c>
      <c r="F65" s="26" t="s">
        <v>190</v>
      </c>
      <c r="G65" s="233"/>
      <c r="H65" s="26"/>
      <c r="I65" s="233"/>
      <c r="J65" s="26"/>
      <c r="K65" s="233"/>
      <c r="L65" s="26"/>
      <c r="M65" s="227"/>
      <c r="N65" s="220"/>
      <c r="O65" s="32"/>
      <c r="P65" s="32"/>
      <c r="Q65" s="10"/>
      <c r="R65" s="10"/>
      <c r="S65" s="10"/>
      <c r="T65" s="10"/>
      <c r="U65" s="10"/>
      <c r="V65" s="10"/>
      <c r="W65" s="10"/>
      <c r="X65" s="10"/>
    </row>
    <row r="66">
      <c r="A66" s="234">
        <v>45918.0</v>
      </c>
      <c r="B66" s="235">
        <v>38.0</v>
      </c>
      <c r="C66" s="221" t="s">
        <v>1993</v>
      </c>
      <c r="D66" s="232" t="s">
        <v>44</v>
      </c>
      <c r="E66" s="233">
        <v>5.0</v>
      </c>
      <c r="F66" s="26" t="s">
        <v>190</v>
      </c>
      <c r="G66" s="233"/>
      <c r="H66" s="26"/>
      <c r="I66" s="233"/>
      <c r="J66" s="26"/>
      <c r="K66" s="233"/>
      <c r="L66" s="26"/>
      <c r="M66" s="224"/>
      <c r="N66" s="220"/>
      <c r="O66" s="32"/>
      <c r="P66" s="32"/>
      <c r="Q66" s="10"/>
      <c r="R66" s="10"/>
      <c r="S66" s="10"/>
      <c r="T66" s="10"/>
      <c r="U66" s="10"/>
      <c r="V66" s="10"/>
      <c r="W66" s="10"/>
      <c r="X66" s="10"/>
    </row>
    <row r="67">
      <c r="A67" s="234">
        <v>45917.0</v>
      </c>
      <c r="B67" s="235">
        <v>37.0</v>
      </c>
      <c r="C67" s="221" t="s">
        <v>1994</v>
      </c>
      <c r="D67" s="232" t="s">
        <v>84</v>
      </c>
      <c r="E67" s="233"/>
      <c r="F67" s="26"/>
      <c r="G67" s="233">
        <v>3.0</v>
      </c>
      <c r="H67" s="26" t="s">
        <v>190</v>
      </c>
      <c r="I67" s="233"/>
      <c r="J67" s="26"/>
      <c r="K67" s="233"/>
      <c r="L67" s="26"/>
      <c r="M67" s="220"/>
      <c r="N67" s="220"/>
      <c r="O67" s="32"/>
      <c r="P67" s="32"/>
      <c r="Q67" s="10"/>
      <c r="R67" s="10"/>
      <c r="S67" s="10"/>
      <c r="T67" s="10"/>
      <c r="U67" s="10"/>
      <c r="V67" s="10"/>
      <c r="W67" s="10"/>
      <c r="X67" s="10"/>
    </row>
    <row r="68">
      <c r="A68" s="234">
        <v>45915.0</v>
      </c>
      <c r="B68" s="235">
        <v>38.0</v>
      </c>
      <c r="C68" s="217" t="s">
        <v>1995</v>
      </c>
      <c r="D68" s="232" t="s">
        <v>175</v>
      </c>
      <c r="E68" s="233">
        <v>3.0</v>
      </c>
      <c r="F68" s="26" t="s">
        <v>190</v>
      </c>
      <c r="G68" s="233"/>
      <c r="H68" s="26"/>
      <c r="I68" s="233"/>
      <c r="J68" s="26"/>
      <c r="K68" s="233"/>
      <c r="L68" s="26"/>
      <c r="M68" s="224" t="s">
        <v>1996</v>
      </c>
      <c r="N68" s="220"/>
      <c r="O68" s="32"/>
      <c r="P68" s="32"/>
      <c r="Q68" s="10"/>
      <c r="R68" s="10"/>
      <c r="S68" s="10"/>
      <c r="T68" s="10"/>
      <c r="U68" s="10"/>
      <c r="V68" s="10"/>
      <c r="W68" s="10"/>
      <c r="X68" s="10"/>
    </row>
    <row r="69">
      <c r="A69" s="234">
        <v>45911.0</v>
      </c>
      <c r="B69" s="217">
        <v>37.0</v>
      </c>
      <c r="C69" s="217" t="s">
        <v>1997</v>
      </c>
      <c r="D69" s="232" t="s">
        <v>54</v>
      </c>
      <c r="E69" s="233">
        <v>4.0</v>
      </c>
      <c r="F69" s="26" t="s">
        <v>211</v>
      </c>
      <c r="G69" s="233"/>
      <c r="H69" s="26"/>
      <c r="I69" s="233"/>
      <c r="J69" s="26"/>
      <c r="K69" s="233"/>
      <c r="L69" s="26"/>
      <c r="M69" s="227"/>
      <c r="N69" s="220"/>
      <c r="O69" s="32"/>
      <c r="P69" s="32"/>
      <c r="Q69" s="10"/>
      <c r="R69" s="10"/>
      <c r="S69" s="10"/>
      <c r="T69" s="10"/>
      <c r="U69" s="10"/>
      <c r="V69" s="10"/>
      <c r="W69" s="10"/>
      <c r="X69" s="10"/>
    </row>
    <row r="70">
      <c r="A70" s="234">
        <v>45909.0</v>
      </c>
      <c r="B70" s="217">
        <v>37.0</v>
      </c>
      <c r="C70" s="217" t="s">
        <v>1998</v>
      </c>
      <c r="D70" s="232" t="s">
        <v>175</v>
      </c>
      <c r="E70" s="233">
        <v>3.0</v>
      </c>
      <c r="F70" s="26" t="s">
        <v>190</v>
      </c>
      <c r="G70" s="233"/>
      <c r="H70" s="26"/>
      <c r="I70" s="233"/>
      <c r="J70" s="26"/>
      <c r="K70" s="233"/>
      <c r="L70" s="26"/>
      <c r="M70" s="220"/>
      <c r="N70" s="220"/>
      <c r="O70" s="32"/>
      <c r="P70" s="32"/>
      <c r="Q70" s="10"/>
      <c r="R70" s="10"/>
      <c r="S70" s="10"/>
      <c r="T70" s="10"/>
      <c r="U70" s="10"/>
      <c r="V70" s="10"/>
      <c r="W70" s="10"/>
      <c r="X70" s="10"/>
    </row>
    <row r="71">
      <c r="A71" s="234">
        <v>45909.0</v>
      </c>
      <c r="B71" s="217">
        <v>37.0</v>
      </c>
      <c r="C71" s="217" t="s">
        <v>1999</v>
      </c>
      <c r="D71" s="232" t="s">
        <v>44</v>
      </c>
      <c r="E71" s="233">
        <v>4.0</v>
      </c>
      <c r="F71" s="26" t="s">
        <v>190</v>
      </c>
      <c r="G71" s="233"/>
      <c r="H71" s="26"/>
      <c r="I71" s="233"/>
      <c r="J71" s="26"/>
      <c r="K71" s="233"/>
      <c r="L71" s="26"/>
      <c r="M71" s="220"/>
      <c r="N71" s="220"/>
      <c r="O71" s="32"/>
      <c r="P71" s="32"/>
      <c r="Q71" s="10"/>
      <c r="R71" s="10"/>
      <c r="S71" s="10"/>
      <c r="T71" s="10"/>
      <c r="U71" s="10"/>
      <c r="V71" s="10"/>
      <c r="W71" s="10"/>
      <c r="X71" s="10"/>
    </row>
    <row r="72">
      <c r="A72" s="234">
        <v>45904.0</v>
      </c>
      <c r="B72" s="217">
        <v>36.0</v>
      </c>
      <c r="C72" s="217" t="s">
        <v>2000</v>
      </c>
      <c r="D72" s="232" t="s">
        <v>84</v>
      </c>
      <c r="E72" s="233"/>
      <c r="F72" s="26"/>
      <c r="G72" s="233">
        <v>7.0</v>
      </c>
      <c r="H72" s="26" t="s">
        <v>190</v>
      </c>
      <c r="I72" s="233"/>
      <c r="J72" s="26"/>
      <c r="K72" s="233"/>
      <c r="L72" s="26"/>
      <c r="M72" s="220"/>
      <c r="N72" s="220"/>
      <c r="O72" s="32"/>
      <c r="P72" s="32"/>
      <c r="Q72" s="10"/>
      <c r="R72" s="10"/>
      <c r="S72" s="10"/>
      <c r="T72" s="10"/>
      <c r="U72" s="10"/>
      <c r="V72" s="10"/>
      <c r="W72" s="10"/>
      <c r="X72" s="10"/>
    </row>
    <row r="73">
      <c r="A73" s="234">
        <v>45904.0</v>
      </c>
      <c r="B73" s="217">
        <v>35.0</v>
      </c>
      <c r="C73" s="217" t="s">
        <v>2001</v>
      </c>
      <c r="D73" s="232" t="s">
        <v>84</v>
      </c>
      <c r="E73" s="233"/>
      <c r="F73" s="26"/>
      <c r="G73" s="233">
        <v>12.0</v>
      </c>
      <c r="H73" s="26" t="s">
        <v>190</v>
      </c>
      <c r="I73" s="233"/>
      <c r="J73" s="26"/>
      <c r="K73" s="233"/>
      <c r="L73" s="26"/>
      <c r="M73" s="220"/>
      <c r="N73" s="220"/>
      <c r="O73" s="32"/>
      <c r="P73" s="32"/>
      <c r="Q73" s="10"/>
      <c r="R73" s="10"/>
      <c r="S73" s="10"/>
      <c r="T73" s="10"/>
      <c r="U73" s="10"/>
      <c r="V73" s="10"/>
      <c r="W73" s="10"/>
      <c r="X73" s="10"/>
    </row>
    <row r="74">
      <c r="A74" s="234">
        <v>45904.0</v>
      </c>
      <c r="B74" s="217">
        <v>36.0</v>
      </c>
      <c r="C74" s="217" t="s">
        <v>2002</v>
      </c>
      <c r="D74" s="232" t="s">
        <v>44</v>
      </c>
      <c r="E74" s="233">
        <v>11.0</v>
      </c>
      <c r="F74" s="26" t="s">
        <v>190</v>
      </c>
      <c r="G74" s="233"/>
      <c r="H74" s="26"/>
      <c r="I74" s="233"/>
      <c r="J74" s="26"/>
      <c r="K74" s="233"/>
      <c r="L74" s="26"/>
      <c r="M74" s="225" t="s">
        <v>2003</v>
      </c>
      <c r="N74" s="220"/>
      <c r="O74" s="32"/>
      <c r="P74" s="32"/>
      <c r="Q74" s="10"/>
      <c r="R74" s="10"/>
      <c r="S74" s="10"/>
      <c r="T74" s="10"/>
      <c r="U74" s="10"/>
      <c r="V74" s="10"/>
      <c r="W74" s="10"/>
      <c r="X74" s="10"/>
    </row>
    <row r="75">
      <c r="A75" s="234">
        <v>45902.0</v>
      </c>
      <c r="B75" s="217">
        <v>36.0</v>
      </c>
      <c r="C75" s="217" t="s">
        <v>2004</v>
      </c>
      <c r="D75" s="232" t="s">
        <v>175</v>
      </c>
      <c r="E75" s="233">
        <v>4.0</v>
      </c>
      <c r="F75" s="26" t="s">
        <v>190</v>
      </c>
      <c r="G75" s="233"/>
      <c r="H75" s="26"/>
      <c r="I75" s="233"/>
      <c r="J75" s="26"/>
      <c r="K75" s="233"/>
      <c r="L75" s="26"/>
      <c r="M75" s="220"/>
      <c r="N75" s="220"/>
      <c r="O75" s="32"/>
      <c r="P75" s="32"/>
      <c r="Q75" s="10"/>
      <c r="R75" s="10"/>
      <c r="S75" s="10"/>
      <c r="T75" s="10"/>
      <c r="U75" s="10"/>
      <c r="V75" s="10"/>
      <c r="W75" s="10"/>
      <c r="X75" s="10"/>
    </row>
    <row r="76">
      <c r="A76" s="234">
        <v>45898.0</v>
      </c>
      <c r="B76" s="217">
        <v>35.0</v>
      </c>
      <c r="C76" s="217" t="s">
        <v>2005</v>
      </c>
      <c r="D76" s="232" t="s">
        <v>44</v>
      </c>
      <c r="E76" s="233">
        <v>5.0</v>
      </c>
      <c r="F76" s="26" t="s">
        <v>190</v>
      </c>
      <c r="G76" s="233"/>
      <c r="H76" s="26"/>
      <c r="I76" s="233"/>
      <c r="J76" s="26"/>
      <c r="K76" s="233"/>
      <c r="L76" s="26"/>
      <c r="M76" s="227"/>
      <c r="N76" s="220"/>
      <c r="O76" s="32"/>
      <c r="P76" s="32"/>
      <c r="Q76" s="10"/>
      <c r="R76" s="10"/>
      <c r="S76" s="10"/>
      <c r="T76" s="10"/>
      <c r="U76" s="10"/>
      <c r="V76" s="10"/>
      <c r="W76" s="10"/>
      <c r="X76" s="10"/>
    </row>
    <row r="77">
      <c r="A77" s="234">
        <v>45897.0</v>
      </c>
      <c r="B77" s="217">
        <v>35.0</v>
      </c>
      <c r="C77" s="217" t="s">
        <v>2006</v>
      </c>
      <c r="D77" s="232" t="s">
        <v>175</v>
      </c>
      <c r="E77" s="233">
        <v>4.0</v>
      </c>
      <c r="F77" s="26" t="s">
        <v>190</v>
      </c>
      <c r="G77" s="233"/>
      <c r="H77" s="26"/>
      <c r="I77" s="233"/>
      <c r="J77" s="26"/>
      <c r="K77" s="233"/>
      <c r="L77" s="26"/>
      <c r="M77" s="225" t="s">
        <v>2007</v>
      </c>
      <c r="N77" s="220"/>
      <c r="O77" s="32"/>
      <c r="P77" s="32"/>
      <c r="Q77" s="10"/>
      <c r="R77" s="10"/>
      <c r="S77" s="10"/>
      <c r="T77" s="10"/>
      <c r="U77" s="10"/>
      <c r="V77" s="10"/>
      <c r="W77" s="10"/>
      <c r="X77" s="10"/>
    </row>
    <row r="78">
      <c r="A78" s="234">
        <v>45896.0</v>
      </c>
      <c r="B78" s="217">
        <v>34.0</v>
      </c>
      <c r="C78" s="217" t="s">
        <v>2008</v>
      </c>
      <c r="D78" s="232" t="s">
        <v>84</v>
      </c>
      <c r="E78" s="233"/>
      <c r="F78" s="26"/>
      <c r="G78" s="233">
        <v>5.0</v>
      </c>
      <c r="H78" s="26" t="s">
        <v>190</v>
      </c>
      <c r="I78" s="233"/>
      <c r="J78" s="26"/>
      <c r="K78" s="233"/>
      <c r="L78" s="26"/>
      <c r="M78" s="220"/>
      <c r="N78" s="220"/>
      <c r="O78" s="32"/>
      <c r="P78" s="32"/>
      <c r="Q78" s="10"/>
      <c r="R78" s="10"/>
      <c r="S78" s="10"/>
      <c r="T78" s="10"/>
      <c r="U78" s="10"/>
      <c r="V78" s="10"/>
      <c r="W78" s="10"/>
      <c r="X78" s="10"/>
    </row>
    <row r="79">
      <c r="A79" s="234">
        <v>45891.0</v>
      </c>
      <c r="B79" s="217">
        <v>34.0</v>
      </c>
      <c r="C79" s="217" t="s">
        <v>2009</v>
      </c>
      <c r="D79" s="232" t="s">
        <v>175</v>
      </c>
      <c r="E79" s="233">
        <v>3.0</v>
      </c>
      <c r="F79" s="26" t="s">
        <v>190</v>
      </c>
      <c r="G79" s="233"/>
      <c r="H79" s="26"/>
      <c r="I79" s="233"/>
      <c r="J79" s="26"/>
      <c r="K79" s="233"/>
      <c r="L79" s="26"/>
      <c r="M79" s="225" t="s">
        <v>2010</v>
      </c>
      <c r="N79" s="220"/>
      <c r="O79" s="32"/>
      <c r="P79" s="32"/>
      <c r="Q79" s="10"/>
      <c r="R79" s="10"/>
      <c r="S79" s="10"/>
      <c r="T79" s="10"/>
      <c r="U79" s="10"/>
      <c r="V79" s="10"/>
      <c r="W79" s="10"/>
      <c r="X79" s="10"/>
    </row>
    <row r="80">
      <c r="A80" s="234">
        <v>45891.0</v>
      </c>
      <c r="B80" s="235">
        <v>34.0</v>
      </c>
      <c r="C80" s="217" t="s">
        <v>2011</v>
      </c>
      <c r="D80" s="232" t="s">
        <v>44</v>
      </c>
      <c r="E80" s="233">
        <v>3.0</v>
      </c>
      <c r="F80" s="26" t="s">
        <v>190</v>
      </c>
      <c r="G80" s="233"/>
      <c r="H80" s="26"/>
      <c r="I80" s="233"/>
      <c r="J80" s="26"/>
      <c r="K80" s="233"/>
      <c r="L80" s="26"/>
      <c r="M80" s="220"/>
      <c r="N80" s="220"/>
      <c r="O80" s="32"/>
      <c r="P80" s="32"/>
      <c r="Q80" s="10"/>
      <c r="R80" s="10"/>
      <c r="S80" s="10"/>
      <c r="T80" s="10"/>
      <c r="U80" s="10"/>
      <c r="V80" s="10"/>
      <c r="W80" s="10"/>
      <c r="X80" s="10"/>
    </row>
    <row r="81">
      <c r="A81" s="234">
        <v>45884.0</v>
      </c>
      <c r="B81" s="217">
        <v>33.0</v>
      </c>
      <c r="C81" s="217" t="s">
        <v>2012</v>
      </c>
      <c r="D81" s="232" t="s">
        <v>175</v>
      </c>
      <c r="E81" s="233">
        <v>2.0</v>
      </c>
      <c r="F81" s="26" t="s">
        <v>190</v>
      </c>
      <c r="G81" s="233"/>
      <c r="H81" s="26"/>
      <c r="I81" s="233"/>
      <c r="J81" s="26"/>
      <c r="K81" s="233"/>
      <c r="L81" s="26"/>
      <c r="M81" s="225" t="s">
        <v>2013</v>
      </c>
      <c r="N81" s="220"/>
      <c r="O81" s="32"/>
      <c r="P81" s="32"/>
      <c r="Q81" s="10"/>
      <c r="R81" s="10"/>
      <c r="S81" s="10"/>
      <c r="T81" s="10"/>
      <c r="U81" s="10"/>
      <c r="V81" s="10"/>
      <c r="W81" s="10"/>
      <c r="X81" s="10"/>
    </row>
    <row r="82">
      <c r="A82" s="234">
        <v>45874.0</v>
      </c>
      <c r="B82" s="217">
        <v>32.0</v>
      </c>
      <c r="C82" s="217" t="s">
        <v>2014</v>
      </c>
      <c r="D82" s="232" t="s">
        <v>175</v>
      </c>
      <c r="E82" s="233">
        <v>10.0</v>
      </c>
      <c r="F82" s="26" t="s">
        <v>190</v>
      </c>
      <c r="G82" s="233"/>
      <c r="H82" s="26"/>
      <c r="I82" s="233"/>
      <c r="J82" s="26"/>
      <c r="K82" s="233"/>
      <c r="L82" s="26"/>
      <c r="M82" s="225" t="s">
        <v>2015</v>
      </c>
      <c r="N82" s="220"/>
      <c r="O82" s="32"/>
      <c r="P82" s="32"/>
      <c r="Q82" s="10"/>
      <c r="R82" s="10"/>
      <c r="S82" s="10"/>
      <c r="T82" s="10"/>
      <c r="U82" s="10"/>
      <c r="V82" s="10"/>
      <c r="W82" s="10"/>
      <c r="X82" s="10"/>
    </row>
    <row r="83">
      <c r="A83" s="234">
        <v>45868.0</v>
      </c>
      <c r="B83" s="217">
        <v>28.0</v>
      </c>
      <c r="C83" s="217" t="s">
        <v>2016</v>
      </c>
      <c r="D83" s="232" t="s">
        <v>2017</v>
      </c>
      <c r="E83" s="233"/>
      <c r="F83" s="26"/>
      <c r="G83" s="233"/>
      <c r="H83" s="26"/>
      <c r="I83" s="233">
        <v>62.0</v>
      </c>
      <c r="J83" s="26" t="s">
        <v>211</v>
      </c>
      <c r="K83" s="233"/>
      <c r="L83" s="26"/>
      <c r="M83" s="220"/>
      <c r="N83" s="220"/>
      <c r="O83" s="32"/>
      <c r="P83" s="32"/>
      <c r="Q83" s="10"/>
      <c r="R83" s="10"/>
      <c r="S83" s="10"/>
      <c r="T83" s="10"/>
      <c r="U83" s="10"/>
      <c r="V83" s="10"/>
      <c r="W83" s="10"/>
      <c r="X83" s="10"/>
    </row>
    <row r="84">
      <c r="A84" s="234">
        <v>45860.0</v>
      </c>
      <c r="B84" s="217">
        <v>30.0</v>
      </c>
      <c r="C84" s="217" t="s">
        <v>2018</v>
      </c>
      <c r="D84" s="232" t="s">
        <v>44</v>
      </c>
      <c r="E84" s="233">
        <v>2.0</v>
      </c>
      <c r="F84" s="26" t="s">
        <v>190</v>
      </c>
      <c r="G84" s="233"/>
      <c r="H84" s="26"/>
      <c r="I84" s="233"/>
      <c r="J84" s="26"/>
      <c r="K84" s="233"/>
      <c r="L84" s="26"/>
      <c r="M84" s="225" t="s">
        <v>2013</v>
      </c>
      <c r="N84" s="220"/>
      <c r="O84" s="32"/>
      <c r="P84" s="32"/>
      <c r="Q84" s="10"/>
      <c r="R84" s="10"/>
      <c r="S84" s="10"/>
      <c r="T84" s="10"/>
      <c r="U84" s="10"/>
      <c r="V84" s="10"/>
      <c r="W84" s="10"/>
      <c r="X84" s="10"/>
    </row>
    <row r="85">
      <c r="A85" s="234">
        <v>45860.0</v>
      </c>
      <c r="B85" s="217">
        <v>30.0</v>
      </c>
      <c r="C85" s="217" t="s">
        <v>2019</v>
      </c>
      <c r="D85" s="232" t="s">
        <v>84</v>
      </c>
      <c r="E85" s="233"/>
      <c r="F85" s="26"/>
      <c r="G85" s="233">
        <v>1.0</v>
      </c>
      <c r="H85" s="26" t="s">
        <v>190</v>
      </c>
      <c r="I85" s="233"/>
      <c r="J85" s="26"/>
      <c r="K85" s="233"/>
      <c r="L85" s="26"/>
      <c r="M85" s="220"/>
      <c r="N85" s="220"/>
      <c r="O85" s="32"/>
      <c r="P85" s="32"/>
      <c r="Q85" s="10"/>
      <c r="R85" s="10"/>
      <c r="S85" s="10"/>
      <c r="T85" s="10"/>
      <c r="U85" s="10"/>
      <c r="V85" s="10"/>
      <c r="W85" s="10"/>
      <c r="X85" s="10"/>
    </row>
    <row r="86">
      <c r="A86" s="234">
        <v>45856.0</v>
      </c>
      <c r="B86" s="235">
        <v>29.0</v>
      </c>
      <c r="C86" s="221" t="s">
        <v>2020</v>
      </c>
      <c r="D86" s="232" t="s">
        <v>84</v>
      </c>
      <c r="E86" s="233"/>
      <c r="F86" s="26"/>
      <c r="G86" s="233">
        <v>2.0</v>
      </c>
      <c r="H86" s="26" t="s">
        <v>190</v>
      </c>
      <c r="I86" s="233"/>
      <c r="J86" s="26"/>
      <c r="K86" s="233"/>
      <c r="L86" s="26"/>
      <c r="M86" s="220"/>
      <c r="N86" s="220"/>
      <c r="O86" s="32"/>
      <c r="P86" s="32"/>
      <c r="Q86" s="10"/>
      <c r="R86" s="10"/>
      <c r="S86" s="10"/>
      <c r="T86" s="10"/>
      <c r="U86" s="10"/>
      <c r="V86" s="10"/>
      <c r="W86" s="10"/>
      <c r="X86" s="10"/>
    </row>
    <row r="87">
      <c r="A87" s="234">
        <v>45855.0</v>
      </c>
      <c r="B87" s="235">
        <v>29.0</v>
      </c>
      <c r="C87" s="221" t="s">
        <v>2021</v>
      </c>
      <c r="D87" s="232" t="s">
        <v>175</v>
      </c>
      <c r="E87" s="233">
        <v>2.0</v>
      </c>
      <c r="F87" s="26" t="s">
        <v>190</v>
      </c>
      <c r="G87" s="233"/>
      <c r="H87" s="26"/>
      <c r="I87" s="233"/>
      <c r="J87" s="26"/>
      <c r="K87" s="233"/>
      <c r="L87" s="26"/>
      <c r="M87" s="220"/>
      <c r="N87" s="220"/>
      <c r="O87" s="32"/>
      <c r="P87" s="32"/>
      <c r="Q87" s="10"/>
      <c r="R87" s="10"/>
      <c r="S87" s="10"/>
      <c r="T87" s="10"/>
      <c r="U87" s="10"/>
      <c r="V87" s="10"/>
      <c r="W87" s="10"/>
      <c r="X87" s="10"/>
    </row>
    <row r="88">
      <c r="A88" s="234">
        <v>45855.0</v>
      </c>
      <c r="B88" s="217">
        <v>29.0</v>
      </c>
      <c r="C88" s="217" t="s">
        <v>2022</v>
      </c>
      <c r="D88" s="232" t="s">
        <v>44</v>
      </c>
      <c r="E88" s="233">
        <v>7.0</v>
      </c>
      <c r="F88" s="26" t="s">
        <v>190</v>
      </c>
      <c r="G88" s="233"/>
      <c r="H88" s="26"/>
      <c r="I88" s="233"/>
      <c r="J88" s="26"/>
      <c r="K88" s="233"/>
      <c r="L88" s="26"/>
      <c r="M88" s="227"/>
      <c r="N88" s="220"/>
      <c r="O88" s="32"/>
      <c r="P88" s="32"/>
      <c r="Q88" s="10"/>
      <c r="R88" s="10"/>
      <c r="S88" s="10"/>
      <c r="T88" s="10"/>
      <c r="U88" s="10"/>
      <c r="V88" s="10"/>
      <c r="W88" s="10"/>
      <c r="X88" s="10"/>
    </row>
    <row r="89">
      <c r="A89" s="234">
        <v>45849.0</v>
      </c>
      <c r="B89" s="217">
        <v>28.0</v>
      </c>
      <c r="C89" s="217" t="s">
        <v>2023</v>
      </c>
      <c r="D89" s="232" t="s">
        <v>84</v>
      </c>
      <c r="E89" s="233"/>
      <c r="F89" s="26"/>
      <c r="G89" s="233">
        <v>1.0</v>
      </c>
      <c r="H89" s="26" t="s">
        <v>190</v>
      </c>
      <c r="I89" s="233"/>
      <c r="J89" s="26"/>
      <c r="K89" s="233"/>
      <c r="L89" s="26"/>
      <c r="M89" s="220"/>
      <c r="N89" s="220"/>
      <c r="O89" s="32"/>
      <c r="P89" s="32"/>
      <c r="Q89" s="10"/>
      <c r="R89" s="10"/>
      <c r="S89" s="10"/>
      <c r="T89" s="10"/>
      <c r="U89" s="10"/>
      <c r="V89" s="10"/>
      <c r="W89" s="10"/>
      <c r="X89" s="10"/>
    </row>
    <row r="90">
      <c r="A90" s="234">
        <v>45848.0</v>
      </c>
      <c r="B90" s="217">
        <v>28.0</v>
      </c>
      <c r="C90" s="217" t="s">
        <v>2024</v>
      </c>
      <c r="D90" s="232" t="s">
        <v>175</v>
      </c>
      <c r="E90" s="233">
        <v>4.0</v>
      </c>
      <c r="F90" s="26" t="s">
        <v>190</v>
      </c>
      <c r="G90" s="233"/>
      <c r="H90" s="26"/>
      <c r="I90" s="233"/>
      <c r="J90" s="26"/>
      <c r="K90" s="233"/>
      <c r="L90" s="26"/>
      <c r="M90" s="224" t="s">
        <v>2025</v>
      </c>
      <c r="N90" s="220"/>
      <c r="O90" s="32"/>
      <c r="P90" s="32"/>
      <c r="Q90" s="10"/>
      <c r="R90" s="10"/>
      <c r="S90" s="10"/>
      <c r="T90" s="10"/>
      <c r="U90" s="10"/>
      <c r="V90" s="10"/>
      <c r="W90" s="10"/>
      <c r="X90" s="10"/>
    </row>
    <row r="91">
      <c r="A91" s="234">
        <v>45847.0</v>
      </c>
      <c r="B91" s="217">
        <v>28.0</v>
      </c>
      <c r="C91" s="217" t="s">
        <v>2026</v>
      </c>
      <c r="D91" s="232" t="s">
        <v>44</v>
      </c>
      <c r="E91" s="233">
        <v>8.0</v>
      </c>
      <c r="F91" s="26" t="s">
        <v>190</v>
      </c>
      <c r="G91" s="233"/>
      <c r="H91" s="26"/>
      <c r="I91" s="233"/>
      <c r="J91" s="26"/>
      <c r="K91" s="233"/>
      <c r="L91" s="26"/>
      <c r="M91" s="225" t="s">
        <v>2027</v>
      </c>
      <c r="N91" s="220"/>
      <c r="O91" s="32"/>
      <c r="P91" s="32"/>
      <c r="Q91" s="10"/>
      <c r="R91" s="10"/>
      <c r="S91" s="10"/>
      <c r="T91" s="10"/>
      <c r="U91" s="10"/>
      <c r="V91" s="10"/>
      <c r="W91" s="10"/>
      <c r="X91" s="10"/>
    </row>
    <row r="92">
      <c r="A92" s="234">
        <v>45842.0</v>
      </c>
      <c r="B92" s="217">
        <v>27.0</v>
      </c>
      <c r="C92" s="217" t="s">
        <v>2028</v>
      </c>
      <c r="D92" s="232" t="s">
        <v>84</v>
      </c>
      <c r="E92" s="233"/>
      <c r="F92" s="26"/>
      <c r="G92" s="233">
        <v>10.0</v>
      </c>
      <c r="H92" s="26" t="s">
        <v>190</v>
      </c>
      <c r="I92" s="233"/>
      <c r="J92" s="26"/>
      <c r="K92" s="233"/>
      <c r="L92" s="26"/>
      <c r="M92" s="225" t="s">
        <v>2029</v>
      </c>
      <c r="N92" s="220"/>
      <c r="O92" s="32"/>
      <c r="P92" s="32"/>
      <c r="Q92" s="10"/>
      <c r="R92" s="10"/>
      <c r="S92" s="10"/>
      <c r="T92" s="10"/>
      <c r="U92" s="10"/>
      <c r="V92" s="10"/>
      <c r="W92" s="10"/>
      <c r="X92" s="10"/>
    </row>
    <row r="93">
      <c r="A93" s="234">
        <v>45840.0</v>
      </c>
      <c r="B93" s="235">
        <v>27.0</v>
      </c>
      <c r="C93" s="221" t="s">
        <v>2030</v>
      </c>
      <c r="D93" s="232" t="s">
        <v>2017</v>
      </c>
      <c r="E93" s="233"/>
      <c r="F93" s="26"/>
      <c r="G93" s="233"/>
      <c r="H93" s="26" t="s">
        <v>190</v>
      </c>
      <c r="I93" s="233">
        <v>63.0</v>
      </c>
      <c r="J93" s="26"/>
      <c r="K93" s="233"/>
      <c r="L93" s="26"/>
      <c r="M93" s="227"/>
      <c r="N93" s="220"/>
      <c r="O93" s="32"/>
      <c r="P93" s="32"/>
      <c r="Q93" s="10"/>
      <c r="R93" s="10"/>
      <c r="S93" s="10"/>
      <c r="T93" s="10"/>
      <c r="U93" s="10"/>
      <c r="V93" s="10"/>
      <c r="W93" s="10"/>
      <c r="X93" s="10"/>
    </row>
    <row r="94">
      <c r="A94" s="216">
        <v>45839.0</v>
      </c>
      <c r="B94" s="221">
        <v>27.0</v>
      </c>
      <c r="C94" s="221" t="s">
        <v>2031</v>
      </c>
      <c r="D94" s="232" t="s">
        <v>175</v>
      </c>
      <c r="E94" s="233">
        <v>9.0</v>
      </c>
      <c r="F94" s="26" t="s">
        <v>190</v>
      </c>
      <c r="G94" s="233"/>
      <c r="H94" s="26"/>
      <c r="I94" s="233"/>
      <c r="J94" s="26"/>
      <c r="K94" s="233"/>
      <c r="L94" s="26"/>
      <c r="M94" s="225" t="s">
        <v>2032</v>
      </c>
      <c r="N94" s="220"/>
      <c r="O94" s="32"/>
      <c r="P94" s="32"/>
      <c r="Q94" s="10"/>
      <c r="R94" s="10"/>
      <c r="S94" s="10"/>
      <c r="T94" s="10"/>
      <c r="U94" s="10"/>
      <c r="V94" s="10"/>
      <c r="W94" s="10"/>
      <c r="X94" s="10"/>
    </row>
    <row r="95">
      <c r="A95" s="234">
        <v>45838.0</v>
      </c>
      <c r="B95" s="217">
        <v>27.0</v>
      </c>
      <c r="C95" s="217" t="s">
        <v>2033</v>
      </c>
      <c r="D95" s="232" t="s">
        <v>44</v>
      </c>
      <c r="E95" s="233">
        <v>7.0</v>
      </c>
      <c r="F95" s="26" t="s">
        <v>190</v>
      </c>
      <c r="G95" s="233"/>
      <c r="H95" s="26"/>
      <c r="I95" s="233"/>
      <c r="J95" s="26"/>
      <c r="K95" s="233"/>
      <c r="L95" s="26"/>
      <c r="M95" s="225" t="s">
        <v>2034</v>
      </c>
      <c r="N95" s="220"/>
      <c r="O95" s="32"/>
      <c r="P95" s="32"/>
      <c r="Q95" s="10"/>
      <c r="R95" s="10"/>
      <c r="S95" s="10"/>
      <c r="T95" s="10"/>
      <c r="U95" s="10"/>
      <c r="V95" s="10"/>
      <c r="W95" s="10"/>
      <c r="X95" s="10"/>
    </row>
    <row r="96">
      <c r="A96" s="234">
        <v>45836.0</v>
      </c>
      <c r="B96" s="217">
        <v>26.0</v>
      </c>
      <c r="C96" s="217" t="s">
        <v>2035</v>
      </c>
      <c r="D96" s="232" t="s">
        <v>84</v>
      </c>
      <c r="E96" s="233"/>
      <c r="F96" s="26"/>
      <c r="G96" s="233">
        <v>4.0</v>
      </c>
      <c r="H96" s="26" t="s">
        <v>190</v>
      </c>
      <c r="I96" s="233"/>
      <c r="J96" s="26"/>
      <c r="K96" s="233"/>
      <c r="L96" s="26"/>
      <c r="M96" s="224"/>
      <c r="N96" s="220"/>
      <c r="O96" s="32"/>
      <c r="P96" s="32"/>
      <c r="Q96" s="10"/>
      <c r="R96" s="10"/>
      <c r="S96" s="10"/>
      <c r="T96" s="10"/>
      <c r="U96" s="10"/>
      <c r="V96" s="10"/>
      <c r="W96" s="10"/>
      <c r="X96" s="10"/>
    </row>
    <row r="97">
      <c r="A97" s="234">
        <v>45834.0</v>
      </c>
      <c r="B97" s="217">
        <v>26.0</v>
      </c>
      <c r="C97" s="217" t="s">
        <v>2036</v>
      </c>
      <c r="D97" s="232" t="s">
        <v>175</v>
      </c>
      <c r="E97" s="233">
        <v>4.0</v>
      </c>
      <c r="F97" s="26" t="s">
        <v>190</v>
      </c>
      <c r="G97" s="233"/>
      <c r="H97" s="26"/>
      <c r="I97" s="233"/>
      <c r="J97" s="26"/>
      <c r="K97" s="233"/>
      <c r="L97" s="26"/>
      <c r="M97" s="225" t="s">
        <v>2037</v>
      </c>
      <c r="N97" s="220"/>
      <c r="O97" s="32"/>
      <c r="P97" s="32"/>
      <c r="Q97" s="10"/>
      <c r="R97" s="10"/>
      <c r="S97" s="10"/>
      <c r="T97" s="10"/>
      <c r="U97" s="10"/>
      <c r="V97" s="10"/>
      <c r="W97" s="10"/>
      <c r="X97" s="10"/>
    </row>
    <row r="98">
      <c r="A98" s="234">
        <v>45832.0</v>
      </c>
      <c r="B98" s="235">
        <v>26.0</v>
      </c>
      <c r="C98" s="235" t="s">
        <v>2038</v>
      </c>
      <c r="D98" s="232" t="s">
        <v>44</v>
      </c>
      <c r="E98" s="233">
        <v>5.0</v>
      </c>
      <c r="F98" s="26" t="s">
        <v>190</v>
      </c>
      <c r="G98" s="233"/>
      <c r="H98" s="26"/>
      <c r="I98" s="233"/>
      <c r="J98" s="26"/>
      <c r="K98" s="233"/>
      <c r="L98" s="26"/>
      <c r="M98" s="225" t="s">
        <v>2039</v>
      </c>
      <c r="N98" s="220"/>
      <c r="O98" s="32"/>
      <c r="P98" s="32"/>
      <c r="Q98" s="10"/>
      <c r="R98" s="10"/>
      <c r="S98" s="10"/>
      <c r="T98" s="10"/>
      <c r="U98" s="10"/>
      <c r="V98" s="10"/>
      <c r="W98" s="10"/>
      <c r="X98" s="10"/>
    </row>
    <row r="99">
      <c r="A99" s="234">
        <v>45832.0</v>
      </c>
      <c r="B99" s="235">
        <v>25.0</v>
      </c>
      <c r="C99" s="217" t="s">
        <v>2040</v>
      </c>
      <c r="D99" s="232" t="s">
        <v>84</v>
      </c>
      <c r="E99" s="233"/>
      <c r="F99" s="26"/>
      <c r="G99" s="233">
        <v>12.0</v>
      </c>
      <c r="H99" s="26" t="s">
        <v>190</v>
      </c>
      <c r="I99" s="233"/>
      <c r="J99" s="26"/>
      <c r="K99" s="233"/>
      <c r="L99" s="26"/>
      <c r="M99" s="224" t="s">
        <v>2041</v>
      </c>
      <c r="N99" s="220"/>
      <c r="O99" s="32"/>
      <c r="P99" s="32"/>
      <c r="Q99" s="10"/>
      <c r="R99" s="10"/>
      <c r="S99" s="10"/>
      <c r="T99" s="10"/>
      <c r="U99" s="10"/>
      <c r="V99" s="10"/>
      <c r="W99" s="10"/>
      <c r="X99" s="10"/>
    </row>
    <row r="100">
      <c r="A100" s="234">
        <v>45827.0</v>
      </c>
      <c r="B100" s="235">
        <v>25.0</v>
      </c>
      <c r="C100" s="235" t="s">
        <v>2042</v>
      </c>
      <c r="D100" s="232" t="s">
        <v>44</v>
      </c>
      <c r="E100" s="233">
        <v>3.0</v>
      </c>
      <c r="F100" s="26" t="s">
        <v>190</v>
      </c>
      <c r="G100" s="233"/>
      <c r="H100" s="26"/>
      <c r="I100" s="233"/>
      <c r="J100" s="26"/>
      <c r="K100" s="233"/>
      <c r="L100" s="26"/>
      <c r="M100" s="224"/>
      <c r="N100" s="220"/>
      <c r="O100" s="32"/>
      <c r="P100" s="32"/>
      <c r="Q100" s="10"/>
      <c r="R100" s="10"/>
      <c r="S100" s="10"/>
      <c r="T100" s="10"/>
      <c r="U100" s="10"/>
      <c r="V100" s="10"/>
      <c r="W100" s="10"/>
      <c r="X100" s="10"/>
    </row>
    <row r="101">
      <c r="A101" s="234">
        <v>45826.0</v>
      </c>
      <c r="B101" s="235">
        <v>25.0</v>
      </c>
      <c r="C101" s="235" t="s">
        <v>2043</v>
      </c>
      <c r="D101" s="232" t="s">
        <v>175</v>
      </c>
      <c r="E101" s="233">
        <v>4.0</v>
      </c>
      <c r="F101" s="26" t="s">
        <v>190</v>
      </c>
      <c r="G101" s="233"/>
      <c r="H101" s="26"/>
      <c r="I101" s="233"/>
      <c r="J101" s="26"/>
      <c r="K101" s="233"/>
      <c r="L101" s="26"/>
      <c r="M101" s="225" t="s">
        <v>2044</v>
      </c>
      <c r="N101" s="220"/>
      <c r="O101" s="32"/>
      <c r="P101" s="32"/>
      <c r="Q101" s="10"/>
      <c r="R101" s="10"/>
      <c r="S101" s="10"/>
      <c r="T101" s="10"/>
      <c r="U101" s="10"/>
      <c r="V101" s="10"/>
      <c r="W101" s="10"/>
      <c r="X101" s="10"/>
    </row>
    <row r="102">
      <c r="A102" s="234">
        <v>45824.0</v>
      </c>
      <c r="B102" s="235">
        <v>24.0</v>
      </c>
      <c r="C102" s="235" t="s">
        <v>2045</v>
      </c>
      <c r="D102" s="232" t="s">
        <v>44</v>
      </c>
      <c r="E102" s="233">
        <v>4.0</v>
      </c>
      <c r="F102" s="26" t="s">
        <v>190</v>
      </c>
      <c r="G102" s="233"/>
      <c r="H102" s="26"/>
      <c r="I102" s="233"/>
      <c r="J102" s="26"/>
      <c r="K102" s="233"/>
      <c r="L102" s="26"/>
      <c r="M102" s="225" t="s">
        <v>2046</v>
      </c>
      <c r="N102" s="220"/>
      <c r="O102" s="32"/>
      <c r="P102" s="32"/>
      <c r="Q102" s="10"/>
      <c r="R102" s="10"/>
      <c r="S102" s="10"/>
      <c r="T102" s="10"/>
      <c r="U102" s="10"/>
      <c r="V102" s="10"/>
      <c r="W102" s="10"/>
      <c r="X102" s="10"/>
    </row>
    <row r="103" ht="15.0" customHeight="1">
      <c r="A103" s="234">
        <v>45821.0</v>
      </c>
      <c r="B103" s="235">
        <v>24.0</v>
      </c>
      <c r="C103" s="235" t="s">
        <v>2047</v>
      </c>
      <c r="D103" s="232" t="s">
        <v>84</v>
      </c>
      <c r="E103" s="233"/>
      <c r="F103" s="26"/>
      <c r="G103" s="233">
        <v>3.0</v>
      </c>
      <c r="H103" s="26" t="s">
        <v>190</v>
      </c>
      <c r="I103" s="233"/>
      <c r="J103" s="26"/>
      <c r="K103" s="233"/>
      <c r="L103" s="26"/>
      <c r="M103" s="224"/>
      <c r="N103" s="220"/>
      <c r="O103" s="32"/>
      <c r="P103" s="32"/>
      <c r="Q103" s="10"/>
      <c r="R103" s="10"/>
      <c r="S103" s="10"/>
      <c r="T103" s="10"/>
      <c r="U103" s="10"/>
      <c r="V103" s="10"/>
      <c r="W103" s="10"/>
      <c r="X103" s="10"/>
    </row>
    <row r="104">
      <c r="A104" s="234">
        <v>45820.0</v>
      </c>
      <c r="B104" s="235">
        <v>23.0</v>
      </c>
      <c r="C104" s="235" t="s">
        <v>2048</v>
      </c>
      <c r="D104" s="232" t="s">
        <v>84</v>
      </c>
      <c r="E104" s="233"/>
      <c r="F104" s="26"/>
      <c r="G104" s="233">
        <v>5.0</v>
      </c>
      <c r="H104" s="26" t="s">
        <v>190</v>
      </c>
      <c r="I104" s="233"/>
      <c r="J104" s="26"/>
      <c r="K104" s="233"/>
      <c r="L104" s="26"/>
      <c r="M104" s="224"/>
      <c r="N104" s="220"/>
      <c r="O104" s="32"/>
      <c r="P104" s="32"/>
      <c r="Q104" s="10"/>
      <c r="R104" s="10"/>
      <c r="S104" s="10"/>
      <c r="T104" s="10"/>
      <c r="U104" s="10"/>
      <c r="V104" s="10"/>
      <c r="W104" s="10"/>
      <c r="X104" s="10"/>
    </row>
    <row r="105">
      <c r="A105" s="234">
        <v>45819.0</v>
      </c>
      <c r="B105" s="235">
        <v>24.0</v>
      </c>
      <c r="C105" s="235" t="s">
        <v>2049</v>
      </c>
      <c r="D105" s="232" t="s">
        <v>175</v>
      </c>
      <c r="E105" s="233">
        <v>3.0</v>
      </c>
      <c r="F105" s="26" t="s">
        <v>190</v>
      </c>
      <c r="G105" s="233"/>
      <c r="H105" s="26"/>
      <c r="I105" s="233"/>
      <c r="J105" s="26"/>
      <c r="K105" s="233"/>
      <c r="L105" s="26"/>
      <c r="M105" s="224" t="s">
        <v>2050</v>
      </c>
      <c r="N105" s="220"/>
      <c r="O105" s="147"/>
      <c r="P105" s="147"/>
      <c r="Q105" s="10"/>
      <c r="R105" s="10"/>
      <c r="S105" s="10"/>
      <c r="T105" s="10"/>
      <c r="U105" s="10"/>
      <c r="V105" s="10"/>
      <c r="W105" s="10"/>
      <c r="X105" s="10"/>
    </row>
    <row r="106">
      <c r="A106" s="234">
        <v>45818.0</v>
      </c>
      <c r="B106" s="235">
        <v>22.0</v>
      </c>
      <c r="C106" s="235" t="s">
        <v>2051</v>
      </c>
      <c r="D106" s="232" t="s">
        <v>84</v>
      </c>
      <c r="E106" s="233"/>
      <c r="F106" s="26"/>
      <c r="G106" s="233">
        <v>3.0</v>
      </c>
      <c r="H106" s="26" t="s">
        <v>190</v>
      </c>
      <c r="I106" s="233"/>
      <c r="J106" s="26"/>
      <c r="K106" s="233"/>
      <c r="L106" s="26"/>
      <c r="M106" s="224"/>
      <c r="N106" s="220"/>
      <c r="O106" s="32"/>
      <c r="P106" s="32"/>
      <c r="Q106" s="10"/>
      <c r="R106" s="10"/>
      <c r="S106" s="10"/>
      <c r="T106" s="10"/>
      <c r="U106" s="10"/>
      <c r="V106" s="10"/>
      <c r="W106" s="10"/>
      <c r="X106" s="10"/>
    </row>
    <row r="107">
      <c r="A107" s="234">
        <v>45812.0</v>
      </c>
      <c r="B107" s="235">
        <v>23.0</v>
      </c>
      <c r="C107" s="235" t="s">
        <v>2052</v>
      </c>
      <c r="D107" s="232" t="s">
        <v>44</v>
      </c>
      <c r="E107" s="233">
        <v>5.0</v>
      </c>
      <c r="F107" s="26" t="s">
        <v>190</v>
      </c>
      <c r="G107" s="233"/>
      <c r="H107" s="26"/>
      <c r="I107" s="233"/>
      <c r="J107" s="26"/>
      <c r="K107" s="233"/>
      <c r="L107" s="26"/>
      <c r="M107" s="224"/>
      <c r="N107" s="220"/>
      <c r="O107" s="32"/>
      <c r="P107" s="32"/>
      <c r="Q107" s="10"/>
      <c r="R107" s="10"/>
      <c r="S107" s="10"/>
      <c r="T107" s="10"/>
      <c r="U107" s="10"/>
      <c r="V107" s="10"/>
      <c r="W107" s="10"/>
      <c r="X107" s="10"/>
    </row>
    <row r="108">
      <c r="A108" s="234">
        <v>45811.0</v>
      </c>
      <c r="B108" s="235">
        <v>23.0</v>
      </c>
      <c r="C108" s="235" t="s">
        <v>2053</v>
      </c>
      <c r="D108" s="232" t="s">
        <v>175</v>
      </c>
      <c r="E108" s="233">
        <v>7.0</v>
      </c>
      <c r="F108" s="26" t="s">
        <v>190</v>
      </c>
      <c r="G108" s="233"/>
      <c r="H108" s="26"/>
      <c r="I108" s="233"/>
      <c r="J108" s="26"/>
      <c r="K108" s="233"/>
      <c r="L108" s="26"/>
      <c r="M108" s="224" t="s">
        <v>2054</v>
      </c>
      <c r="N108" s="220"/>
      <c r="O108" s="32"/>
      <c r="P108" s="32"/>
      <c r="Q108" s="10"/>
      <c r="R108" s="10"/>
      <c r="S108" s="10"/>
      <c r="T108" s="10"/>
      <c r="U108" s="10"/>
      <c r="V108" s="10"/>
      <c r="W108" s="10"/>
      <c r="X108" s="10"/>
    </row>
    <row r="109">
      <c r="A109" s="234">
        <v>45805.0</v>
      </c>
      <c r="B109" s="235">
        <v>22.0</v>
      </c>
      <c r="C109" s="235" t="s">
        <v>2055</v>
      </c>
      <c r="D109" s="232" t="s">
        <v>44</v>
      </c>
      <c r="E109" s="233">
        <v>7.0</v>
      </c>
      <c r="F109" s="26" t="s">
        <v>190</v>
      </c>
      <c r="G109" s="233"/>
      <c r="H109" s="26"/>
      <c r="I109" s="233"/>
      <c r="J109" s="26"/>
      <c r="K109" s="233"/>
      <c r="L109" s="26"/>
      <c r="M109" s="225" t="s">
        <v>2056</v>
      </c>
      <c r="N109" s="220"/>
      <c r="O109" s="32"/>
      <c r="P109" s="32"/>
      <c r="Q109" s="10"/>
      <c r="R109" s="10"/>
      <c r="S109" s="10"/>
      <c r="T109" s="10"/>
      <c r="U109" s="10"/>
      <c r="V109" s="10"/>
      <c r="W109" s="10"/>
      <c r="X109" s="10"/>
    </row>
    <row r="110">
      <c r="A110" s="234">
        <v>45803.0</v>
      </c>
      <c r="B110" s="235">
        <v>21.0</v>
      </c>
      <c r="C110" s="235" t="s">
        <v>2057</v>
      </c>
      <c r="D110" s="232" t="s">
        <v>84</v>
      </c>
      <c r="E110" s="233"/>
      <c r="F110" s="26"/>
      <c r="G110" s="233">
        <v>11.0</v>
      </c>
      <c r="H110" s="26" t="s">
        <v>190</v>
      </c>
      <c r="I110" s="233"/>
      <c r="J110" s="26"/>
      <c r="K110" s="233"/>
      <c r="L110" s="26"/>
      <c r="M110" s="224"/>
      <c r="N110" s="220"/>
      <c r="O110" s="32"/>
      <c r="P110" s="32"/>
      <c r="Q110" s="10"/>
      <c r="R110" s="10"/>
      <c r="S110" s="10"/>
      <c r="T110" s="10"/>
      <c r="U110" s="10"/>
      <c r="V110" s="10"/>
      <c r="W110" s="10"/>
      <c r="X110" s="10"/>
    </row>
    <row r="111">
      <c r="A111" s="234">
        <v>45800.0</v>
      </c>
      <c r="B111" s="235">
        <v>21.0</v>
      </c>
      <c r="C111" s="235" t="s">
        <v>2058</v>
      </c>
      <c r="D111" s="232" t="s">
        <v>44</v>
      </c>
      <c r="E111" s="233">
        <v>12.0</v>
      </c>
      <c r="F111" s="26" t="s">
        <v>190</v>
      </c>
      <c r="G111" s="233"/>
      <c r="H111" s="26"/>
      <c r="I111" s="233"/>
      <c r="J111" s="26"/>
      <c r="K111" s="233"/>
      <c r="L111" s="26"/>
      <c r="M111" s="225" t="s">
        <v>2059</v>
      </c>
      <c r="N111" s="220"/>
      <c r="O111" s="32"/>
      <c r="P111" s="32"/>
      <c r="Q111" s="10"/>
      <c r="R111" s="10"/>
      <c r="S111" s="10"/>
      <c r="T111" s="10"/>
      <c r="U111" s="10"/>
      <c r="V111" s="10"/>
      <c r="W111" s="10"/>
      <c r="X111" s="10"/>
    </row>
    <row r="112">
      <c r="A112" s="234">
        <v>45799.0</v>
      </c>
      <c r="B112" s="235">
        <v>21.0</v>
      </c>
      <c r="C112" s="235" t="s">
        <v>2060</v>
      </c>
      <c r="D112" s="232" t="s">
        <v>175</v>
      </c>
      <c r="E112" s="233">
        <v>13.0</v>
      </c>
      <c r="F112" s="26" t="s">
        <v>190</v>
      </c>
      <c r="G112" s="233">
        <v>2.0</v>
      </c>
      <c r="H112" s="26" t="s">
        <v>190</v>
      </c>
      <c r="I112" s="233"/>
      <c r="J112" s="26"/>
      <c r="K112" s="233"/>
      <c r="L112" s="26"/>
      <c r="M112" s="224" t="s">
        <v>2061</v>
      </c>
      <c r="N112" s="220"/>
      <c r="O112" s="32"/>
      <c r="P112" s="32"/>
      <c r="Q112" s="10"/>
      <c r="R112" s="10"/>
      <c r="S112" s="10"/>
      <c r="T112" s="10"/>
      <c r="U112" s="10"/>
      <c r="V112" s="10"/>
      <c r="W112" s="10"/>
      <c r="X112" s="10"/>
    </row>
    <row r="113">
      <c r="A113" s="234">
        <v>45794.0</v>
      </c>
      <c r="B113" s="235">
        <v>20.0</v>
      </c>
      <c r="C113" s="217" t="s">
        <v>2062</v>
      </c>
      <c r="D113" s="232" t="s">
        <v>44</v>
      </c>
      <c r="E113" s="233">
        <v>3.0</v>
      </c>
      <c r="F113" s="26" t="s">
        <v>190</v>
      </c>
      <c r="G113" s="233"/>
      <c r="H113" s="26"/>
      <c r="I113" s="233"/>
      <c r="J113" s="26"/>
      <c r="K113" s="233"/>
      <c r="L113" s="26"/>
      <c r="M113" s="225" t="s">
        <v>2063</v>
      </c>
      <c r="N113" s="220"/>
      <c r="O113" s="32"/>
      <c r="P113" s="32"/>
      <c r="Q113" s="10"/>
      <c r="R113" s="10"/>
      <c r="S113" s="10"/>
      <c r="T113" s="10"/>
      <c r="U113" s="10"/>
      <c r="V113" s="10"/>
      <c r="W113" s="10"/>
      <c r="X113" s="10"/>
    </row>
    <row r="114">
      <c r="A114" s="234">
        <v>45793.0</v>
      </c>
      <c r="B114" s="235">
        <v>20.0</v>
      </c>
      <c r="C114" s="235" t="s">
        <v>2064</v>
      </c>
      <c r="D114" s="232" t="s">
        <v>84</v>
      </c>
      <c r="E114" s="233"/>
      <c r="F114" s="26"/>
      <c r="G114" s="233">
        <v>7.0</v>
      </c>
      <c r="H114" s="26" t="s">
        <v>190</v>
      </c>
      <c r="I114" s="233"/>
      <c r="J114" s="26"/>
      <c r="K114" s="233"/>
      <c r="L114" s="26"/>
      <c r="M114" s="225" t="s">
        <v>2065</v>
      </c>
      <c r="N114" s="220"/>
      <c r="O114" s="32"/>
      <c r="P114" s="32"/>
      <c r="Q114" s="10"/>
      <c r="R114" s="10"/>
      <c r="S114" s="10"/>
      <c r="T114" s="10"/>
      <c r="U114" s="10"/>
      <c r="V114" s="10"/>
      <c r="W114" s="10"/>
      <c r="X114" s="10"/>
    </row>
    <row r="115">
      <c r="A115" s="234">
        <v>45790.0</v>
      </c>
      <c r="B115" s="235">
        <v>19.0</v>
      </c>
      <c r="C115" s="235" t="s">
        <v>2066</v>
      </c>
      <c r="D115" s="232" t="s">
        <v>84</v>
      </c>
      <c r="E115" s="233"/>
      <c r="F115" s="26"/>
      <c r="G115" s="233">
        <v>8.0</v>
      </c>
      <c r="H115" s="26" t="s">
        <v>190</v>
      </c>
      <c r="I115" s="233"/>
      <c r="J115" s="26"/>
      <c r="K115" s="233"/>
      <c r="L115" s="26"/>
      <c r="M115" s="225" t="s">
        <v>2067</v>
      </c>
      <c r="N115" s="220"/>
      <c r="O115" s="147"/>
      <c r="P115" s="147"/>
      <c r="Q115" s="10"/>
      <c r="R115" s="10"/>
      <c r="S115" s="10"/>
      <c r="T115" s="10"/>
      <c r="U115" s="10"/>
      <c r="V115" s="10"/>
      <c r="W115" s="10"/>
      <c r="X115" s="10"/>
    </row>
    <row r="116">
      <c r="A116" s="234">
        <v>45786.0</v>
      </c>
      <c r="B116" s="235">
        <v>19.0</v>
      </c>
      <c r="C116" s="235" t="s">
        <v>2068</v>
      </c>
      <c r="D116" s="232" t="s">
        <v>44</v>
      </c>
      <c r="E116" s="233">
        <v>6.0</v>
      </c>
      <c r="F116" s="26" t="s">
        <v>190</v>
      </c>
      <c r="G116" s="233"/>
      <c r="H116" s="26"/>
      <c r="I116" s="233"/>
      <c r="J116" s="26"/>
      <c r="K116" s="233"/>
      <c r="L116" s="26"/>
      <c r="M116" s="224"/>
      <c r="N116" s="220"/>
      <c r="O116" s="32"/>
      <c r="P116" s="32"/>
      <c r="Q116" s="10"/>
      <c r="R116" s="10"/>
      <c r="S116" s="10"/>
      <c r="T116" s="10"/>
      <c r="U116" s="10"/>
      <c r="V116" s="10"/>
      <c r="W116" s="10"/>
      <c r="X116" s="10"/>
    </row>
    <row r="117">
      <c r="A117" s="234">
        <v>45784.0</v>
      </c>
      <c r="B117" s="235">
        <v>18.0</v>
      </c>
      <c r="C117" s="235" t="s">
        <v>2069</v>
      </c>
      <c r="D117" s="232" t="s">
        <v>84</v>
      </c>
      <c r="E117" s="233"/>
      <c r="F117" s="26"/>
      <c r="G117" s="233">
        <v>8.0</v>
      </c>
      <c r="H117" s="26" t="s">
        <v>190</v>
      </c>
      <c r="I117" s="233"/>
      <c r="J117" s="26"/>
      <c r="K117" s="233"/>
      <c r="L117" s="26"/>
      <c r="M117" s="220"/>
      <c r="N117" s="220"/>
      <c r="O117" s="32"/>
      <c r="P117" s="32"/>
      <c r="Q117" s="10"/>
      <c r="R117" s="10"/>
      <c r="S117" s="10"/>
      <c r="T117" s="10"/>
      <c r="U117" s="10"/>
      <c r="V117" s="10"/>
      <c r="W117" s="10"/>
      <c r="X117" s="10"/>
    </row>
    <row r="118">
      <c r="A118" s="234">
        <v>45779.0</v>
      </c>
      <c r="B118" s="235">
        <v>18.0</v>
      </c>
      <c r="C118" s="235" t="s">
        <v>2070</v>
      </c>
      <c r="D118" s="232" t="s">
        <v>44</v>
      </c>
      <c r="E118" s="233">
        <v>6.0</v>
      </c>
      <c r="F118" s="26" t="s">
        <v>190</v>
      </c>
      <c r="G118" s="233"/>
      <c r="H118" s="26"/>
      <c r="I118" s="233"/>
      <c r="J118" s="26"/>
      <c r="K118" s="233"/>
      <c r="L118" s="26"/>
      <c r="M118" s="225" t="s">
        <v>2071</v>
      </c>
      <c r="N118" s="220"/>
      <c r="O118" s="32"/>
      <c r="P118" s="32"/>
      <c r="Q118" s="10"/>
      <c r="R118" s="10"/>
      <c r="S118" s="10"/>
      <c r="T118" s="10"/>
      <c r="U118" s="10"/>
      <c r="V118" s="10"/>
      <c r="W118" s="10"/>
      <c r="X118" s="10"/>
    </row>
    <row r="119">
      <c r="A119" s="234">
        <v>45777.0</v>
      </c>
      <c r="B119" s="235">
        <v>17.0</v>
      </c>
      <c r="C119" s="235" t="s">
        <v>2072</v>
      </c>
      <c r="D119" s="232" t="s">
        <v>84</v>
      </c>
      <c r="E119" s="233"/>
      <c r="F119" s="26"/>
      <c r="G119" s="233">
        <v>9.0</v>
      </c>
      <c r="H119" s="26" t="s">
        <v>190</v>
      </c>
      <c r="I119" s="233"/>
      <c r="J119" s="26"/>
      <c r="K119" s="233"/>
      <c r="L119" s="26"/>
      <c r="M119" s="220"/>
      <c r="N119" s="220"/>
      <c r="O119" s="32"/>
      <c r="P119" s="32"/>
      <c r="Q119" s="10"/>
      <c r="R119" s="10"/>
      <c r="S119" s="10"/>
      <c r="T119" s="10"/>
      <c r="U119" s="10"/>
      <c r="V119" s="10"/>
      <c r="W119" s="10"/>
      <c r="X119" s="10"/>
    </row>
    <row r="120">
      <c r="A120" s="234">
        <v>45771.0</v>
      </c>
      <c r="B120" s="235">
        <v>17.0</v>
      </c>
      <c r="C120" s="217" t="s">
        <v>2073</v>
      </c>
      <c r="D120" s="232" t="s">
        <v>44</v>
      </c>
      <c r="E120" s="233">
        <v>6.0</v>
      </c>
      <c r="F120" s="26" t="s">
        <v>190</v>
      </c>
      <c r="G120" s="233"/>
      <c r="H120" s="26"/>
      <c r="I120" s="233"/>
      <c r="J120" s="26"/>
      <c r="K120" s="233"/>
      <c r="L120" s="26"/>
      <c r="M120" s="224" t="s">
        <v>2074</v>
      </c>
      <c r="N120" s="220"/>
      <c r="O120" s="32"/>
      <c r="P120" s="32"/>
      <c r="Q120" s="10"/>
      <c r="R120" s="10"/>
      <c r="S120" s="10"/>
      <c r="T120" s="10"/>
      <c r="U120" s="10"/>
      <c r="V120" s="10"/>
      <c r="W120" s="10"/>
      <c r="X120" s="10"/>
    </row>
    <row r="121">
      <c r="A121" s="234">
        <v>45770.0</v>
      </c>
      <c r="B121" s="235">
        <v>16.0</v>
      </c>
      <c r="C121" s="217" t="s">
        <v>2075</v>
      </c>
      <c r="D121" s="232" t="s">
        <v>84</v>
      </c>
      <c r="E121" s="233"/>
      <c r="F121" s="26"/>
      <c r="G121" s="233">
        <v>18.0</v>
      </c>
      <c r="H121" s="26" t="s">
        <v>190</v>
      </c>
      <c r="I121" s="233"/>
      <c r="J121" s="26"/>
      <c r="K121" s="233"/>
      <c r="L121" s="26"/>
      <c r="M121" s="220"/>
      <c r="N121" s="220"/>
      <c r="O121" s="32"/>
      <c r="P121" s="32"/>
      <c r="Q121" s="10"/>
      <c r="R121" s="10"/>
      <c r="S121" s="10"/>
      <c r="T121" s="10"/>
      <c r="U121" s="10"/>
      <c r="V121" s="10"/>
      <c r="W121" s="10"/>
      <c r="X121" s="10"/>
    </row>
    <row r="122">
      <c r="A122" s="234">
        <v>45763.0</v>
      </c>
      <c r="B122" s="235">
        <v>16.0</v>
      </c>
      <c r="C122" s="217" t="s">
        <v>2076</v>
      </c>
      <c r="D122" s="232" t="s">
        <v>44</v>
      </c>
      <c r="E122" s="233">
        <v>5.0</v>
      </c>
      <c r="F122" s="26" t="s">
        <v>190</v>
      </c>
      <c r="G122" s="233"/>
      <c r="H122" s="26"/>
      <c r="I122" s="233"/>
      <c r="J122" s="26"/>
      <c r="K122" s="233"/>
      <c r="L122" s="26"/>
      <c r="M122" s="224"/>
      <c r="N122" s="220"/>
      <c r="O122" s="32"/>
      <c r="P122" s="32"/>
      <c r="Q122" s="10"/>
      <c r="R122" s="10"/>
      <c r="S122" s="10"/>
      <c r="T122" s="10"/>
      <c r="U122" s="10"/>
      <c r="V122" s="10"/>
      <c r="W122" s="10"/>
      <c r="X122" s="10"/>
    </row>
    <row r="123">
      <c r="A123" s="234">
        <v>45758.0</v>
      </c>
      <c r="B123" s="235">
        <v>15.0</v>
      </c>
      <c r="C123" s="235" t="s">
        <v>2077</v>
      </c>
      <c r="D123" s="232" t="s">
        <v>84</v>
      </c>
      <c r="E123" s="233"/>
      <c r="F123" s="26"/>
      <c r="G123" s="233">
        <v>7.0</v>
      </c>
      <c r="H123" s="26" t="s">
        <v>190</v>
      </c>
      <c r="I123" s="233"/>
      <c r="J123" s="26"/>
      <c r="K123" s="233"/>
      <c r="L123" s="26"/>
      <c r="M123" s="220"/>
      <c r="N123" s="220"/>
      <c r="O123" s="32"/>
      <c r="P123" s="32"/>
      <c r="Q123" s="10"/>
      <c r="R123" s="10"/>
      <c r="S123" s="10"/>
      <c r="T123" s="10"/>
      <c r="U123" s="10"/>
      <c r="V123" s="10"/>
      <c r="W123" s="10"/>
      <c r="X123" s="10"/>
    </row>
    <row r="124">
      <c r="A124" s="234">
        <v>45758.0</v>
      </c>
      <c r="B124" s="235">
        <v>15.0</v>
      </c>
      <c r="C124" s="235" t="s">
        <v>2078</v>
      </c>
      <c r="D124" s="232" t="s">
        <v>44</v>
      </c>
      <c r="E124" s="233">
        <v>6.0</v>
      </c>
      <c r="F124" s="26" t="s">
        <v>190</v>
      </c>
      <c r="G124" s="233"/>
      <c r="H124" s="26"/>
      <c r="I124" s="233"/>
      <c r="J124" s="26"/>
      <c r="K124" s="233"/>
      <c r="L124" s="26"/>
      <c r="M124" s="220"/>
      <c r="N124" s="220"/>
      <c r="O124" s="32"/>
      <c r="P124" s="32"/>
      <c r="Q124" s="10"/>
      <c r="R124" s="10"/>
      <c r="S124" s="10"/>
      <c r="T124" s="10"/>
      <c r="U124" s="10"/>
      <c r="V124" s="10"/>
      <c r="W124" s="10"/>
      <c r="X124" s="10"/>
    </row>
    <row r="125">
      <c r="A125" s="234">
        <v>45750.0</v>
      </c>
      <c r="B125" s="235">
        <v>14.0</v>
      </c>
      <c r="C125" s="238" t="s">
        <v>2079</v>
      </c>
      <c r="D125" s="232" t="s">
        <v>84</v>
      </c>
      <c r="E125" s="233"/>
      <c r="F125" s="26"/>
      <c r="G125" s="233">
        <v>10.0</v>
      </c>
      <c r="H125" s="26" t="s">
        <v>190</v>
      </c>
      <c r="I125" s="233"/>
      <c r="J125" s="26"/>
      <c r="K125" s="233"/>
      <c r="L125" s="26"/>
      <c r="M125" s="220"/>
      <c r="N125" s="220"/>
      <c r="O125" s="147"/>
      <c r="P125" s="147"/>
      <c r="Q125" s="10"/>
      <c r="R125" s="10"/>
      <c r="S125" s="10"/>
      <c r="T125" s="10"/>
      <c r="U125" s="10"/>
      <c r="V125" s="10"/>
      <c r="W125" s="10"/>
      <c r="X125" s="10"/>
    </row>
    <row r="126">
      <c r="A126" s="234">
        <v>45750.0</v>
      </c>
      <c r="B126" s="235">
        <v>14.0</v>
      </c>
      <c r="C126" s="217" t="s">
        <v>2080</v>
      </c>
      <c r="D126" s="232" t="s">
        <v>44</v>
      </c>
      <c r="E126" s="233">
        <v>10.0</v>
      </c>
      <c r="F126" s="26" t="s">
        <v>190</v>
      </c>
      <c r="G126" s="233"/>
      <c r="H126" s="26"/>
      <c r="I126" s="233"/>
      <c r="J126" s="26"/>
      <c r="K126" s="233"/>
      <c r="L126" s="26"/>
      <c r="M126" s="227"/>
      <c r="N126" s="220"/>
      <c r="O126" s="32"/>
      <c r="P126" s="32"/>
      <c r="Q126" s="10"/>
      <c r="R126" s="10"/>
      <c r="S126" s="10"/>
      <c r="T126" s="10"/>
      <c r="U126" s="10"/>
      <c r="V126" s="10"/>
      <c r="W126" s="10"/>
      <c r="X126" s="10"/>
    </row>
    <row r="127">
      <c r="A127" s="234">
        <v>45745.0</v>
      </c>
      <c r="B127" s="235">
        <v>13.0</v>
      </c>
      <c r="C127" s="238" t="s">
        <v>2081</v>
      </c>
      <c r="D127" s="232" t="s">
        <v>84</v>
      </c>
      <c r="E127" s="233"/>
      <c r="F127" s="26"/>
      <c r="G127" s="233">
        <v>9.0</v>
      </c>
      <c r="H127" s="26" t="s">
        <v>190</v>
      </c>
      <c r="I127" s="233"/>
      <c r="J127" s="26"/>
      <c r="K127" s="233"/>
      <c r="L127" s="26"/>
      <c r="M127" s="224"/>
      <c r="N127" s="220"/>
      <c r="O127" s="147"/>
      <c r="P127" s="147"/>
      <c r="Q127" s="10"/>
      <c r="R127" s="10"/>
      <c r="S127" s="10"/>
      <c r="T127" s="10"/>
      <c r="U127" s="10"/>
      <c r="V127" s="10"/>
      <c r="W127" s="10"/>
      <c r="X127" s="10"/>
    </row>
    <row r="128">
      <c r="A128" s="234">
        <v>45744.0</v>
      </c>
      <c r="B128" s="235">
        <v>13.0</v>
      </c>
      <c r="C128" s="235" t="s">
        <v>2082</v>
      </c>
      <c r="D128" s="232" t="s">
        <v>44</v>
      </c>
      <c r="E128" s="233">
        <v>5.0</v>
      </c>
      <c r="F128" s="26" t="s">
        <v>190</v>
      </c>
      <c r="G128" s="233"/>
      <c r="H128" s="26"/>
      <c r="I128" s="233"/>
      <c r="J128" s="26"/>
      <c r="K128" s="233"/>
      <c r="L128" s="26"/>
      <c r="M128" s="224"/>
      <c r="N128" s="220"/>
      <c r="O128" s="147"/>
      <c r="P128" s="147"/>
      <c r="Q128" s="10"/>
      <c r="R128" s="10"/>
      <c r="S128" s="10"/>
      <c r="T128" s="10"/>
      <c r="U128" s="10"/>
      <c r="V128" s="10"/>
      <c r="W128" s="10"/>
      <c r="X128" s="10"/>
    </row>
    <row r="129">
      <c r="A129" s="234">
        <v>45738.0</v>
      </c>
      <c r="B129" s="235">
        <v>12.0</v>
      </c>
      <c r="C129" s="221" t="s">
        <v>2083</v>
      </c>
      <c r="D129" s="232" t="s">
        <v>44</v>
      </c>
      <c r="E129" s="233">
        <v>5.0</v>
      </c>
      <c r="F129" s="26" t="s">
        <v>190</v>
      </c>
      <c r="G129" s="233"/>
      <c r="H129" s="26"/>
      <c r="I129" s="233"/>
      <c r="J129" s="26"/>
      <c r="K129" s="233"/>
      <c r="L129" s="26"/>
      <c r="M129" s="224"/>
      <c r="N129" s="220"/>
      <c r="O129" s="32"/>
      <c r="P129" s="32"/>
      <c r="Q129" s="10"/>
      <c r="R129" s="10"/>
      <c r="S129" s="10"/>
      <c r="T129" s="10"/>
      <c r="U129" s="10"/>
      <c r="V129" s="10"/>
      <c r="W129" s="10"/>
      <c r="X129" s="10"/>
    </row>
    <row r="130">
      <c r="A130" s="234">
        <v>45734.0</v>
      </c>
      <c r="B130" s="235">
        <v>12.0</v>
      </c>
      <c r="C130" s="235" t="s">
        <v>2084</v>
      </c>
      <c r="D130" s="232" t="s">
        <v>84</v>
      </c>
      <c r="E130" s="233"/>
      <c r="F130" s="26"/>
      <c r="G130" s="233">
        <v>14.0</v>
      </c>
      <c r="H130" s="26" t="s">
        <v>190</v>
      </c>
      <c r="I130" s="233"/>
      <c r="J130" s="26"/>
      <c r="K130" s="233"/>
      <c r="L130" s="26"/>
      <c r="M130" s="225" t="s">
        <v>2085</v>
      </c>
      <c r="N130" s="220"/>
      <c r="O130" s="147"/>
      <c r="P130" s="147"/>
      <c r="Q130" s="10"/>
      <c r="R130" s="10"/>
      <c r="S130" s="10"/>
      <c r="T130" s="10"/>
      <c r="U130" s="10"/>
      <c r="V130" s="10"/>
      <c r="W130" s="10"/>
      <c r="X130" s="10"/>
    </row>
    <row r="131">
      <c r="A131" s="234">
        <v>45734.0</v>
      </c>
      <c r="B131" s="235">
        <v>11.0</v>
      </c>
      <c r="C131" s="235" t="s">
        <v>2086</v>
      </c>
      <c r="D131" s="232" t="s">
        <v>84</v>
      </c>
      <c r="E131" s="233"/>
      <c r="F131" s="26"/>
      <c r="G131" s="233">
        <v>8.0</v>
      </c>
      <c r="H131" s="26" t="s">
        <v>190</v>
      </c>
      <c r="I131" s="233"/>
      <c r="J131" s="26"/>
      <c r="K131" s="233"/>
      <c r="L131" s="26"/>
      <c r="M131" s="220"/>
      <c r="N131" s="220"/>
      <c r="O131" s="32"/>
      <c r="P131" s="32"/>
      <c r="Q131" s="10"/>
      <c r="R131" s="10"/>
      <c r="S131" s="10"/>
      <c r="T131" s="10"/>
      <c r="U131" s="10"/>
      <c r="V131" s="10"/>
      <c r="W131" s="10"/>
      <c r="X131" s="10"/>
    </row>
    <row r="132">
      <c r="A132" s="234">
        <v>45730.0</v>
      </c>
      <c r="B132" s="235">
        <v>11.0</v>
      </c>
      <c r="C132" s="235" t="s">
        <v>2087</v>
      </c>
      <c r="D132" s="232" t="s">
        <v>44</v>
      </c>
      <c r="E132" s="233">
        <v>7.0</v>
      </c>
      <c r="F132" s="26" t="s">
        <v>190</v>
      </c>
      <c r="G132" s="233"/>
      <c r="H132" s="26"/>
      <c r="I132" s="233"/>
      <c r="J132" s="26"/>
      <c r="K132" s="233"/>
      <c r="L132" s="26"/>
      <c r="M132" s="239" t="s">
        <v>2088</v>
      </c>
      <c r="N132" s="220"/>
      <c r="O132" s="32"/>
      <c r="P132" s="32"/>
      <c r="Q132" s="10"/>
      <c r="R132" s="10"/>
      <c r="S132" s="10"/>
      <c r="T132" s="10"/>
      <c r="U132" s="10"/>
      <c r="V132" s="10"/>
      <c r="W132" s="10"/>
      <c r="X132" s="10"/>
    </row>
    <row r="133">
      <c r="A133" s="234">
        <v>45728.0</v>
      </c>
      <c r="B133" s="235">
        <v>10.0</v>
      </c>
      <c r="C133" s="235" t="s">
        <v>2089</v>
      </c>
      <c r="D133" s="232" t="s">
        <v>84</v>
      </c>
      <c r="E133" s="233"/>
      <c r="F133" s="26"/>
      <c r="G133" s="233">
        <v>11.0</v>
      </c>
      <c r="H133" s="26" t="s">
        <v>190</v>
      </c>
      <c r="I133" s="233"/>
      <c r="J133" s="26"/>
      <c r="K133" s="233"/>
      <c r="L133" s="26"/>
      <c r="M133" s="220"/>
      <c r="N133" s="220"/>
      <c r="O133" s="32"/>
      <c r="P133" s="32"/>
      <c r="Q133" s="10"/>
      <c r="R133" s="10"/>
      <c r="S133" s="10"/>
      <c r="T133" s="10"/>
      <c r="U133" s="10"/>
      <c r="V133" s="10"/>
      <c r="W133" s="10"/>
      <c r="X133" s="10"/>
    </row>
    <row r="134">
      <c r="A134" s="234">
        <v>45724.0</v>
      </c>
      <c r="B134" s="235">
        <v>10.0</v>
      </c>
      <c r="C134" s="235" t="s">
        <v>2090</v>
      </c>
      <c r="D134" s="232" t="s">
        <v>44</v>
      </c>
      <c r="E134" s="233">
        <v>8.0</v>
      </c>
      <c r="F134" s="26" t="s">
        <v>190</v>
      </c>
      <c r="G134" s="233"/>
      <c r="H134" s="26"/>
      <c r="I134" s="233"/>
      <c r="J134" s="26"/>
      <c r="K134" s="233"/>
      <c r="L134" s="26"/>
      <c r="M134" s="225" t="s">
        <v>2091</v>
      </c>
      <c r="N134" s="220"/>
      <c r="O134" s="147"/>
      <c r="P134" s="147"/>
      <c r="Q134" s="10"/>
      <c r="R134" s="10"/>
      <c r="S134" s="10"/>
      <c r="T134" s="10"/>
      <c r="U134" s="10"/>
      <c r="V134" s="10"/>
      <c r="W134" s="10"/>
      <c r="X134" s="10"/>
    </row>
    <row r="135">
      <c r="A135" s="234">
        <v>45721.0</v>
      </c>
      <c r="B135" s="235">
        <v>9.0</v>
      </c>
      <c r="C135" s="235" t="s">
        <v>2092</v>
      </c>
      <c r="D135" s="232" t="s">
        <v>84</v>
      </c>
      <c r="E135" s="233"/>
      <c r="F135" s="26"/>
      <c r="G135" s="233">
        <v>13.0</v>
      </c>
      <c r="H135" s="26" t="s">
        <v>190</v>
      </c>
      <c r="I135" s="233"/>
      <c r="J135" s="26"/>
      <c r="K135" s="233"/>
      <c r="L135" s="26"/>
      <c r="M135" s="220"/>
      <c r="N135" s="220"/>
      <c r="O135" s="32"/>
      <c r="P135" s="32"/>
      <c r="Q135" s="10"/>
      <c r="R135" s="10"/>
      <c r="S135" s="10"/>
      <c r="T135" s="10"/>
      <c r="U135" s="10"/>
      <c r="V135" s="10"/>
      <c r="W135" s="10"/>
      <c r="X135" s="10"/>
    </row>
    <row r="136">
      <c r="A136" s="234">
        <v>45714.0</v>
      </c>
      <c r="B136" s="235">
        <v>9.0</v>
      </c>
      <c r="C136" s="235" t="s">
        <v>2093</v>
      </c>
      <c r="D136" s="232" t="s">
        <v>44</v>
      </c>
      <c r="E136" s="233">
        <v>3.0</v>
      </c>
      <c r="F136" s="26" t="s">
        <v>190</v>
      </c>
      <c r="G136" s="233"/>
      <c r="H136" s="26"/>
      <c r="I136" s="233"/>
      <c r="J136" s="26"/>
      <c r="K136" s="233"/>
      <c r="L136" s="26"/>
      <c r="M136" s="220"/>
      <c r="N136" s="220"/>
      <c r="O136" s="147"/>
      <c r="P136" s="147"/>
      <c r="Q136" s="10"/>
      <c r="R136" s="10"/>
      <c r="S136" s="10"/>
      <c r="T136" s="10"/>
      <c r="U136" s="10"/>
      <c r="V136" s="10"/>
      <c r="W136" s="10"/>
      <c r="X136" s="10"/>
    </row>
    <row r="137">
      <c r="A137" s="234">
        <v>45708.0</v>
      </c>
      <c r="B137" s="235">
        <v>8.0</v>
      </c>
      <c r="C137" s="235" t="s">
        <v>2094</v>
      </c>
      <c r="D137" s="232" t="s">
        <v>44</v>
      </c>
      <c r="E137" s="233">
        <v>4.0</v>
      </c>
      <c r="F137" s="26" t="s">
        <v>190</v>
      </c>
      <c r="G137" s="233"/>
      <c r="H137" s="26"/>
      <c r="I137" s="233"/>
      <c r="J137" s="26"/>
      <c r="K137" s="233"/>
      <c r="L137" s="26"/>
      <c r="M137" s="227"/>
      <c r="N137" s="220"/>
      <c r="O137" s="32"/>
      <c r="P137" s="32"/>
      <c r="Q137" s="10"/>
      <c r="R137" s="10"/>
      <c r="S137" s="10"/>
      <c r="T137" s="10"/>
      <c r="U137" s="10"/>
      <c r="V137" s="10"/>
      <c r="W137" s="10"/>
      <c r="X137" s="10"/>
    </row>
    <row r="138">
      <c r="A138" s="234">
        <v>45707.0</v>
      </c>
      <c r="B138" s="235">
        <v>8.0</v>
      </c>
      <c r="C138" s="217" t="s">
        <v>2095</v>
      </c>
      <c r="D138" s="232" t="s">
        <v>84</v>
      </c>
      <c r="E138" s="233"/>
      <c r="F138" s="26"/>
      <c r="G138" s="233">
        <v>5.0</v>
      </c>
      <c r="H138" s="26" t="s">
        <v>190</v>
      </c>
      <c r="I138" s="233"/>
      <c r="J138" s="26"/>
      <c r="K138" s="233"/>
      <c r="L138" s="240"/>
      <c r="M138" s="241" t="s">
        <v>2096</v>
      </c>
      <c r="N138" s="220"/>
      <c r="O138" s="32"/>
      <c r="P138" s="32"/>
      <c r="Q138" s="10"/>
      <c r="R138" s="10"/>
      <c r="S138" s="10"/>
      <c r="T138" s="10"/>
      <c r="U138" s="10"/>
      <c r="V138" s="10"/>
      <c r="W138" s="10"/>
      <c r="X138" s="10"/>
    </row>
    <row r="139">
      <c r="A139" s="234">
        <v>45705.0</v>
      </c>
      <c r="B139" s="235">
        <v>7.0</v>
      </c>
      <c r="C139" s="235" t="s">
        <v>2097</v>
      </c>
      <c r="D139" s="232" t="s">
        <v>84</v>
      </c>
      <c r="E139" s="233"/>
      <c r="F139" s="26"/>
      <c r="G139" s="233">
        <v>3.0</v>
      </c>
      <c r="H139" s="26" t="s">
        <v>190</v>
      </c>
      <c r="I139" s="233"/>
      <c r="J139" s="26"/>
      <c r="K139" s="233"/>
      <c r="L139" s="26"/>
      <c r="M139" s="220"/>
      <c r="N139" s="220"/>
      <c r="O139" s="32"/>
      <c r="P139" s="32"/>
      <c r="Q139" s="10"/>
      <c r="R139" s="10"/>
      <c r="S139" s="10"/>
      <c r="T139" s="10"/>
      <c r="U139" s="10"/>
      <c r="V139" s="10"/>
      <c r="W139" s="10"/>
      <c r="X139" s="10"/>
    </row>
    <row r="140">
      <c r="A140" s="234">
        <v>45703.0</v>
      </c>
      <c r="B140" s="235">
        <v>7.0</v>
      </c>
      <c r="C140" s="235" t="s">
        <v>2098</v>
      </c>
      <c r="D140" s="232" t="s">
        <v>44</v>
      </c>
      <c r="E140" s="233">
        <v>7.0</v>
      </c>
      <c r="F140" s="26" t="s">
        <v>190</v>
      </c>
      <c r="G140" s="233"/>
      <c r="H140" s="26"/>
      <c r="I140" s="233"/>
      <c r="J140" s="26"/>
      <c r="K140" s="233"/>
      <c r="L140" s="26"/>
      <c r="M140" s="225" t="s">
        <v>2099</v>
      </c>
      <c r="N140" s="220"/>
      <c r="O140" s="32"/>
      <c r="P140" s="32"/>
      <c r="Q140" s="10"/>
      <c r="R140" s="10"/>
      <c r="S140" s="10"/>
      <c r="T140" s="10"/>
      <c r="U140" s="10"/>
      <c r="V140" s="10"/>
      <c r="W140" s="10"/>
      <c r="X140" s="10"/>
    </row>
    <row r="141">
      <c r="A141" s="234">
        <v>45700.0</v>
      </c>
      <c r="B141" s="235">
        <v>6.0</v>
      </c>
      <c r="C141" s="235" t="s">
        <v>2100</v>
      </c>
      <c r="D141" s="232" t="s">
        <v>84</v>
      </c>
      <c r="E141" s="233"/>
      <c r="F141" s="26"/>
      <c r="G141" s="233">
        <v>7.0</v>
      </c>
      <c r="H141" s="26" t="s">
        <v>190</v>
      </c>
      <c r="I141" s="233"/>
      <c r="J141" s="26"/>
      <c r="K141" s="233"/>
      <c r="L141" s="26"/>
      <c r="M141" s="220"/>
      <c r="N141" s="220"/>
      <c r="O141" s="32"/>
      <c r="P141" s="32"/>
      <c r="Q141" s="10"/>
      <c r="R141" s="10"/>
      <c r="S141" s="10"/>
      <c r="T141" s="10"/>
      <c r="U141" s="10"/>
      <c r="V141" s="10"/>
      <c r="W141" s="10"/>
      <c r="X141" s="10"/>
    </row>
    <row r="142">
      <c r="A142" s="234">
        <v>45696.0</v>
      </c>
      <c r="B142" s="235">
        <v>6.0</v>
      </c>
      <c r="C142" s="235" t="s">
        <v>2101</v>
      </c>
      <c r="D142" s="232" t="s">
        <v>44</v>
      </c>
      <c r="E142" s="233">
        <v>7.0</v>
      </c>
      <c r="F142" s="26" t="s">
        <v>190</v>
      </c>
      <c r="G142" s="233"/>
      <c r="H142" s="26"/>
      <c r="I142" s="233"/>
      <c r="J142" s="26"/>
      <c r="K142" s="233"/>
      <c r="L142" s="26"/>
      <c r="M142" s="224"/>
      <c r="N142" s="220"/>
      <c r="O142" s="32"/>
      <c r="P142" s="32"/>
      <c r="Q142" s="10"/>
      <c r="R142" s="10"/>
      <c r="S142" s="10"/>
      <c r="T142" s="10"/>
      <c r="U142" s="10"/>
      <c r="V142" s="10"/>
      <c r="W142" s="10"/>
      <c r="X142" s="10"/>
    </row>
    <row r="143">
      <c r="A143" s="234">
        <v>45695.0</v>
      </c>
      <c r="B143" s="235">
        <v>6.0</v>
      </c>
      <c r="C143" s="235" t="s">
        <v>2102</v>
      </c>
      <c r="D143" s="232" t="s">
        <v>54</v>
      </c>
      <c r="E143" s="233"/>
      <c r="F143" s="26"/>
      <c r="G143" s="233">
        <v>7.0</v>
      </c>
      <c r="H143" s="26" t="s">
        <v>190</v>
      </c>
      <c r="I143" s="233"/>
      <c r="J143" s="26"/>
      <c r="K143" s="233"/>
      <c r="L143" s="26"/>
      <c r="M143" s="224"/>
      <c r="N143" s="220"/>
      <c r="O143" s="32"/>
      <c r="P143" s="32"/>
      <c r="Q143" s="10"/>
      <c r="R143" s="10"/>
      <c r="S143" s="10"/>
      <c r="T143" s="10"/>
      <c r="U143" s="10"/>
      <c r="V143" s="10"/>
      <c r="W143" s="10"/>
      <c r="X143" s="10"/>
    </row>
    <row r="144">
      <c r="A144" s="234">
        <v>45694.0</v>
      </c>
      <c r="B144" s="235">
        <v>6.0</v>
      </c>
      <c r="C144" s="235" t="s">
        <v>2103</v>
      </c>
      <c r="D144" s="232" t="s">
        <v>2104</v>
      </c>
      <c r="E144" s="233"/>
      <c r="F144" s="26"/>
      <c r="G144" s="233">
        <v>2.0</v>
      </c>
      <c r="H144" s="26" t="s">
        <v>190</v>
      </c>
      <c r="I144" s="233"/>
      <c r="J144" s="26"/>
      <c r="K144" s="233"/>
      <c r="L144" s="26"/>
      <c r="M144" s="227"/>
      <c r="N144" s="220"/>
      <c r="O144" s="32"/>
      <c r="P144" s="32"/>
      <c r="Q144" s="10"/>
      <c r="R144" s="10"/>
      <c r="S144" s="10"/>
      <c r="T144" s="10"/>
      <c r="U144" s="10"/>
      <c r="V144" s="10"/>
      <c r="W144" s="10"/>
      <c r="X144" s="10"/>
    </row>
    <row r="145">
      <c r="A145" s="234">
        <v>45692.0</v>
      </c>
      <c r="B145" s="235">
        <v>5.0</v>
      </c>
      <c r="C145" s="217" t="s">
        <v>2105</v>
      </c>
      <c r="D145" s="232" t="s">
        <v>84</v>
      </c>
      <c r="E145" s="233"/>
      <c r="F145" s="26"/>
      <c r="G145" s="233">
        <v>7.0</v>
      </c>
      <c r="H145" s="26" t="s">
        <v>190</v>
      </c>
      <c r="I145" s="233"/>
      <c r="J145" s="26"/>
      <c r="K145" s="233"/>
      <c r="L145" s="26"/>
      <c r="M145" s="227"/>
      <c r="N145" s="220"/>
      <c r="O145" s="32"/>
      <c r="P145" s="32"/>
      <c r="Q145" s="10"/>
      <c r="R145" s="10"/>
      <c r="S145" s="10"/>
      <c r="T145" s="10"/>
      <c r="U145" s="10"/>
      <c r="V145" s="10"/>
      <c r="W145" s="10"/>
      <c r="X145" s="10"/>
    </row>
    <row r="146">
      <c r="A146" s="234">
        <v>45690.0</v>
      </c>
      <c r="B146" s="235">
        <v>5.0</v>
      </c>
      <c r="C146" s="235" t="s">
        <v>2106</v>
      </c>
      <c r="D146" s="232" t="s">
        <v>44</v>
      </c>
      <c r="E146" s="233">
        <v>2.0</v>
      </c>
      <c r="F146" s="26" t="s">
        <v>190</v>
      </c>
      <c r="G146" s="233"/>
      <c r="H146" s="26"/>
      <c r="I146" s="233"/>
      <c r="J146" s="26"/>
      <c r="K146" s="233"/>
      <c r="L146" s="26"/>
      <c r="M146" s="227"/>
      <c r="N146" s="220"/>
      <c r="O146" s="32"/>
      <c r="P146" s="32"/>
      <c r="Q146" s="10"/>
      <c r="R146" s="10"/>
      <c r="S146" s="10"/>
      <c r="T146" s="10"/>
      <c r="U146" s="10"/>
      <c r="V146" s="10"/>
      <c r="W146" s="10"/>
      <c r="X146" s="10"/>
    </row>
    <row r="147">
      <c r="A147" s="234">
        <v>45688.0</v>
      </c>
      <c r="B147" s="235">
        <v>5.0</v>
      </c>
      <c r="C147" s="235" t="s">
        <v>2107</v>
      </c>
      <c r="D147" s="232" t="s">
        <v>54</v>
      </c>
      <c r="E147" s="233"/>
      <c r="F147" s="26"/>
      <c r="G147" s="233">
        <v>7.0</v>
      </c>
      <c r="H147" s="26" t="s">
        <v>190</v>
      </c>
      <c r="I147" s="233"/>
      <c r="J147" s="26"/>
      <c r="K147" s="233"/>
      <c r="L147" s="26"/>
      <c r="M147" s="220"/>
      <c r="N147" s="220"/>
      <c r="O147" s="32"/>
      <c r="P147" s="32"/>
      <c r="Q147" s="10"/>
      <c r="R147" s="10"/>
      <c r="S147" s="10"/>
      <c r="T147" s="10"/>
      <c r="U147" s="10"/>
      <c r="V147" s="10"/>
      <c r="W147" s="10"/>
      <c r="X147" s="10"/>
    </row>
    <row r="148">
      <c r="A148" s="234">
        <v>45685.0</v>
      </c>
      <c r="B148" s="235">
        <v>4.0</v>
      </c>
      <c r="C148" s="235" t="s">
        <v>2108</v>
      </c>
      <c r="D148" s="232" t="s">
        <v>84</v>
      </c>
      <c r="E148" s="233"/>
      <c r="F148" s="26"/>
      <c r="G148" s="233">
        <v>6.0</v>
      </c>
      <c r="H148" s="26" t="s">
        <v>190</v>
      </c>
      <c r="I148" s="233"/>
      <c r="J148" s="26"/>
      <c r="K148" s="233"/>
      <c r="L148" s="26"/>
      <c r="M148" s="224"/>
      <c r="N148" s="220"/>
      <c r="O148" s="32"/>
      <c r="P148" s="32"/>
      <c r="Q148" s="10"/>
      <c r="R148" s="10"/>
      <c r="S148" s="10"/>
      <c r="T148" s="10"/>
      <c r="U148" s="10"/>
      <c r="V148" s="10"/>
      <c r="W148" s="10"/>
      <c r="X148" s="10"/>
    </row>
    <row r="149">
      <c r="A149" s="234">
        <v>45682.0</v>
      </c>
      <c r="B149" s="235">
        <v>4.0</v>
      </c>
      <c r="C149" s="235" t="s">
        <v>2109</v>
      </c>
      <c r="D149" s="232" t="s">
        <v>44</v>
      </c>
      <c r="E149" s="233">
        <v>5.0</v>
      </c>
      <c r="F149" s="26" t="s">
        <v>190</v>
      </c>
      <c r="G149" s="233"/>
      <c r="H149" s="26"/>
      <c r="I149" s="233"/>
      <c r="J149" s="26"/>
      <c r="K149" s="233"/>
      <c r="L149" s="26"/>
      <c r="M149" s="225" t="s">
        <v>2110</v>
      </c>
      <c r="N149" s="220"/>
      <c r="O149" s="32"/>
      <c r="P149" s="32"/>
      <c r="Q149" s="10"/>
      <c r="R149" s="10"/>
      <c r="S149" s="10"/>
      <c r="T149" s="10"/>
      <c r="U149" s="10"/>
      <c r="V149" s="10"/>
      <c r="W149" s="10"/>
      <c r="X149" s="10"/>
    </row>
    <row r="150">
      <c r="A150" s="234">
        <v>45681.0</v>
      </c>
      <c r="B150" s="235">
        <v>4.0</v>
      </c>
      <c r="C150" s="217" t="s">
        <v>2111</v>
      </c>
      <c r="D150" s="232" t="s">
        <v>54</v>
      </c>
      <c r="E150" s="233"/>
      <c r="F150" s="26"/>
      <c r="G150" s="233">
        <v>8.0</v>
      </c>
      <c r="H150" s="26" t="s">
        <v>190</v>
      </c>
      <c r="I150" s="233"/>
      <c r="J150" s="26"/>
      <c r="K150" s="233"/>
      <c r="L150" s="26"/>
      <c r="M150" s="224"/>
      <c r="N150" s="220"/>
      <c r="O150" s="32"/>
      <c r="P150" s="32"/>
      <c r="Q150" s="10"/>
      <c r="R150" s="10"/>
      <c r="S150" s="10"/>
      <c r="T150" s="10"/>
      <c r="U150" s="10"/>
      <c r="V150" s="10"/>
      <c r="W150" s="10"/>
      <c r="X150" s="10"/>
    </row>
    <row r="151">
      <c r="A151" s="234">
        <v>45677.0</v>
      </c>
      <c r="B151" s="235">
        <v>3.0</v>
      </c>
      <c r="C151" s="217" t="s">
        <v>2112</v>
      </c>
      <c r="D151" s="232" t="s">
        <v>84</v>
      </c>
      <c r="E151" s="233"/>
      <c r="F151" s="26"/>
      <c r="G151" s="233">
        <v>8.0</v>
      </c>
      <c r="H151" s="26" t="s">
        <v>190</v>
      </c>
      <c r="I151" s="233"/>
      <c r="J151" s="26"/>
      <c r="K151" s="233"/>
      <c r="L151" s="26"/>
      <c r="M151" s="220"/>
      <c r="N151" s="220"/>
      <c r="O151" s="32"/>
      <c r="P151" s="32"/>
      <c r="Q151" s="10"/>
      <c r="R151" s="10"/>
      <c r="S151" s="10"/>
      <c r="T151" s="10"/>
      <c r="U151" s="10"/>
      <c r="V151" s="10"/>
      <c r="W151" s="10"/>
      <c r="X151" s="10"/>
    </row>
    <row r="152">
      <c r="A152" s="234">
        <v>45677.0</v>
      </c>
      <c r="B152" s="235">
        <v>2.0</v>
      </c>
      <c r="C152" s="235" t="s">
        <v>2113</v>
      </c>
      <c r="D152" s="232" t="s">
        <v>84</v>
      </c>
      <c r="E152" s="233"/>
      <c r="F152" s="26"/>
      <c r="G152" s="233">
        <v>7.0</v>
      </c>
      <c r="H152" s="26" t="s">
        <v>190</v>
      </c>
      <c r="I152" s="233"/>
      <c r="J152" s="26"/>
      <c r="K152" s="233"/>
      <c r="L152" s="26"/>
      <c r="M152" s="220"/>
      <c r="N152" s="220"/>
      <c r="O152" s="32"/>
      <c r="P152" s="32"/>
      <c r="Q152" s="10"/>
      <c r="R152" s="10"/>
      <c r="S152" s="10"/>
      <c r="T152" s="10"/>
      <c r="U152" s="10"/>
      <c r="V152" s="10"/>
      <c r="W152" s="10"/>
      <c r="X152" s="10"/>
    </row>
    <row r="153">
      <c r="A153" s="234">
        <v>45675.0</v>
      </c>
      <c r="B153" s="235">
        <v>3.0</v>
      </c>
      <c r="C153" s="235" t="s">
        <v>2114</v>
      </c>
      <c r="D153" s="232" t="s">
        <v>44</v>
      </c>
      <c r="E153" s="233">
        <v>5.0</v>
      </c>
      <c r="F153" s="26" t="s">
        <v>190</v>
      </c>
      <c r="G153" s="233"/>
      <c r="H153" s="26"/>
      <c r="I153" s="233"/>
      <c r="J153" s="26"/>
      <c r="K153" s="233"/>
      <c r="L153" s="26"/>
      <c r="M153" s="220"/>
      <c r="N153" s="220"/>
      <c r="O153" s="32"/>
      <c r="P153" s="32"/>
      <c r="Q153" s="10"/>
      <c r="R153" s="10"/>
      <c r="S153" s="10"/>
      <c r="T153" s="10"/>
      <c r="U153" s="10"/>
      <c r="V153" s="10"/>
      <c r="W153" s="10"/>
      <c r="X153" s="10"/>
    </row>
    <row r="154">
      <c r="A154" s="234">
        <v>45669.0</v>
      </c>
      <c r="B154" s="235">
        <v>2.0</v>
      </c>
      <c r="C154" s="235" t="s">
        <v>2115</v>
      </c>
      <c r="D154" s="232" t="s">
        <v>54</v>
      </c>
      <c r="E154" s="233"/>
      <c r="F154" s="26"/>
      <c r="G154" s="233">
        <v>5.0</v>
      </c>
      <c r="H154" s="26" t="s">
        <v>190</v>
      </c>
      <c r="I154" s="233"/>
      <c r="J154" s="26"/>
      <c r="K154" s="233"/>
      <c r="L154" s="26"/>
      <c r="M154" s="225" t="s">
        <v>2116</v>
      </c>
      <c r="N154" s="220"/>
      <c r="O154" s="32"/>
      <c r="P154" s="32"/>
      <c r="Q154" s="10"/>
      <c r="R154" s="10"/>
      <c r="S154" s="10"/>
      <c r="T154" s="10"/>
      <c r="U154" s="10"/>
      <c r="V154" s="10"/>
      <c r="W154" s="10"/>
      <c r="X154" s="10"/>
    </row>
    <row r="155">
      <c r="A155" s="234">
        <v>45668.0</v>
      </c>
      <c r="B155" s="235">
        <v>2.0</v>
      </c>
      <c r="C155" s="235" t="s">
        <v>2117</v>
      </c>
      <c r="D155" s="232" t="s">
        <v>44</v>
      </c>
      <c r="E155" s="233">
        <v>2.0</v>
      </c>
      <c r="F155" s="26" t="s">
        <v>190</v>
      </c>
      <c r="G155" s="233"/>
      <c r="H155" s="26"/>
      <c r="I155" s="233"/>
      <c r="J155" s="26"/>
      <c r="K155" s="233"/>
      <c r="L155" s="26"/>
      <c r="M155" s="220"/>
      <c r="N155" s="220"/>
      <c r="O155" s="32"/>
      <c r="P155" s="32"/>
      <c r="Q155" s="10"/>
      <c r="R155" s="10"/>
      <c r="S155" s="10"/>
      <c r="T155" s="10"/>
      <c r="U155" s="10"/>
      <c r="V155" s="10"/>
      <c r="W155" s="10"/>
      <c r="X155" s="10"/>
    </row>
    <row r="156">
      <c r="A156" s="234">
        <v>45663.0</v>
      </c>
      <c r="B156" s="235">
        <v>51.0</v>
      </c>
      <c r="C156" s="235" t="s">
        <v>2118</v>
      </c>
      <c r="D156" s="232" t="s">
        <v>84</v>
      </c>
      <c r="E156" s="233"/>
      <c r="F156" s="26"/>
      <c r="G156" s="233">
        <v>3.0</v>
      </c>
      <c r="H156" s="26" t="s">
        <v>190</v>
      </c>
      <c r="I156" s="233"/>
      <c r="J156" s="26"/>
      <c r="K156" s="233"/>
      <c r="L156" s="26"/>
      <c r="M156" s="220"/>
      <c r="N156" s="220"/>
      <c r="O156" s="32"/>
      <c r="P156" s="24" t="s">
        <v>2119</v>
      </c>
      <c r="Q156" s="10"/>
      <c r="R156" s="10"/>
      <c r="S156" s="10"/>
      <c r="T156" s="10"/>
      <c r="U156" s="10"/>
      <c r="V156" s="10"/>
      <c r="W156" s="10"/>
      <c r="X156" s="10"/>
    </row>
    <row r="157">
      <c r="A157" s="234">
        <v>45659.0</v>
      </c>
      <c r="B157" s="235">
        <v>46.0</v>
      </c>
      <c r="C157" s="235" t="s">
        <v>2120</v>
      </c>
      <c r="D157" s="232" t="s">
        <v>2017</v>
      </c>
      <c r="E157" s="233"/>
      <c r="F157" s="26"/>
      <c r="G157" s="233"/>
      <c r="H157" s="26"/>
      <c r="I157" s="233">
        <v>16.0</v>
      </c>
      <c r="J157" s="26" t="s">
        <v>190</v>
      </c>
      <c r="K157" s="233"/>
      <c r="L157" s="26"/>
      <c r="M157" s="225" t="s">
        <v>2121</v>
      </c>
      <c r="N157" s="220"/>
      <c r="O157" s="32"/>
      <c r="P157" s="32"/>
      <c r="Q157" s="10"/>
      <c r="R157" s="10"/>
      <c r="S157" s="10"/>
      <c r="T157" s="10"/>
      <c r="U157" s="10"/>
      <c r="V157" s="10"/>
      <c r="W157" s="10"/>
      <c r="X157" s="10"/>
    </row>
    <row r="158">
      <c r="A158" s="234">
        <v>45659.0</v>
      </c>
      <c r="B158" s="235">
        <v>23.0</v>
      </c>
      <c r="C158" s="235" t="s">
        <v>2122</v>
      </c>
      <c r="D158" s="232" t="s">
        <v>2017</v>
      </c>
      <c r="E158" s="233"/>
      <c r="F158" s="26"/>
      <c r="G158" s="233"/>
      <c r="H158" s="26"/>
      <c r="I158" s="233">
        <v>29.0</v>
      </c>
      <c r="J158" s="26" t="s">
        <v>190</v>
      </c>
      <c r="K158" s="233"/>
      <c r="L158" s="26"/>
      <c r="M158" s="225" t="s">
        <v>2123</v>
      </c>
      <c r="N158" s="220"/>
      <c r="O158" s="32"/>
      <c r="P158" s="131" t="s">
        <v>2124</v>
      </c>
      <c r="Q158" s="10"/>
      <c r="R158" s="10"/>
      <c r="S158" s="10"/>
      <c r="T158" s="10"/>
      <c r="U158" s="10"/>
      <c r="V158" s="10"/>
      <c r="W158" s="10"/>
      <c r="X158" s="10"/>
    </row>
    <row r="159">
      <c r="A159" s="234">
        <v>45659.0</v>
      </c>
      <c r="B159" s="235">
        <v>47.0</v>
      </c>
      <c r="C159" s="235" t="s">
        <v>2125</v>
      </c>
      <c r="D159" s="232" t="s">
        <v>2017</v>
      </c>
      <c r="E159" s="233"/>
      <c r="F159" s="26"/>
      <c r="G159" s="233"/>
      <c r="H159" s="26"/>
      <c r="I159" s="233">
        <v>1.0</v>
      </c>
      <c r="J159" s="26" t="s">
        <v>190</v>
      </c>
      <c r="K159" s="233"/>
      <c r="L159" s="26"/>
      <c r="M159" s="224" t="s">
        <v>2126</v>
      </c>
      <c r="N159" s="220"/>
      <c r="O159" s="32"/>
      <c r="P159" s="47" t="s">
        <v>2127</v>
      </c>
      <c r="Q159" s="10"/>
      <c r="R159" s="10"/>
      <c r="S159" s="10"/>
      <c r="T159" s="10"/>
      <c r="U159" s="10"/>
      <c r="V159" s="10"/>
      <c r="W159" s="10"/>
      <c r="X159" s="10"/>
    </row>
    <row r="160">
      <c r="A160" s="234">
        <v>45658.0</v>
      </c>
      <c r="B160" s="235">
        <v>50.0</v>
      </c>
      <c r="C160" s="235" t="s">
        <v>2128</v>
      </c>
      <c r="D160" s="232" t="s">
        <v>2017</v>
      </c>
      <c r="E160" s="233"/>
      <c r="F160" s="26"/>
      <c r="G160" s="233"/>
      <c r="H160" s="26"/>
      <c r="I160" s="233">
        <v>21.0</v>
      </c>
      <c r="J160" s="26" t="s">
        <v>190</v>
      </c>
      <c r="K160" s="233"/>
      <c r="L160" s="26"/>
      <c r="M160" s="224"/>
      <c r="N160" s="220"/>
      <c r="O160" s="32"/>
      <c r="P160" s="47" t="s">
        <v>2129</v>
      </c>
      <c r="Q160" s="10"/>
      <c r="R160" s="10"/>
      <c r="S160" s="10"/>
      <c r="T160" s="10"/>
      <c r="U160" s="10"/>
      <c r="V160" s="10"/>
      <c r="W160" s="10"/>
      <c r="X160" s="10"/>
    </row>
    <row r="161">
      <c r="A161" s="234">
        <v>45653.0</v>
      </c>
      <c r="B161" s="235">
        <v>51.0</v>
      </c>
      <c r="C161" s="235" t="s">
        <v>2130</v>
      </c>
      <c r="D161" s="232" t="s">
        <v>54</v>
      </c>
      <c r="E161" s="233"/>
      <c r="F161" s="26"/>
      <c r="G161" s="233">
        <v>7.0</v>
      </c>
      <c r="H161" s="26" t="s">
        <v>190</v>
      </c>
      <c r="I161" s="233"/>
      <c r="J161" s="26"/>
      <c r="K161" s="233"/>
      <c r="L161" s="26"/>
      <c r="M161" s="225" t="s">
        <v>2131</v>
      </c>
      <c r="N161" s="220"/>
      <c r="O161" s="32"/>
      <c r="P161" s="32"/>
      <c r="Q161" s="10"/>
      <c r="R161" s="10"/>
      <c r="S161" s="10"/>
      <c r="T161" s="10"/>
      <c r="U161" s="10"/>
      <c r="V161" s="10"/>
      <c r="W161" s="10"/>
      <c r="X161" s="10"/>
    </row>
    <row r="162">
      <c r="A162" s="234">
        <v>45648.0</v>
      </c>
      <c r="B162" s="235">
        <v>51.0</v>
      </c>
      <c r="C162" s="235" t="s">
        <v>2132</v>
      </c>
      <c r="D162" s="232" t="s">
        <v>44</v>
      </c>
      <c r="E162" s="233">
        <v>2.0</v>
      </c>
      <c r="F162" s="26" t="s">
        <v>190</v>
      </c>
      <c r="G162" s="233"/>
      <c r="H162" s="26"/>
      <c r="I162" s="233"/>
      <c r="J162" s="26"/>
      <c r="K162" s="233"/>
      <c r="L162" s="26"/>
      <c r="M162" s="220"/>
      <c r="N162" s="220"/>
      <c r="O162" s="32"/>
      <c r="P162" s="32"/>
      <c r="Q162" s="10"/>
      <c r="R162" s="10"/>
      <c r="S162" s="10"/>
      <c r="T162" s="10"/>
      <c r="U162" s="10"/>
      <c r="V162" s="10"/>
      <c r="W162" s="10"/>
      <c r="X162" s="10"/>
    </row>
    <row r="163">
      <c r="A163" s="234">
        <v>45639.0</v>
      </c>
      <c r="B163" s="235">
        <v>50.0</v>
      </c>
      <c r="C163" s="235" t="s">
        <v>2133</v>
      </c>
      <c r="D163" s="232" t="s">
        <v>44</v>
      </c>
      <c r="E163" s="233">
        <v>6.0</v>
      </c>
      <c r="F163" s="26" t="s">
        <v>190</v>
      </c>
      <c r="G163" s="233"/>
      <c r="H163" s="26"/>
      <c r="I163" s="233"/>
      <c r="J163" s="26"/>
      <c r="K163" s="233"/>
      <c r="L163" s="26"/>
      <c r="M163" s="220"/>
      <c r="N163" s="220"/>
      <c r="O163" s="32"/>
      <c r="P163" s="32"/>
      <c r="Q163" s="10"/>
      <c r="R163" s="10"/>
      <c r="S163" s="10"/>
      <c r="T163" s="10"/>
      <c r="U163" s="10"/>
      <c r="V163" s="10"/>
      <c r="W163" s="10"/>
      <c r="X163" s="10"/>
    </row>
    <row r="164">
      <c r="A164" s="234">
        <v>45639.0</v>
      </c>
      <c r="B164" s="235">
        <v>50.0</v>
      </c>
      <c r="C164" s="235" t="s">
        <v>2134</v>
      </c>
      <c r="D164" s="232" t="s">
        <v>84</v>
      </c>
      <c r="E164" s="233"/>
      <c r="F164" s="26"/>
      <c r="G164" s="233">
        <v>5.0</v>
      </c>
      <c r="H164" s="26" t="s">
        <v>190</v>
      </c>
      <c r="I164" s="233"/>
      <c r="J164" s="26"/>
      <c r="K164" s="233"/>
      <c r="L164" s="26"/>
      <c r="M164" s="220"/>
      <c r="N164" s="220"/>
      <c r="O164" s="32"/>
      <c r="P164" s="47" t="s">
        <v>2135</v>
      </c>
      <c r="Q164" s="10"/>
      <c r="R164" s="10"/>
      <c r="S164" s="10"/>
      <c r="T164" s="10"/>
      <c r="U164" s="10"/>
      <c r="V164" s="10"/>
      <c r="W164" s="10"/>
      <c r="X164" s="10"/>
    </row>
    <row r="165">
      <c r="A165" s="234">
        <v>45636.0</v>
      </c>
      <c r="B165" s="235">
        <v>49.0</v>
      </c>
      <c r="C165" s="235" t="s">
        <v>2136</v>
      </c>
      <c r="D165" s="232" t="s">
        <v>38</v>
      </c>
      <c r="E165" s="233"/>
      <c r="F165" s="26"/>
      <c r="G165" s="233">
        <v>4.0</v>
      </c>
      <c r="H165" s="26" t="s">
        <v>190</v>
      </c>
      <c r="I165" s="233"/>
      <c r="J165" s="26"/>
      <c r="K165" s="233"/>
      <c r="L165" s="26"/>
      <c r="M165" s="220"/>
      <c r="N165" s="220"/>
      <c r="O165" s="32"/>
      <c r="P165" s="32"/>
      <c r="Q165" s="10"/>
      <c r="R165" s="10"/>
      <c r="S165" s="10"/>
      <c r="T165" s="10"/>
      <c r="U165" s="10"/>
      <c r="V165" s="10"/>
      <c r="W165" s="10"/>
      <c r="X165" s="10"/>
    </row>
    <row r="166">
      <c r="A166" s="234">
        <v>45633.0</v>
      </c>
      <c r="B166" s="235">
        <v>49.0</v>
      </c>
      <c r="C166" s="242" t="s">
        <v>2137</v>
      </c>
      <c r="D166" s="232" t="s">
        <v>44</v>
      </c>
      <c r="E166" s="233">
        <v>5.0</v>
      </c>
      <c r="F166" s="26" t="s">
        <v>190</v>
      </c>
      <c r="G166" s="233"/>
      <c r="H166" s="26"/>
      <c r="I166" s="233"/>
      <c r="J166" s="26"/>
      <c r="K166" s="233"/>
      <c r="L166" s="26"/>
      <c r="M166" s="220"/>
      <c r="N166" s="220"/>
      <c r="O166" s="32"/>
      <c r="P166" s="24" t="s">
        <v>2138</v>
      </c>
      <c r="Q166" s="10"/>
      <c r="R166" s="10"/>
      <c r="S166" s="10"/>
      <c r="T166" s="10"/>
      <c r="U166" s="10"/>
      <c r="V166" s="10"/>
      <c r="W166" s="10"/>
      <c r="X166" s="10"/>
    </row>
    <row r="167">
      <c r="A167" s="234">
        <v>45632.0</v>
      </c>
      <c r="B167" s="235">
        <v>49.0</v>
      </c>
      <c r="C167" s="243" t="s">
        <v>2139</v>
      </c>
      <c r="D167" s="232" t="s">
        <v>54</v>
      </c>
      <c r="E167" s="233"/>
      <c r="F167" s="26"/>
      <c r="G167" s="233">
        <v>6.0</v>
      </c>
      <c r="H167" s="26" t="s">
        <v>190</v>
      </c>
      <c r="I167" s="233"/>
      <c r="J167" s="26"/>
      <c r="K167" s="233"/>
      <c r="L167" s="26"/>
      <c r="M167" s="220"/>
      <c r="N167" s="220"/>
      <c r="O167" s="32"/>
      <c r="P167" s="32"/>
      <c r="Q167" s="10"/>
      <c r="R167" s="10"/>
      <c r="S167" s="10"/>
      <c r="T167" s="10"/>
      <c r="U167" s="10"/>
      <c r="V167" s="10"/>
      <c r="W167" s="10"/>
      <c r="X167" s="10"/>
    </row>
    <row r="168">
      <c r="A168" s="234">
        <v>45632.0</v>
      </c>
      <c r="B168" s="235">
        <v>49.0</v>
      </c>
      <c r="C168" s="235" t="s">
        <v>2140</v>
      </c>
      <c r="D168" s="232" t="s">
        <v>84</v>
      </c>
      <c r="E168" s="233"/>
      <c r="F168" s="26"/>
      <c r="G168" s="233">
        <v>6.0</v>
      </c>
      <c r="H168" s="26" t="s">
        <v>190</v>
      </c>
      <c r="I168" s="233"/>
      <c r="J168" s="26"/>
      <c r="K168" s="233"/>
      <c r="L168" s="26"/>
      <c r="M168" s="220"/>
      <c r="N168" s="220"/>
      <c r="O168" s="32"/>
      <c r="P168" s="32"/>
      <c r="Q168" s="10"/>
      <c r="R168" s="10"/>
      <c r="S168" s="10"/>
      <c r="T168" s="10"/>
      <c r="U168" s="10"/>
      <c r="V168" s="10"/>
      <c r="W168" s="10"/>
      <c r="X168" s="10"/>
    </row>
    <row r="169">
      <c r="A169" s="234">
        <v>45629.0</v>
      </c>
      <c r="B169" s="235">
        <v>47.0</v>
      </c>
      <c r="C169" s="235" t="s">
        <v>2141</v>
      </c>
      <c r="D169" s="232" t="s">
        <v>2017</v>
      </c>
      <c r="E169" s="233"/>
      <c r="F169" s="26"/>
      <c r="G169" s="233"/>
      <c r="H169" s="26"/>
      <c r="I169" s="233">
        <v>30.0</v>
      </c>
      <c r="J169" s="26" t="s">
        <v>110</v>
      </c>
      <c r="K169" s="233"/>
      <c r="L169" s="26"/>
      <c r="M169" s="220"/>
      <c r="N169" s="220"/>
      <c r="O169" s="32"/>
      <c r="P169" s="32"/>
      <c r="Q169" s="10"/>
      <c r="R169" s="10"/>
      <c r="S169" s="10"/>
      <c r="T169" s="10"/>
      <c r="U169" s="10"/>
      <c r="V169" s="10"/>
      <c r="W169" s="10"/>
      <c r="X169" s="10"/>
    </row>
    <row r="170">
      <c r="A170" s="234">
        <v>45629.0</v>
      </c>
      <c r="B170" s="235">
        <v>45.0</v>
      </c>
      <c r="C170" s="235" t="s">
        <v>2142</v>
      </c>
      <c r="D170" s="232" t="s">
        <v>2017</v>
      </c>
      <c r="E170" s="233"/>
      <c r="F170" s="26"/>
      <c r="G170" s="233"/>
      <c r="H170" s="26"/>
      <c r="I170" s="233">
        <v>12.0</v>
      </c>
      <c r="J170" s="26" t="s">
        <v>190</v>
      </c>
      <c r="K170" s="233"/>
      <c r="L170" s="26"/>
      <c r="M170" s="225" t="s">
        <v>2143</v>
      </c>
      <c r="N170" s="224" t="s">
        <v>2144</v>
      </c>
      <c r="O170" s="32"/>
      <c r="P170" s="32"/>
      <c r="Q170" s="10"/>
      <c r="R170" s="10"/>
      <c r="S170" s="10"/>
      <c r="T170" s="10"/>
      <c r="U170" s="10"/>
      <c r="V170" s="10"/>
      <c r="W170" s="10"/>
      <c r="X170" s="10"/>
    </row>
    <row r="171">
      <c r="A171" s="234">
        <v>45629.0</v>
      </c>
      <c r="B171" s="235">
        <v>48.0</v>
      </c>
      <c r="C171" s="235" t="s">
        <v>2145</v>
      </c>
      <c r="D171" s="232" t="s">
        <v>175</v>
      </c>
      <c r="E171" s="233">
        <v>3.0</v>
      </c>
      <c r="F171" s="26" t="s">
        <v>190</v>
      </c>
      <c r="G171" s="233"/>
      <c r="H171" s="26"/>
      <c r="I171" s="233"/>
      <c r="J171" s="26"/>
      <c r="K171" s="233"/>
      <c r="L171" s="26"/>
      <c r="M171" s="224"/>
      <c r="N171" s="220"/>
      <c r="O171" s="32"/>
      <c r="P171" s="32"/>
      <c r="Q171" s="10"/>
      <c r="R171" s="10"/>
      <c r="S171" s="10"/>
      <c r="T171" s="10"/>
      <c r="U171" s="10"/>
      <c r="V171" s="10"/>
      <c r="W171" s="10"/>
      <c r="X171" s="10"/>
    </row>
    <row r="172">
      <c r="A172" s="234">
        <v>45629.0</v>
      </c>
      <c r="B172" s="235">
        <v>48.0</v>
      </c>
      <c r="C172" s="244" t="s">
        <v>2146</v>
      </c>
      <c r="D172" s="232" t="s">
        <v>84</v>
      </c>
      <c r="E172" s="233"/>
      <c r="F172" s="26"/>
      <c r="G172" s="233">
        <v>12.0</v>
      </c>
      <c r="H172" s="26" t="s">
        <v>190</v>
      </c>
      <c r="I172" s="233"/>
      <c r="J172" s="26"/>
      <c r="K172" s="233"/>
      <c r="L172" s="26"/>
      <c r="M172" s="220"/>
      <c r="N172" s="220"/>
      <c r="O172" s="32"/>
      <c r="P172" s="24" t="s">
        <v>2147</v>
      </c>
      <c r="Q172" s="10"/>
      <c r="R172" s="10"/>
      <c r="S172" s="10"/>
      <c r="T172" s="10"/>
      <c r="U172" s="10"/>
      <c r="V172" s="10"/>
      <c r="W172" s="10"/>
      <c r="X172" s="10"/>
    </row>
    <row r="173">
      <c r="A173" s="234">
        <v>45626.0</v>
      </c>
      <c r="B173" s="235">
        <v>48.0</v>
      </c>
      <c r="C173" s="235" t="s">
        <v>2148</v>
      </c>
      <c r="D173" s="232" t="s">
        <v>44</v>
      </c>
      <c r="E173" s="233">
        <v>8.0</v>
      </c>
      <c r="F173" s="26" t="s">
        <v>190</v>
      </c>
      <c r="G173" s="233"/>
      <c r="H173" s="26"/>
      <c r="I173" s="233"/>
      <c r="J173" s="26"/>
      <c r="K173" s="233"/>
      <c r="L173" s="26"/>
      <c r="M173" s="224"/>
      <c r="N173" s="220"/>
      <c r="O173" s="32"/>
      <c r="P173" s="24" t="s">
        <v>2149</v>
      </c>
      <c r="Q173" s="10"/>
      <c r="R173" s="10"/>
      <c r="S173" s="10"/>
      <c r="T173" s="10"/>
      <c r="U173" s="10"/>
      <c r="V173" s="10"/>
      <c r="W173" s="10"/>
      <c r="X173" s="10"/>
    </row>
    <row r="174">
      <c r="A174" s="234">
        <v>45625.0</v>
      </c>
      <c r="B174" s="235">
        <v>48.0</v>
      </c>
      <c r="C174" s="235" t="s">
        <v>2150</v>
      </c>
      <c r="D174" s="232" t="s">
        <v>54</v>
      </c>
      <c r="E174" s="233">
        <v>4.0</v>
      </c>
      <c r="F174" s="26" t="s">
        <v>190</v>
      </c>
      <c r="G174" s="233">
        <v>4.0</v>
      </c>
      <c r="H174" s="26" t="s">
        <v>190</v>
      </c>
      <c r="I174" s="233"/>
      <c r="J174" s="26"/>
      <c r="K174" s="233"/>
      <c r="L174" s="26"/>
      <c r="M174" s="220"/>
      <c r="N174" s="220"/>
      <c r="O174" s="32"/>
      <c r="P174" s="47" t="s">
        <v>2151</v>
      </c>
      <c r="Q174" s="10"/>
      <c r="R174" s="10"/>
      <c r="S174" s="10"/>
      <c r="T174" s="10"/>
      <c r="U174" s="10"/>
      <c r="V174" s="10"/>
      <c r="W174" s="10"/>
      <c r="X174" s="10"/>
    </row>
    <row r="175">
      <c r="A175" s="234">
        <v>45625.0</v>
      </c>
      <c r="B175" s="235">
        <v>48.0</v>
      </c>
      <c r="C175" s="235" t="s">
        <v>2152</v>
      </c>
      <c r="D175" s="232" t="s">
        <v>38</v>
      </c>
      <c r="E175" s="233"/>
      <c r="F175" s="26"/>
      <c r="G175" s="233">
        <v>3.0</v>
      </c>
      <c r="H175" s="26" t="s">
        <v>190</v>
      </c>
      <c r="I175" s="233"/>
      <c r="J175" s="26"/>
      <c r="K175" s="233"/>
      <c r="L175" s="26"/>
      <c r="M175" s="224" t="s">
        <v>0</v>
      </c>
      <c r="N175" s="220"/>
      <c r="O175" s="32"/>
      <c r="P175" s="32"/>
      <c r="Q175" s="10"/>
      <c r="R175" s="10"/>
      <c r="S175" s="10"/>
      <c r="T175" s="10"/>
      <c r="U175" s="10"/>
      <c r="V175" s="10"/>
      <c r="W175" s="10"/>
      <c r="X175" s="10"/>
    </row>
    <row r="176">
      <c r="A176" s="234">
        <v>45622.0</v>
      </c>
      <c r="B176" s="235">
        <v>47.0</v>
      </c>
      <c r="C176" s="235" t="s">
        <v>2153</v>
      </c>
      <c r="D176" s="232" t="s">
        <v>84</v>
      </c>
      <c r="E176" s="233"/>
      <c r="F176" s="26"/>
      <c r="G176" s="233">
        <v>6.0</v>
      </c>
      <c r="H176" s="26" t="s">
        <v>190</v>
      </c>
      <c r="I176" s="233"/>
      <c r="J176" s="26"/>
      <c r="K176" s="233"/>
      <c r="L176" s="26"/>
      <c r="M176" s="220"/>
      <c r="N176" s="220"/>
      <c r="O176" s="32"/>
      <c r="P176" s="47" t="s">
        <v>2154</v>
      </c>
      <c r="Q176" s="10"/>
      <c r="R176" s="10"/>
      <c r="S176" s="10"/>
      <c r="T176" s="10"/>
      <c r="U176" s="10"/>
      <c r="V176" s="10"/>
      <c r="W176" s="10"/>
      <c r="X176" s="10"/>
    </row>
    <row r="177">
      <c r="A177" s="234">
        <v>45621.0</v>
      </c>
      <c r="B177" s="235">
        <v>47.0</v>
      </c>
      <c r="C177" s="235" t="s">
        <v>2155</v>
      </c>
      <c r="D177" s="232" t="s">
        <v>175</v>
      </c>
      <c r="E177" s="233">
        <v>8.0</v>
      </c>
      <c r="F177" s="26" t="s">
        <v>190</v>
      </c>
      <c r="G177" s="233"/>
      <c r="H177" s="26"/>
      <c r="I177" s="233"/>
      <c r="J177" s="26"/>
      <c r="K177" s="233"/>
      <c r="L177" s="26"/>
      <c r="M177" s="220"/>
      <c r="N177" s="220"/>
      <c r="O177" s="32"/>
      <c r="P177" s="32"/>
      <c r="Q177" s="10"/>
      <c r="R177" s="10"/>
      <c r="S177" s="10"/>
      <c r="T177" s="10"/>
      <c r="U177" s="10"/>
      <c r="V177" s="10"/>
      <c r="W177" s="10"/>
      <c r="X177" s="10"/>
    </row>
    <row r="178">
      <c r="A178" s="234">
        <v>45619.0</v>
      </c>
      <c r="B178" s="235">
        <v>47.0</v>
      </c>
      <c r="C178" s="235" t="s">
        <v>2156</v>
      </c>
      <c r="D178" s="232" t="s">
        <v>44</v>
      </c>
      <c r="E178" s="233">
        <v>3.0</v>
      </c>
      <c r="F178" s="26" t="s">
        <v>190</v>
      </c>
      <c r="G178" s="233"/>
      <c r="H178" s="26"/>
      <c r="I178" s="233"/>
      <c r="J178" s="26"/>
      <c r="K178" s="233"/>
      <c r="L178" s="26"/>
      <c r="M178" s="220"/>
      <c r="N178" s="220"/>
      <c r="O178" s="32"/>
      <c r="P178" s="32"/>
      <c r="Q178" s="10"/>
      <c r="R178" s="10"/>
      <c r="S178" s="10"/>
      <c r="T178" s="10"/>
      <c r="U178" s="10"/>
      <c r="V178" s="10"/>
      <c r="W178" s="10"/>
      <c r="X178" s="10"/>
    </row>
    <row r="179">
      <c r="A179" s="234">
        <v>45618.0</v>
      </c>
      <c r="B179" s="235">
        <v>47.0</v>
      </c>
      <c r="C179" s="235" t="s">
        <v>2157</v>
      </c>
      <c r="D179" s="232" t="s">
        <v>54</v>
      </c>
      <c r="E179" s="233">
        <v>1.0</v>
      </c>
      <c r="F179" s="26" t="s">
        <v>190</v>
      </c>
      <c r="G179" s="233">
        <v>3.0</v>
      </c>
      <c r="H179" s="26" t="s">
        <v>190</v>
      </c>
      <c r="I179" s="233"/>
      <c r="J179" s="26"/>
      <c r="K179" s="233"/>
      <c r="L179" s="26"/>
      <c r="M179" s="220"/>
      <c r="N179" s="220"/>
      <c r="O179" s="32"/>
      <c r="P179" s="32"/>
      <c r="Q179" s="10"/>
      <c r="R179" s="10"/>
      <c r="S179" s="10"/>
      <c r="T179" s="10"/>
      <c r="U179" s="10"/>
      <c r="V179" s="10"/>
      <c r="W179" s="10"/>
      <c r="X179" s="10"/>
    </row>
    <row r="180">
      <c r="A180" s="234">
        <v>45617.0</v>
      </c>
      <c r="B180" s="235">
        <v>47.0</v>
      </c>
      <c r="C180" s="235" t="s">
        <v>2158</v>
      </c>
      <c r="D180" s="232" t="s">
        <v>38</v>
      </c>
      <c r="E180" s="233"/>
      <c r="F180" s="26"/>
      <c r="G180" s="233">
        <v>6.0</v>
      </c>
      <c r="H180" s="26" t="s">
        <v>190</v>
      </c>
      <c r="I180" s="233"/>
      <c r="J180" s="26"/>
      <c r="K180" s="233"/>
      <c r="L180" s="26"/>
      <c r="M180" s="220"/>
      <c r="N180" s="220"/>
      <c r="O180" s="32"/>
      <c r="P180" s="32"/>
      <c r="Q180" s="10"/>
      <c r="R180" s="10"/>
      <c r="S180" s="10"/>
      <c r="T180" s="10"/>
      <c r="U180" s="10"/>
      <c r="V180" s="10"/>
      <c r="W180" s="10"/>
      <c r="X180" s="10"/>
    </row>
    <row r="181">
      <c r="A181" s="234">
        <v>45617.0</v>
      </c>
      <c r="B181" s="235">
        <v>46.0</v>
      </c>
      <c r="C181" s="235" t="s">
        <v>2159</v>
      </c>
      <c r="D181" s="232" t="s">
        <v>38</v>
      </c>
      <c r="E181" s="233"/>
      <c r="F181" s="26"/>
      <c r="G181" s="233">
        <v>4.0</v>
      </c>
      <c r="H181" s="26" t="s">
        <v>190</v>
      </c>
      <c r="I181" s="233"/>
      <c r="J181" s="26"/>
      <c r="K181" s="233"/>
      <c r="L181" s="26"/>
      <c r="M181" s="220"/>
      <c r="N181" s="220"/>
      <c r="O181" s="32"/>
      <c r="P181" s="24" t="s">
        <v>2160</v>
      </c>
      <c r="Q181" s="10"/>
      <c r="R181" s="10"/>
      <c r="S181" s="10"/>
      <c r="T181" s="10"/>
      <c r="U181" s="10"/>
      <c r="V181" s="10"/>
      <c r="W181" s="10"/>
      <c r="X181" s="10"/>
    </row>
    <row r="182">
      <c r="A182" s="234">
        <v>45614.0</v>
      </c>
      <c r="B182" s="235">
        <v>46.0</v>
      </c>
      <c r="C182" s="235" t="s">
        <v>2161</v>
      </c>
      <c r="D182" s="232" t="s">
        <v>54</v>
      </c>
      <c r="E182" s="233">
        <v>9.0</v>
      </c>
      <c r="F182" s="26" t="s">
        <v>190</v>
      </c>
      <c r="G182" s="233">
        <v>10.0</v>
      </c>
      <c r="H182" s="26" t="s">
        <v>190</v>
      </c>
      <c r="I182" s="233"/>
      <c r="J182" s="26"/>
      <c r="K182" s="233"/>
      <c r="L182" s="26"/>
      <c r="M182" s="220"/>
      <c r="N182" s="220"/>
      <c r="O182" s="32"/>
      <c r="P182" s="32"/>
      <c r="Q182" s="10"/>
      <c r="R182" s="10"/>
      <c r="S182" s="10"/>
      <c r="T182" s="10"/>
      <c r="U182" s="10"/>
      <c r="V182" s="10"/>
      <c r="W182" s="10"/>
      <c r="X182" s="10"/>
    </row>
    <row r="183">
      <c r="A183" s="234">
        <v>45614.0</v>
      </c>
      <c r="B183" s="235">
        <v>46.0</v>
      </c>
      <c r="C183" s="235" t="s">
        <v>2162</v>
      </c>
      <c r="D183" s="232" t="s">
        <v>84</v>
      </c>
      <c r="E183" s="233"/>
      <c r="F183" s="26"/>
      <c r="G183" s="233">
        <v>8.0</v>
      </c>
      <c r="H183" s="26" t="s">
        <v>190</v>
      </c>
      <c r="I183" s="233"/>
      <c r="J183" s="26"/>
      <c r="K183" s="233"/>
      <c r="L183" s="26"/>
      <c r="M183" s="220"/>
      <c r="N183" s="220"/>
      <c r="O183" s="32"/>
      <c r="P183" s="32"/>
      <c r="Q183" s="10"/>
      <c r="R183" s="10"/>
      <c r="S183" s="10"/>
      <c r="T183" s="10"/>
      <c r="U183" s="10"/>
      <c r="V183" s="10"/>
      <c r="W183" s="10"/>
      <c r="X183" s="10"/>
    </row>
    <row r="184">
      <c r="A184" s="234">
        <v>45612.0</v>
      </c>
      <c r="B184" s="235">
        <v>46.0</v>
      </c>
      <c r="C184" s="242" t="s">
        <v>2163</v>
      </c>
      <c r="D184" s="232" t="s">
        <v>44</v>
      </c>
      <c r="E184" s="233">
        <v>5.0</v>
      </c>
      <c r="F184" s="26" t="s">
        <v>190</v>
      </c>
      <c r="G184" s="233"/>
      <c r="H184" s="26"/>
      <c r="I184" s="233"/>
      <c r="J184" s="26"/>
      <c r="K184" s="233"/>
      <c r="L184" s="26"/>
      <c r="M184" s="224"/>
      <c r="N184" s="220"/>
      <c r="O184" s="32"/>
      <c r="P184" s="32"/>
      <c r="Q184" s="10"/>
      <c r="R184" s="10"/>
      <c r="S184" s="10"/>
      <c r="T184" s="10"/>
      <c r="U184" s="10"/>
      <c r="V184" s="10"/>
      <c r="W184" s="10"/>
      <c r="X184" s="10"/>
    </row>
    <row r="185">
      <c r="A185" s="234">
        <v>45608.0</v>
      </c>
      <c r="B185" s="235">
        <v>45.0</v>
      </c>
      <c r="C185" s="242" t="s">
        <v>2164</v>
      </c>
      <c r="D185" s="232" t="s">
        <v>175</v>
      </c>
      <c r="E185" s="233">
        <v>1.0</v>
      </c>
      <c r="F185" s="26" t="s">
        <v>190</v>
      </c>
      <c r="G185" s="233"/>
      <c r="H185" s="26"/>
      <c r="I185" s="233"/>
      <c r="J185" s="26"/>
      <c r="K185" s="233"/>
      <c r="L185" s="26"/>
      <c r="M185" s="224"/>
      <c r="N185" s="220"/>
      <c r="O185" s="32"/>
      <c r="P185" s="32"/>
      <c r="Q185" s="10"/>
      <c r="R185" s="10"/>
      <c r="S185" s="10"/>
      <c r="T185" s="10"/>
      <c r="U185" s="10"/>
      <c r="V185" s="10"/>
      <c r="W185" s="10"/>
      <c r="X185" s="10"/>
    </row>
    <row r="186">
      <c r="A186" s="234">
        <v>45606.0</v>
      </c>
      <c r="B186" s="235">
        <v>45.0</v>
      </c>
      <c r="C186" s="242" t="s">
        <v>2165</v>
      </c>
      <c r="D186" s="232" t="s">
        <v>44</v>
      </c>
      <c r="E186" s="233">
        <v>9.0</v>
      </c>
      <c r="F186" s="26" t="s">
        <v>190</v>
      </c>
      <c r="G186" s="233"/>
      <c r="H186" s="26"/>
      <c r="I186" s="233"/>
      <c r="J186" s="26"/>
      <c r="K186" s="233"/>
      <c r="L186" s="26"/>
      <c r="M186" s="224"/>
      <c r="N186" s="220"/>
      <c r="O186" s="32"/>
      <c r="P186" s="32"/>
      <c r="Q186" s="10"/>
      <c r="R186" s="10"/>
      <c r="S186" s="10"/>
      <c r="T186" s="10"/>
      <c r="U186" s="10"/>
      <c r="V186" s="10"/>
      <c r="W186" s="10"/>
      <c r="X186" s="10"/>
    </row>
    <row r="187">
      <c r="A187" s="234">
        <v>45604.0</v>
      </c>
      <c r="B187" s="235">
        <v>45.0</v>
      </c>
      <c r="C187" s="235" t="s">
        <v>2166</v>
      </c>
      <c r="D187" s="232" t="s">
        <v>38</v>
      </c>
      <c r="E187" s="233"/>
      <c r="F187" s="26"/>
      <c r="G187" s="233">
        <v>5.0</v>
      </c>
      <c r="H187" s="26" t="s">
        <v>190</v>
      </c>
      <c r="I187" s="233"/>
      <c r="J187" s="26"/>
      <c r="K187" s="233"/>
      <c r="L187" s="26"/>
      <c r="M187" s="225" t="s">
        <v>2167</v>
      </c>
      <c r="N187" s="220"/>
      <c r="O187" s="32"/>
      <c r="P187" s="32"/>
      <c r="Q187" s="10"/>
      <c r="R187" s="10"/>
      <c r="S187" s="10"/>
      <c r="T187" s="10"/>
      <c r="U187" s="10"/>
      <c r="V187" s="10"/>
      <c r="W187" s="10"/>
      <c r="X187" s="10"/>
    </row>
    <row r="188">
      <c r="A188" s="234">
        <v>45604.0</v>
      </c>
      <c r="B188" s="235">
        <v>45.0</v>
      </c>
      <c r="C188" s="235" t="s">
        <v>2168</v>
      </c>
      <c r="D188" s="232" t="s">
        <v>54</v>
      </c>
      <c r="E188" s="233">
        <v>5.0</v>
      </c>
      <c r="F188" s="26" t="s">
        <v>190</v>
      </c>
      <c r="G188" s="233">
        <v>20.0</v>
      </c>
      <c r="H188" s="26" t="s">
        <v>190</v>
      </c>
      <c r="I188" s="233"/>
      <c r="J188" s="26"/>
      <c r="K188" s="233"/>
      <c r="L188" s="26"/>
      <c r="M188" s="225" t="s">
        <v>2169</v>
      </c>
      <c r="N188" s="220"/>
      <c r="O188" s="32"/>
      <c r="P188" s="32"/>
      <c r="Q188" s="10"/>
      <c r="R188" s="10"/>
      <c r="S188" s="10"/>
      <c r="T188" s="10"/>
      <c r="U188" s="10"/>
      <c r="V188" s="10"/>
      <c r="W188" s="10"/>
      <c r="X188" s="10"/>
    </row>
    <row r="189">
      <c r="A189" s="234">
        <v>45604.0</v>
      </c>
      <c r="B189" s="235">
        <v>45.0</v>
      </c>
      <c r="C189" s="242" t="s">
        <v>2170</v>
      </c>
      <c r="D189" s="232" t="s">
        <v>2171</v>
      </c>
      <c r="E189" s="233"/>
      <c r="F189" s="26"/>
      <c r="G189" s="233">
        <v>13.0</v>
      </c>
      <c r="H189" s="26" t="s">
        <v>190</v>
      </c>
      <c r="I189" s="233"/>
      <c r="J189" s="26"/>
      <c r="K189" s="233"/>
      <c r="L189" s="26"/>
      <c r="M189" s="224"/>
      <c r="N189" s="220"/>
      <c r="O189" s="32"/>
      <c r="P189" s="32"/>
      <c r="Q189" s="10"/>
      <c r="R189" s="10"/>
      <c r="S189" s="10"/>
      <c r="T189" s="10"/>
      <c r="U189" s="10"/>
      <c r="V189" s="10"/>
      <c r="W189" s="10"/>
      <c r="X189" s="10"/>
    </row>
    <row r="190">
      <c r="A190" s="234">
        <v>45604.0</v>
      </c>
      <c r="B190" s="235">
        <v>45.0</v>
      </c>
      <c r="C190" s="235" t="s">
        <v>2172</v>
      </c>
      <c r="D190" s="232" t="s">
        <v>84</v>
      </c>
      <c r="E190" s="233"/>
      <c r="F190" s="26"/>
      <c r="G190" s="233">
        <v>3.0</v>
      </c>
      <c r="H190" s="26" t="s">
        <v>190</v>
      </c>
      <c r="I190" s="233"/>
      <c r="J190" s="26"/>
      <c r="K190" s="233"/>
      <c r="L190" s="26"/>
      <c r="M190" s="224"/>
      <c r="N190" s="220"/>
      <c r="O190" s="32"/>
      <c r="P190" s="32"/>
      <c r="Q190" s="10"/>
      <c r="R190" s="10"/>
      <c r="S190" s="10"/>
      <c r="T190" s="10"/>
      <c r="U190" s="10"/>
      <c r="V190" s="10"/>
      <c r="W190" s="10"/>
      <c r="X190" s="10"/>
    </row>
    <row r="191">
      <c r="A191" s="234">
        <v>45603.0</v>
      </c>
      <c r="B191" s="235">
        <v>45.0</v>
      </c>
      <c r="C191" s="235" t="s">
        <v>2173</v>
      </c>
      <c r="D191" s="232" t="s">
        <v>2104</v>
      </c>
      <c r="E191" s="233"/>
      <c r="F191" s="26"/>
      <c r="G191" s="233">
        <v>25.0</v>
      </c>
      <c r="H191" s="26" t="s">
        <v>190</v>
      </c>
      <c r="I191" s="233"/>
      <c r="J191" s="26"/>
      <c r="K191" s="233"/>
      <c r="L191" s="26"/>
      <c r="M191" s="224" t="s">
        <v>2174</v>
      </c>
      <c r="N191" s="220"/>
      <c r="O191" s="32"/>
      <c r="P191" s="32"/>
      <c r="Q191" s="10"/>
      <c r="R191" s="10"/>
      <c r="S191" s="10"/>
      <c r="T191" s="10"/>
      <c r="U191" s="10"/>
      <c r="V191" s="10"/>
      <c r="W191" s="10"/>
      <c r="X191" s="10"/>
    </row>
    <row r="192">
      <c r="A192" s="234">
        <v>45601.0</v>
      </c>
      <c r="B192" s="235">
        <v>44.0</v>
      </c>
      <c r="C192" s="235" t="s">
        <v>2175</v>
      </c>
      <c r="D192" s="232" t="s">
        <v>2176</v>
      </c>
      <c r="E192" s="233">
        <v>1.0</v>
      </c>
      <c r="F192" s="26" t="s">
        <v>190</v>
      </c>
      <c r="G192" s="233"/>
      <c r="H192" s="26"/>
      <c r="I192" s="233"/>
      <c r="J192" s="26"/>
      <c r="K192" s="233"/>
      <c r="L192" s="26"/>
      <c r="M192" s="224"/>
      <c r="N192" s="220"/>
      <c r="O192" s="32"/>
      <c r="P192" s="32"/>
      <c r="Q192" s="10"/>
      <c r="R192" s="10"/>
      <c r="S192" s="10"/>
      <c r="T192" s="10"/>
      <c r="U192" s="10"/>
      <c r="V192" s="10"/>
      <c r="W192" s="10"/>
      <c r="X192" s="10"/>
    </row>
    <row r="193">
      <c r="A193" s="234">
        <v>45601.0</v>
      </c>
      <c r="B193" s="235">
        <v>44.0</v>
      </c>
      <c r="C193" s="235" t="s">
        <v>2177</v>
      </c>
      <c r="D193" s="232" t="s">
        <v>84</v>
      </c>
      <c r="E193" s="233"/>
      <c r="F193" s="26"/>
      <c r="G193" s="233">
        <v>7.0</v>
      </c>
      <c r="H193" s="26" t="s">
        <v>190</v>
      </c>
      <c r="I193" s="233"/>
      <c r="J193" s="26"/>
      <c r="K193" s="233"/>
      <c r="L193" s="26"/>
      <c r="M193" s="224"/>
      <c r="N193" s="220"/>
      <c r="O193" s="32"/>
      <c r="P193" s="32"/>
      <c r="Q193" s="10"/>
      <c r="R193" s="10"/>
      <c r="S193" s="10"/>
      <c r="T193" s="10"/>
      <c r="U193" s="10"/>
      <c r="V193" s="10"/>
      <c r="W193" s="10"/>
      <c r="X193" s="10"/>
    </row>
    <row r="194">
      <c r="A194" s="234">
        <v>45600.0</v>
      </c>
      <c r="B194" s="235">
        <v>44.0</v>
      </c>
      <c r="C194" s="235" t="s">
        <v>2178</v>
      </c>
      <c r="D194" s="232" t="s">
        <v>44</v>
      </c>
      <c r="E194" s="233">
        <v>8.0</v>
      </c>
      <c r="F194" s="26" t="s">
        <v>190</v>
      </c>
      <c r="G194" s="233"/>
      <c r="H194" s="26"/>
      <c r="I194" s="233"/>
      <c r="J194" s="26"/>
      <c r="K194" s="233"/>
      <c r="L194" s="26"/>
      <c r="M194" s="227"/>
      <c r="N194" s="224" t="s">
        <v>2179</v>
      </c>
      <c r="O194" s="32"/>
      <c r="P194" s="32"/>
      <c r="Q194" s="10"/>
      <c r="R194" s="10"/>
      <c r="S194" s="10"/>
      <c r="T194" s="10"/>
      <c r="U194" s="10"/>
      <c r="V194" s="10"/>
      <c r="W194" s="10"/>
      <c r="X194" s="10"/>
    </row>
    <row r="195">
      <c r="A195" s="234">
        <v>45600.0</v>
      </c>
      <c r="B195" s="235">
        <v>44.0</v>
      </c>
      <c r="C195" s="235" t="s">
        <v>2180</v>
      </c>
      <c r="D195" s="232" t="s">
        <v>2171</v>
      </c>
      <c r="E195" s="233"/>
      <c r="F195" s="26"/>
      <c r="G195" s="233">
        <v>11.0</v>
      </c>
      <c r="H195" s="26" t="s">
        <v>190</v>
      </c>
      <c r="I195" s="233">
        <v>6.0</v>
      </c>
      <c r="J195" s="26" t="s">
        <v>190</v>
      </c>
      <c r="K195" s="233"/>
      <c r="L195" s="26"/>
      <c r="M195" s="224" t="s">
        <v>2181</v>
      </c>
      <c r="N195" s="220"/>
      <c r="O195" s="32"/>
      <c r="P195" s="32"/>
      <c r="Q195" s="10"/>
      <c r="R195" s="10"/>
      <c r="S195" s="10"/>
      <c r="T195" s="10"/>
      <c r="U195" s="10"/>
      <c r="V195" s="10"/>
      <c r="W195" s="10"/>
      <c r="X195" s="10"/>
    </row>
    <row r="196">
      <c r="A196" s="234">
        <v>45597.0</v>
      </c>
      <c r="B196" s="235">
        <v>44.0</v>
      </c>
      <c r="C196" s="235" t="s">
        <v>2182</v>
      </c>
      <c r="D196" s="232" t="s">
        <v>175</v>
      </c>
      <c r="E196" s="233">
        <v>1.0</v>
      </c>
      <c r="F196" s="26" t="s">
        <v>190</v>
      </c>
      <c r="G196" s="233"/>
      <c r="H196" s="26"/>
      <c r="I196" s="233"/>
      <c r="J196" s="26"/>
      <c r="K196" s="233"/>
      <c r="L196" s="26"/>
      <c r="M196" s="224" t="s">
        <v>2183</v>
      </c>
      <c r="N196" s="220"/>
      <c r="O196" s="32"/>
      <c r="P196" s="32"/>
      <c r="Q196" s="10"/>
      <c r="R196" s="10"/>
      <c r="S196" s="10"/>
      <c r="T196" s="10"/>
      <c r="U196" s="10"/>
      <c r="V196" s="10"/>
      <c r="W196" s="10"/>
      <c r="X196" s="10"/>
    </row>
    <row r="197">
      <c r="A197" s="234">
        <v>45596.0</v>
      </c>
      <c r="B197" s="235">
        <v>44.0</v>
      </c>
      <c r="C197" s="235" t="s">
        <v>2184</v>
      </c>
      <c r="D197" s="232" t="s">
        <v>38</v>
      </c>
      <c r="E197" s="233"/>
      <c r="F197" s="26"/>
      <c r="G197" s="233">
        <v>3.0</v>
      </c>
      <c r="H197" s="26" t="s">
        <v>190</v>
      </c>
      <c r="I197" s="233"/>
      <c r="J197" s="26"/>
      <c r="K197" s="233"/>
      <c r="L197" s="26"/>
      <c r="M197" s="225" t="s">
        <v>2185</v>
      </c>
      <c r="N197" s="220"/>
      <c r="O197" s="32"/>
      <c r="P197" s="32"/>
      <c r="Q197" s="10"/>
      <c r="R197" s="10"/>
      <c r="S197" s="10"/>
      <c r="T197" s="10"/>
      <c r="U197" s="10"/>
      <c r="V197" s="10"/>
      <c r="W197" s="10"/>
      <c r="X197" s="10"/>
    </row>
    <row r="198">
      <c r="A198" s="234">
        <v>45596.0</v>
      </c>
      <c r="B198" s="235">
        <v>44.0</v>
      </c>
      <c r="C198" s="235" t="s">
        <v>2186</v>
      </c>
      <c r="D198" s="232" t="s">
        <v>54</v>
      </c>
      <c r="E198" s="233">
        <v>6.0</v>
      </c>
      <c r="F198" s="26" t="s">
        <v>190</v>
      </c>
      <c r="G198" s="233"/>
      <c r="H198" s="26"/>
      <c r="I198" s="233"/>
      <c r="J198" s="26"/>
      <c r="K198" s="233"/>
      <c r="L198" s="26"/>
      <c r="M198" s="225" t="s">
        <v>2187</v>
      </c>
      <c r="N198" s="220"/>
      <c r="O198" s="32"/>
      <c r="P198" s="32"/>
      <c r="Q198" s="10"/>
      <c r="R198" s="10"/>
      <c r="S198" s="10"/>
      <c r="T198" s="10"/>
      <c r="U198" s="10"/>
      <c r="V198" s="10"/>
      <c r="W198" s="10"/>
      <c r="X198" s="10"/>
    </row>
    <row r="199">
      <c r="A199" s="234">
        <v>45594.0</v>
      </c>
      <c r="B199" s="235">
        <v>43.0</v>
      </c>
      <c r="C199" s="235" t="s">
        <v>2188</v>
      </c>
      <c r="D199" s="232" t="s">
        <v>38</v>
      </c>
      <c r="E199" s="233"/>
      <c r="F199" s="26"/>
      <c r="G199" s="233">
        <v>5.0</v>
      </c>
      <c r="H199" s="26" t="s">
        <v>190</v>
      </c>
      <c r="I199" s="233"/>
      <c r="J199" s="26"/>
      <c r="K199" s="233"/>
      <c r="L199" s="26"/>
      <c r="M199" s="227"/>
      <c r="N199" s="220"/>
      <c r="O199" s="32"/>
      <c r="P199" s="32"/>
      <c r="Q199" s="10"/>
      <c r="R199" s="10"/>
      <c r="S199" s="10"/>
      <c r="T199" s="10"/>
      <c r="U199" s="10"/>
      <c r="V199" s="10"/>
      <c r="W199" s="10"/>
      <c r="X199" s="10"/>
    </row>
    <row r="200">
      <c r="A200" s="234">
        <v>45593.0</v>
      </c>
      <c r="B200" s="235">
        <v>43.0</v>
      </c>
      <c r="C200" s="235" t="s">
        <v>2189</v>
      </c>
      <c r="D200" s="232" t="s">
        <v>2171</v>
      </c>
      <c r="E200" s="233"/>
      <c r="F200" s="26"/>
      <c r="G200" s="233">
        <v>41.0</v>
      </c>
      <c r="H200" s="26" t="s">
        <v>190</v>
      </c>
      <c r="I200" s="233">
        <v>7.0</v>
      </c>
      <c r="J200" s="26" t="s">
        <v>190</v>
      </c>
      <c r="K200" s="233"/>
      <c r="L200" s="26"/>
      <c r="M200" s="224" t="s">
        <v>2190</v>
      </c>
      <c r="N200" s="220"/>
      <c r="O200" s="32"/>
      <c r="P200" s="32"/>
      <c r="Q200" s="10"/>
      <c r="R200" s="10"/>
      <c r="S200" s="10"/>
      <c r="T200" s="10"/>
      <c r="U200" s="10"/>
      <c r="V200" s="10"/>
      <c r="W200" s="10"/>
      <c r="X200" s="10"/>
    </row>
    <row r="201">
      <c r="A201" s="234">
        <v>45593.0</v>
      </c>
      <c r="B201" s="235">
        <v>43.0</v>
      </c>
      <c r="C201" s="235" t="s">
        <v>2191</v>
      </c>
      <c r="D201" s="232" t="s">
        <v>84</v>
      </c>
      <c r="E201" s="233"/>
      <c r="F201" s="26"/>
      <c r="G201" s="233">
        <v>7.0</v>
      </c>
      <c r="H201" s="26" t="s">
        <v>190</v>
      </c>
      <c r="I201" s="233"/>
      <c r="J201" s="26"/>
      <c r="K201" s="233"/>
      <c r="L201" s="26"/>
      <c r="M201" s="225" t="s">
        <v>2192</v>
      </c>
      <c r="N201" s="220"/>
      <c r="O201" s="32"/>
      <c r="P201" s="32"/>
      <c r="Q201" s="10"/>
      <c r="R201" s="10"/>
      <c r="S201" s="10"/>
      <c r="T201" s="10"/>
      <c r="U201" s="10"/>
      <c r="V201" s="10"/>
      <c r="W201" s="10"/>
      <c r="X201" s="10"/>
    </row>
    <row r="202">
      <c r="A202" s="234">
        <v>45592.0</v>
      </c>
      <c r="B202" s="235">
        <v>43.0</v>
      </c>
      <c r="C202" s="235" t="s">
        <v>2193</v>
      </c>
      <c r="D202" s="232" t="s">
        <v>2017</v>
      </c>
      <c r="E202" s="233"/>
      <c r="F202" s="26"/>
      <c r="G202" s="233"/>
      <c r="H202" s="26"/>
      <c r="I202" s="233">
        <v>41.0</v>
      </c>
      <c r="J202" s="26" t="s">
        <v>190</v>
      </c>
      <c r="K202" s="233"/>
      <c r="L202" s="26"/>
      <c r="M202" s="224" t="s">
        <v>2194</v>
      </c>
      <c r="N202" s="220"/>
      <c r="O202" s="32"/>
      <c r="P202" s="32"/>
      <c r="Q202" s="10"/>
      <c r="R202" s="10"/>
      <c r="S202" s="10"/>
      <c r="T202" s="10"/>
      <c r="U202" s="10"/>
      <c r="V202" s="10"/>
      <c r="W202" s="10"/>
      <c r="X202" s="10"/>
    </row>
    <row r="203">
      <c r="A203" s="234">
        <v>45590.0</v>
      </c>
      <c r="B203" s="235">
        <v>43.0</v>
      </c>
      <c r="C203" s="235" t="s">
        <v>2195</v>
      </c>
      <c r="D203" s="232" t="s">
        <v>54</v>
      </c>
      <c r="E203" s="233">
        <v>4.0</v>
      </c>
      <c r="F203" s="26" t="s">
        <v>190</v>
      </c>
      <c r="G203" s="233">
        <v>13.0</v>
      </c>
      <c r="H203" s="26" t="s">
        <v>190</v>
      </c>
      <c r="I203" s="233"/>
      <c r="J203" s="26"/>
      <c r="K203" s="233"/>
      <c r="L203" s="26"/>
      <c r="M203" s="224"/>
      <c r="N203" s="220"/>
      <c r="O203" s="32"/>
      <c r="P203" s="32"/>
      <c r="Q203" s="10"/>
      <c r="R203" s="10"/>
      <c r="S203" s="10"/>
      <c r="T203" s="10"/>
      <c r="U203" s="10"/>
      <c r="V203" s="10"/>
      <c r="W203" s="10"/>
      <c r="X203" s="10"/>
    </row>
    <row r="204">
      <c r="A204" s="234">
        <v>45589.0</v>
      </c>
      <c r="B204" s="235">
        <v>43.0</v>
      </c>
      <c r="C204" s="235" t="s">
        <v>2196</v>
      </c>
      <c r="D204" s="232" t="s">
        <v>175</v>
      </c>
      <c r="E204" s="233">
        <v>3.0</v>
      </c>
      <c r="F204" s="26" t="s">
        <v>190</v>
      </c>
      <c r="G204" s="233">
        <v>1.0</v>
      </c>
      <c r="H204" s="26" t="s">
        <v>190</v>
      </c>
      <c r="I204" s="233"/>
      <c r="J204" s="26"/>
      <c r="K204" s="233"/>
      <c r="L204" s="26"/>
      <c r="M204" s="224" t="s">
        <v>2197</v>
      </c>
      <c r="N204" s="224"/>
      <c r="O204" s="32"/>
      <c r="P204" s="32"/>
      <c r="Q204" s="10"/>
      <c r="R204" s="10"/>
      <c r="S204" s="10"/>
      <c r="T204" s="10"/>
      <c r="U204" s="10"/>
      <c r="V204" s="10"/>
      <c r="W204" s="10"/>
      <c r="X204" s="10"/>
    </row>
    <row r="205">
      <c r="A205" s="234">
        <v>45589.0</v>
      </c>
      <c r="B205" s="235">
        <v>40.0</v>
      </c>
      <c r="C205" s="235" t="s">
        <v>2198</v>
      </c>
      <c r="D205" s="232" t="s">
        <v>2104</v>
      </c>
      <c r="E205" s="233"/>
      <c r="F205" s="26"/>
      <c r="G205" s="233">
        <v>4.0</v>
      </c>
      <c r="H205" s="26" t="s">
        <v>190</v>
      </c>
      <c r="I205" s="233"/>
      <c r="J205" s="26"/>
      <c r="K205" s="233"/>
      <c r="L205" s="26"/>
      <c r="M205" s="227"/>
      <c r="N205" s="220"/>
      <c r="O205" s="32"/>
      <c r="P205" s="32"/>
      <c r="Q205" s="10"/>
      <c r="R205" s="10"/>
      <c r="S205" s="10"/>
      <c r="T205" s="10"/>
      <c r="U205" s="10"/>
      <c r="V205" s="10"/>
      <c r="W205" s="10"/>
      <c r="X205" s="10"/>
    </row>
    <row r="206">
      <c r="A206" s="234">
        <v>45586.0</v>
      </c>
      <c r="B206" s="235">
        <v>42.0</v>
      </c>
      <c r="C206" s="235" t="s">
        <v>2199</v>
      </c>
      <c r="D206" s="232" t="s">
        <v>2171</v>
      </c>
      <c r="E206" s="233"/>
      <c r="F206" s="26"/>
      <c r="G206" s="233">
        <v>28.0</v>
      </c>
      <c r="H206" s="26" t="s">
        <v>190</v>
      </c>
      <c r="I206" s="233">
        <v>10.0</v>
      </c>
      <c r="J206" s="26" t="s">
        <v>190</v>
      </c>
      <c r="K206" s="233"/>
      <c r="L206" s="26"/>
      <c r="M206" s="224" t="s">
        <v>2200</v>
      </c>
      <c r="N206" s="220"/>
      <c r="O206" s="32"/>
      <c r="P206" s="32"/>
      <c r="Q206" s="10"/>
      <c r="R206" s="10"/>
      <c r="S206" s="10"/>
      <c r="T206" s="10"/>
      <c r="U206" s="10"/>
      <c r="V206" s="10"/>
      <c r="W206" s="10"/>
      <c r="X206" s="10"/>
    </row>
    <row r="207">
      <c r="A207" s="234">
        <v>45586.0</v>
      </c>
      <c r="B207" s="235">
        <v>42.0</v>
      </c>
      <c r="C207" s="235" t="s">
        <v>2201</v>
      </c>
      <c r="D207" s="232" t="s">
        <v>84</v>
      </c>
      <c r="E207" s="233"/>
      <c r="F207" s="26"/>
      <c r="G207" s="233">
        <v>5.0</v>
      </c>
      <c r="H207" s="26" t="s">
        <v>190</v>
      </c>
      <c r="I207" s="233"/>
      <c r="J207" s="26"/>
      <c r="K207" s="233"/>
      <c r="L207" s="26"/>
      <c r="M207" s="224"/>
      <c r="N207" s="224" t="s">
        <v>2202</v>
      </c>
      <c r="O207" s="32"/>
      <c r="P207" s="32"/>
      <c r="Q207" s="10"/>
      <c r="R207" s="10"/>
      <c r="S207" s="10"/>
      <c r="T207" s="10"/>
      <c r="U207" s="10"/>
      <c r="V207" s="10"/>
      <c r="W207" s="10"/>
      <c r="X207" s="10"/>
    </row>
    <row r="208">
      <c r="A208" s="234">
        <v>45585.0</v>
      </c>
      <c r="B208" s="235">
        <v>42.0</v>
      </c>
      <c r="C208" s="235" t="s">
        <v>2203</v>
      </c>
      <c r="D208" s="232" t="s">
        <v>44</v>
      </c>
      <c r="E208" s="233">
        <v>4.0</v>
      </c>
      <c r="F208" s="26" t="s">
        <v>190</v>
      </c>
      <c r="G208" s="233"/>
      <c r="H208" s="26"/>
      <c r="I208" s="233"/>
      <c r="J208" s="26"/>
      <c r="K208" s="233"/>
      <c r="L208" s="26"/>
      <c r="M208" s="224"/>
      <c r="N208" s="220"/>
      <c r="O208" s="32"/>
      <c r="P208" s="32"/>
      <c r="Q208" s="10"/>
      <c r="R208" s="10"/>
      <c r="S208" s="10"/>
      <c r="T208" s="10"/>
      <c r="U208" s="10"/>
      <c r="V208" s="10"/>
      <c r="W208" s="10"/>
      <c r="X208" s="10"/>
    </row>
    <row r="209">
      <c r="A209" s="234">
        <v>45583.0</v>
      </c>
      <c r="B209" s="235">
        <v>42.0</v>
      </c>
      <c r="C209" s="235" t="s">
        <v>2204</v>
      </c>
      <c r="D209" s="232" t="s">
        <v>54</v>
      </c>
      <c r="E209" s="233">
        <v>11.0</v>
      </c>
      <c r="F209" s="26" t="s">
        <v>190</v>
      </c>
      <c r="G209" s="233">
        <v>6.0</v>
      </c>
      <c r="H209" s="26" t="s">
        <v>190</v>
      </c>
      <c r="I209" s="233"/>
      <c r="J209" s="26"/>
      <c r="K209" s="233"/>
      <c r="L209" s="26"/>
      <c r="M209" s="224" t="s">
        <v>2205</v>
      </c>
      <c r="N209" s="220"/>
      <c r="O209" s="32"/>
      <c r="P209" s="32"/>
      <c r="Q209" s="10"/>
      <c r="R209" s="10"/>
      <c r="S209" s="10"/>
      <c r="T209" s="10"/>
      <c r="U209" s="10"/>
      <c r="V209" s="10"/>
      <c r="W209" s="10"/>
      <c r="X209" s="10"/>
    </row>
    <row r="210">
      <c r="A210" s="234">
        <v>45582.0</v>
      </c>
      <c r="B210" s="235">
        <v>42.0</v>
      </c>
      <c r="C210" s="235" t="s">
        <v>2206</v>
      </c>
      <c r="D210" s="232" t="s">
        <v>38</v>
      </c>
      <c r="E210" s="233"/>
      <c r="F210" s="26"/>
      <c r="G210" s="233">
        <v>6.0</v>
      </c>
      <c r="H210" s="26" t="s">
        <v>190</v>
      </c>
      <c r="I210" s="233"/>
      <c r="J210" s="26"/>
      <c r="K210" s="233"/>
      <c r="L210" s="26"/>
      <c r="M210" s="224" t="s">
        <v>2207</v>
      </c>
      <c r="N210" s="220"/>
      <c r="O210" s="32"/>
      <c r="P210" s="32"/>
      <c r="Q210" s="10"/>
      <c r="R210" s="10"/>
      <c r="S210" s="10"/>
      <c r="T210" s="10"/>
      <c r="U210" s="10"/>
      <c r="V210" s="10"/>
      <c r="W210" s="10"/>
      <c r="X210" s="10"/>
    </row>
    <row r="211">
      <c r="A211" s="234">
        <v>45579.0</v>
      </c>
      <c r="B211" s="235">
        <v>41.0</v>
      </c>
      <c r="C211" s="235" t="s">
        <v>2208</v>
      </c>
      <c r="D211" s="232" t="s">
        <v>2017</v>
      </c>
      <c r="E211" s="233"/>
      <c r="F211" s="26"/>
      <c r="G211" s="233"/>
      <c r="H211" s="26"/>
      <c r="I211" s="233">
        <v>1.0</v>
      </c>
      <c r="J211" s="26" t="s">
        <v>190</v>
      </c>
      <c r="K211" s="233"/>
      <c r="L211" s="26"/>
      <c r="M211" s="224"/>
      <c r="N211" s="220"/>
      <c r="O211" s="32"/>
      <c r="P211" s="32"/>
      <c r="Q211" s="10"/>
      <c r="R211" s="10"/>
      <c r="S211" s="10"/>
      <c r="T211" s="10"/>
      <c r="U211" s="10"/>
      <c r="V211" s="10"/>
      <c r="W211" s="10"/>
      <c r="X211" s="10"/>
    </row>
    <row r="212">
      <c r="A212" s="234">
        <v>45579.0</v>
      </c>
      <c r="B212" s="235">
        <v>41.0</v>
      </c>
      <c r="C212" s="235" t="s">
        <v>2209</v>
      </c>
      <c r="D212" s="232" t="s">
        <v>175</v>
      </c>
      <c r="E212" s="233">
        <v>8.0</v>
      </c>
      <c r="F212" s="26" t="s">
        <v>190</v>
      </c>
      <c r="G212" s="233"/>
      <c r="H212" s="26"/>
      <c r="I212" s="233"/>
      <c r="J212" s="26"/>
      <c r="K212" s="233"/>
      <c r="L212" s="26"/>
      <c r="M212" s="225" t="s">
        <v>2210</v>
      </c>
      <c r="N212" s="220"/>
      <c r="O212" s="32"/>
      <c r="P212" s="32"/>
      <c r="Q212" s="10"/>
      <c r="R212" s="10"/>
      <c r="S212" s="10"/>
      <c r="T212" s="10"/>
      <c r="U212" s="10"/>
      <c r="V212" s="10"/>
      <c r="W212" s="10"/>
      <c r="X212" s="10"/>
    </row>
    <row r="213">
      <c r="A213" s="234">
        <v>45578.0</v>
      </c>
      <c r="B213" s="235">
        <v>41.0</v>
      </c>
      <c r="C213" s="235" t="s">
        <v>2211</v>
      </c>
      <c r="D213" s="232" t="s">
        <v>2171</v>
      </c>
      <c r="E213" s="233"/>
      <c r="F213" s="26"/>
      <c r="G213" s="233">
        <v>17.0</v>
      </c>
      <c r="H213" s="26" t="s">
        <v>190</v>
      </c>
      <c r="I213" s="233">
        <v>14.0</v>
      </c>
      <c r="J213" s="26" t="s">
        <v>190</v>
      </c>
      <c r="K213" s="233"/>
      <c r="L213" s="26"/>
      <c r="M213" s="224" t="s">
        <v>2212</v>
      </c>
      <c r="N213" s="220"/>
      <c r="O213" s="32"/>
      <c r="P213" s="32"/>
      <c r="Q213" s="10"/>
      <c r="R213" s="10"/>
      <c r="S213" s="10"/>
      <c r="T213" s="10"/>
      <c r="U213" s="10"/>
      <c r="V213" s="10"/>
      <c r="W213" s="10"/>
      <c r="X213" s="10"/>
    </row>
    <row r="214">
      <c r="A214" s="234">
        <v>45576.0</v>
      </c>
      <c r="B214" s="235">
        <v>41.0</v>
      </c>
      <c r="C214" s="235" t="s">
        <v>2213</v>
      </c>
      <c r="D214" s="232" t="s">
        <v>44</v>
      </c>
      <c r="E214" s="233">
        <v>10.0</v>
      </c>
      <c r="F214" s="26" t="s">
        <v>190</v>
      </c>
      <c r="G214" s="233"/>
      <c r="H214" s="26"/>
      <c r="I214" s="233"/>
      <c r="J214" s="26"/>
      <c r="K214" s="233"/>
      <c r="L214" s="26"/>
      <c r="M214" s="225" t="s">
        <v>2214</v>
      </c>
      <c r="N214" s="220"/>
      <c r="O214" s="32"/>
      <c r="P214" s="32"/>
      <c r="Q214" s="10"/>
      <c r="R214" s="10"/>
      <c r="S214" s="10"/>
      <c r="T214" s="10"/>
      <c r="U214" s="10"/>
      <c r="V214" s="10"/>
      <c r="W214" s="10"/>
      <c r="X214" s="10"/>
    </row>
    <row r="215">
      <c r="A215" s="234">
        <v>45576.0</v>
      </c>
      <c r="B215" s="235">
        <v>41.0</v>
      </c>
      <c r="C215" s="235" t="s">
        <v>2215</v>
      </c>
      <c r="D215" s="232" t="s">
        <v>54</v>
      </c>
      <c r="E215" s="233">
        <v>5.0</v>
      </c>
      <c r="F215" s="26" t="s">
        <v>190</v>
      </c>
      <c r="G215" s="233">
        <v>9.0</v>
      </c>
      <c r="H215" s="26" t="s">
        <v>190</v>
      </c>
      <c r="I215" s="233"/>
      <c r="J215" s="26"/>
      <c r="K215" s="233"/>
      <c r="L215" s="26"/>
      <c r="M215" s="224" t="s">
        <v>2216</v>
      </c>
      <c r="N215" s="220"/>
      <c r="O215" s="32"/>
      <c r="P215" s="32"/>
      <c r="Q215" s="10"/>
      <c r="R215" s="10"/>
      <c r="S215" s="10"/>
      <c r="T215" s="10"/>
      <c r="U215" s="10"/>
      <c r="V215" s="10"/>
      <c r="W215" s="10"/>
      <c r="X215" s="10"/>
    </row>
    <row r="216">
      <c r="A216" s="234">
        <v>45576.0</v>
      </c>
      <c r="B216" s="235">
        <v>41.0</v>
      </c>
      <c r="C216" s="235" t="s">
        <v>2217</v>
      </c>
      <c r="D216" s="232" t="s">
        <v>84</v>
      </c>
      <c r="E216" s="233"/>
      <c r="F216" s="26"/>
      <c r="G216" s="233">
        <v>6.0</v>
      </c>
      <c r="H216" s="26" t="s">
        <v>190</v>
      </c>
      <c r="I216" s="233"/>
      <c r="J216" s="26"/>
      <c r="K216" s="233"/>
      <c r="L216" s="26"/>
      <c r="M216" s="220"/>
      <c r="N216" s="220"/>
      <c r="O216" s="32"/>
      <c r="P216" s="32"/>
      <c r="Q216" s="10"/>
      <c r="R216" s="10"/>
      <c r="S216" s="10"/>
      <c r="T216" s="10"/>
      <c r="U216" s="10"/>
      <c r="V216" s="10"/>
      <c r="W216" s="10"/>
      <c r="X216" s="10"/>
    </row>
    <row r="217">
      <c r="A217" s="234">
        <v>45572.0</v>
      </c>
      <c r="B217" s="235">
        <v>40.0</v>
      </c>
      <c r="C217" s="235" t="s">
        <v>2218</v>
      </c>
      <c r="D217" s="232" t="s">
        <v>2171</v>
      </c>
      <c r="E217" s="233"/>
      <c r="F217" s="26"/>
      <c r="G217" s="233">
        <v>16.0</v>
      </c>
      <c r="H217" s="26" t="s">
        <v>190</v>
      </c>
      <c r="I217" s="233">
        <v>11.0</v>
      </c>
      <c r="J217" s="26" t="s">
        <v>190</v>
      </c>
      <c r="K217" s="233"/>
      <c r="L217" s="26"/>
      <c r="M217" s="224" t="s">
        <v>2219</v>
      </c>
      <c r="N217" s="224" t="s">
        <v>2220</v>
      </c>
      <c r="O217" s="32"/>
      <c r="P217" s="32"/>
      <c r="Q217" s="10"/>
      <c r="R217" s="10"/>
      <c r="S217" s="10"/>
      <c r="T217" s="10"/>
      <c r="U217" s="10"/>
      <c r="V217" s="10"/>
      <c r="W217" s="10"/>
      <c r="X217" s="10"/>
    </row>
    <row r="218">
      <c r="A218" s="234">
        <v>45569.0</v>
      </c>
      <c r="B218" s="235">
        <v>40.0</v>
      </c>
      <c r="C218" s="235" t="s">
        <v>2221</v>
      </c>
      <c r="D218" s="232" t="s">
        <v>44</v>
      </c>
      <c r="E218" s="233">
        <v>11.0</v>
      </c>
      <c r="F218" s="26" t="s">
        <v>190</v>
      </c>
      <c r="G218" s="233"/>
      <c r="H218" s="26"/>
      <c r="I218" s="233"/>
      <c r="J218" s="26"/>
      <c r="K218" s="233"/>
      <c r="L218" s="26"/>
      <c r="M218" s="224" t="s">
        <v>2222</v>
      </c>
      <c r="N218" s="224" t="s">
        <v>2223</v>
      </c>
      <c r="O218" s="32"/>
      <c r="P218" s="32"/>
      <c r="Q218" s="10"/>
      <c r="R218" s="10"/>
      <c r="S218" s="10"/>
      <c r="T218" s="10"/>
      <c r="U218" s="10"/>
      <c r="V218" s="10"/>
      <c r="W218" s="10"/>
      <c r="X218" s="10"/>
    </row>
    <row r="219">
      <c r="A219" s="234">
        <v>45569.0</v>
      </c>
      <c r="B219" s="235">
        <v>40.0</v>
      </c>
      <c r="C219" s="235" t="s">
        <v>2224</v>
      </c>
      <c r="D219" s="232" t="s">
        <v>54</v>
      </c>
      <c r="E219" s="233">
        <v>6.0</v>
      </c>
      <c r="F219" s="26" t="s">
        <v>190</v>
      </c>
      <c r="G219" s="233">
        <v>13.0</v>
      </c>
      <c r="H219" s="26" t="s">
        <v>190</v>
      </c>
      <c r="I219" s="233"/>
      <c r="J219" s="26"/>
      <c r="K219" s="233"/>
      <c r="L219" s="26"/>
      <c r="M219" s="225" t="s">
        <v>2225</v>
      </c>
      <c r="N219" s="220"/>
      <c r="O219" s="32"/>
      <c r="P219" s="32"/>
      <c r="Q219" s="10"/>
      <c r="R219" s="10"/>
      <c r="S219" s="10"/>
      <c r="T219" s="10"/>
      <c r="U219" s="10"/>
      <c r="V219" s="10"/>
      <c r="W219" s="10"/>
      <c r="X219" s="10"/>
    </row>
    <row r="220">
      <c r="A220" s="234">
        <v>45568.0</v>
      </c>
      <c r="B220" s="235">
        <v>40.0</v>
      </c>
      <c r="C220" s="235" t="s">
        <v>2226</v>
      </c>
      <c r="D220" s="232" t="s">
        <v>38</v>
      </c>
      <c r="E220" s="233"/>
      <c r="F220" s="26"/>
      <c r="G220" s="233">
        <v>9.0</v>
      </c>
      <c r="H220" s="26" t="s">
        <v>190</v>
      </c>
      <c r="I220" s="233"/>
      <c r="J220" s="26"/>
      <c r="K220" s="233"/>
      <c r="L220" s="26"/>
      <c r="M220" s="224" t="s">
        <v>2227</v>
      </c>
      <c r="N220" s="220"/>
      <c r="O220" s="147"/>
      <c r="P220" s="147"/>
      <c r="Q220" s="10"/>
      <c r="R220" s="10"/>
      <c r="S220" s="10"/>
      <c r="T220" s="10"/>
      <c r="U220" s="10"/>
      <c r="V220" s="10"/>
      <c r="W220" s="10"/>
      <c r="X220" s="10"/>
    </row>
    <row r="221">
      <c r="A221" s="234">
        <v>45566.0</v>
      </c>
      <c r="B221" s="235">
        <v>39.0</v>
      </c>
      <c r="C221" s="235" t="s">
        <v>2228</v>
      </c>
      <c r="D221" s="232" t="s">
        <v>84</v>
      </c>
      <c r="E221" s="233"/>
      <c r="F221" s="26"/>
      <c r="G221" s="233">
        <v>5.0</v>
      </c>
      <c r="H221" s="26" t="s">
        <v>190</v>
      </c>
      <c r="I221" s="233"/>
      <c r="J221" s="26"/>
      <c r="K221" s="233"/>
      <c r="L221" s="26"/>
      <c r="M221" s="220"/>
      <c r="N221" s="220"/>
      <c r="O221" s="32"/>
      <c r="P221" s="32"/>
      <c r="Q221" s="10"/>
      <c r="R221" s="10"/>
      <c r="S221" s="10"/>
      <c r="T221" s="10"/>
      <c r="U221" s="10"/>
      <c r="V221" s="10"/>
      <c r="W221" s="10"/>
      <c r="X221" s="10"/>
    </row>
    <row r="222">
      <c r="A222" s="234">
        <v>45565.0</v>
      </c>
      <c r="B222" s="235">
        <v>39.0</v>
      </c>
      <c r="C222" s="235" t="s">
        <v>2229</v>
      </c>
      <c r="D222" s="232" t="s">
        <v>2017</v>
      </c>
      <c r="E222" s="233"/>
      <c r="F222" s="26"/>
      <c r="G222" s="233"/>
      <c r="H222" s="26"/>
      <c r="I222" s="233">
        <v>52.0</v>
      </c>
      <c r="J222" s="26" t="s">
        <v>190</v>
      </c>
      <c r="K222" s="233"/>
      <c r="L222" s="26"/>
      <c r="M222" s="224" t="s">
        <v>2230</v>
      </c>
      <c r="N222" s="220"/>
      <c r="O222" s="32"/>
      <c r="P222" s="32"/>
      <c r="Q222" s="10"/>
      <c r="R222" s="10"/>
      <c r="S222" s="10"/>
      <c r="T222" s="10"/>
      <c r="U222" s="10"/>
      <c r="V222" s="10"/>
      <c r="W222" s="10"/>
      <c r="X222" s="10"/>
    </row>
    <row r="223">
      <c r="A223" s="234">
        <v>45565.0</v>
      </c>
      <c r="B223" s="235">
        <v>39.0</v>
      </c>
      <c r="C223" s="235" t="s">
        <v>2231</v>
      </c>
      <c r="D223" s="232" t="s">
        <v>2104</v>
      </c>
      <c r="E223" s="233"/>
      <c r="F223" s="26"/>
      <c r="G223" s="233">
        <v>5.0</v>
      </c>
      <c r="H223" s="26" t="s">
        <v>190</v>
      </c>
      <c r="I223" s="233"/>
      <c r="J223" s="26"/>
      <c r="K223" s="233"/>
      <c r="L223" s="26"/>
      <c r="M223" s="225" t="s">
        <v>2232</v>
      </c>
      <c r="N223" s="220"/>
      <c r="O223" s="32"/>
      <c r="P223" s="32"/>
      <c r="Q223" s="10"/>
      <c r="R223" s="10"/>
      <c r="S223" s="10"/>
      <c r="T223" s="10"/>
      <c r="U223" s="10"/>
      <c r="V223" s="10"/>
      <c r="W223" s="10"/>
      <c r="X223" s="10"/>
    </row>
    <row r="224">
      <c r="A224" s="234">
        <v>45565.0</v>
      </c>
      <c r="B224" s="235">
        <v>39.0</v>
      </c>
      <c r="C224" s="235" t="s">
        <v>2233</v>
      </c>
      <c r="D224" s="232" t="s">
        <v>2171</v>
      </c>
      <c r="E224" s="233"/>
      <c r="F224" s="26"/>
      <c r="G224" s="233">
        <v>29.0</v>
      </c>
      <c r="H224" s="26" t="s">
        <v>190</v>
      </c>
      <c r="I224" s="233">
        <v>19.0</v>
      </c>
      <c r="J224" s="26" t="s">
        <v>190</v>
      </c>
      <c r="K224" s="233"/>
      <c r="L224" s="26"/>
      <c r="M224" s="224" t="s">
        <v>2234</v>
      </c>
      <c r="N224" s="220"/>
      <c r="O224" s="32"/>
      <c r="P224" s="32"/>
      <c r="Q224" s="10"/>
      <c r="R224" s="10"/>
      <c r="S224" s="10"/>
      <c r="T224" s="10"/>
      <c r="U224" s="10"/>
      <c r="V224" s="10"/>
      <c r="W224" s="10"/>
      <c r="X224" s="10"/>
    </row>
    <row r="225">
      <c r="A225" s="234">
        <v>45563.0</v>
      </c>
      <c r="B225" s="235">
        <v>39.0</v>
      </c>
      <c r="C225" s="235" t="s">
        <v>2235</v>
      </c>
      <c r="D225" s="232" t="s">
        <v>44</v>
      </c>
      <c r="E225" s="233">
        <v>6.0</v>
      </c>
      <c r="F225" s="26" t="s">
        <v>190</v>
      </c>
      <c r="G225" s="233"/>
      <c r="H225" s="26"/>
      <c r="I225" s="233"/>
      <c r="J225" s="26"/>
      <c r="K225" s="233"/>
      <c r="L225" s="26"/>
      <c r="M225" s="224"/>
      <c r="N225" s="220"/>
      <c r="O225" s="32"/>
      <c r="P225" s="32"/>
      <c r="Q225" s="10"/>
      <c r="R225" s="10"/>
      <c r="S225" s="10"/>
      <c r="T225" s="10"/>
      <c r="U225" s="10"/>
      <c r="V225" s="10"/>
      <c r="W225" s="10"/>
      <c r="X225" s="10"/>
    </row>
    <row r="226">
      <c r="A226" s="234">
        <v>45562.0</v>
      </c>
      <c r="B226" s="235">
        <v>39.0</v>
      </c>
      <c r="C226" s="235" t="s">
        <v>2236</v>
      </c>
      <c r="D226" s="232" t="s">
        <v>54</v>
      </c>
      <c r="E226" s="233">
        <v>4.0</v>
      </c>
      <c r="F226" s="26" t="s">
        <v>190</v>
      </c>
      <c r="G226" s="233">
        <v>9.0</v>
      </c>
      <c r="H226" s="26" t="s">
        <v>190</v>
      </c>
      <c r="I226" s="233"/>
      <c r="J226" s="26"/>
      <c r="K226" s="233"/>
      <c r="L226" s="26"/>
      <c r="M226" s="225" t="s">
        <v>2237</v>
      </c>
      <c r="N226" s="220"/>
      <c r="O226" s="147"/>
      <c r="P226" s="147"/>
      <c r="Q226" s="10"/>
      <c r="R226" s="10"/>
      <c r="S226" s="10"/>
      <c r="T226" s="10"/>
      <c r="U226" s="10"/>
      <c r="V226" s="10"/>
      <c r="W226" s="10"/>
      <c r="X226" s="10"/>
    </row>
    <row r="227">
      <c r="A227" s="234">
        <v>45558.0</v>
      </c>
      <c r="B227" s="235">
        <v>38.0</v>
      </c>
      <c r="C227" s="235" t="s">
        <v>2238</v>
      </c>
      <c r="D227" s="232" t="s">
        <v>2104</v>
      </c>
      <c r="E227" s="233"/>
      <c r="F227" s="26"/>
      <c r="G227" s="233">
        <v>2.0</v>
      </c>
      <c r="H227" s="26" t="s">
        <v>190</v>
      </c>
      <c r="I227" s="233">
        <v>1.0</v>
      </c>
      <c r="J227" s="26" t="s">
        <v>190</v>
      </c>
      <c r="K227" s="233"/>
      <c r="L227" s="26"/>
      <c r="M227" s="224" t="s">
        <v>2239</v>
      </c>
      <c r="N227" s="220"/>
      <c r="O227" s="32"/>
      <c r="P227" s="32"/>
      <c r="Q227" s="10"/>
      <c r="R227" s="10"/>
      <c r="S227" s="10"/>
      <c r="T227" s="10"/>
      <c r="U227" s="10"/>
      <c r="V227" s="10"/>
      <c r="W227" s="10"/>
      <c r="X227" s="10"/>
    </row>
    <row r="228">
      <c r="A228" s="234">
        <v>45558.0</v>
      </c>
      <c r="B228" s="235">
        <v>38.0</v>
      </c>
      <c r="C228" s="235" t="s">
        <v>2240</v>
      </c>
      <c r="D228" s="232" t="s">
        <v>84</v>
      </c>
      <c r="E228" s="233"/>
      <c r="F228" s="26"/>
      <c r="G228" s="233">
        <v>9.0</v>
      </c>
      <c r="H228" s="26" t="s">
        <v>190</v>
      </c>
      <c r="I228" s="233"/>
      <c r="J228" s="26"/>
      <c r="K228" s="233"/>
      <c r="L228" s="26"/>
      <c r="M228" s="225" t="s">
        <v>2241</v>
      </c>
      <c r="N228" s="220"/>
      <c r="O228" s="32"/>
      <c r="P228" s="32"/>
      <c r="Q228" s="10"/>
      <c r="R228" s="10"/>
      <c r="S228" s="10"/>
      <c r="T228" s="10"/>
      <c r="U228" s="10"/>
      <c r="V228" s="10"/>
      <c r="W228" s="10"/>
      <c r="X228" s="10"/>
    </row>
    <row r="229">
      <c r="A229" s="234">
        <v>45556.0</v>
      </c>
      <c r="B229" s="235">
        <v>38.0</v>
      </c>
      <c r="C229" s="235" t="s">
        <v>2242</v>
      </c>
      <c r="D229" s="232" t="s">
        <v>44</v>
      </c>
      <c r="E229" s="233">
        <v>11.0</v>
      </c>
      <c r="F229" s="26" t="s">
        <v>190</v>
      </c>
      <c r="G229" s="233"/>
      <c r="H229" s="26"/>
      <c r="I229" s="233"/>
      <c r="J229" s="26"/>
      <c r="K229" s="233"/>
      <c r="L229" s="26"/>
      <c r="M229" s="220"/>
      <c r="N229" s="220"/>
      <c r="O229" s="32"/>
      <c r="P229" s="32"/>
      <c r="Q229" s="10"/>
      <c r="R229" s="10"/>
      <c r="S229" s="10"/>
      <c r="T229" s="10"/>
      <c r="U229" s="10"/>
      <c r="V229" s="10"/>
      <c r="W229" s="10"/>
      <c r="X229" s="10"/>
    </row>
    <row r="230">
      <c r="A230" s="234">
        <v>45555.0</v>
      </c>
      <c r="B230" s="235">
        <v>38.0</v>
      </c>
      <c r="C230" s="235" t="s">
        <v>2243</v>
      </c>
      <c r="D230" s="232" t="s">
        <v>38</v>
      </c>
      <c r="E230" s="233"/>
      <c r="F230" s="26"/>
      <c r="G230" s="233">
        <v>3.0</v>
      </c>
      <c r="H230" s="26" t="s">
        <v>190</v>
      </c>
      <c r="I230" s="233"/>
      <c r="J230" s="26"/>
      <c r="K230" s="233"/>
      <c r="L230" s="26"/>
      <c r="M230" s="220"/>
      <c r="N230" s="224" t="s">
        <v>2244</v>
      </c>
      <c r="O230" s="32"/>
      <c r="P230" s="32"/>
      <c r="Q230" s="10"/>
      <c r="R230" s="10"/>
      <c r="S230" s="10"/>
      <c r="T230" s="10"/>
      <c r="U230" s="10"/>
      <c r="V230" s="10"/>
      <c r="W230" s="10"/>
      <c r="X230" s="10"/>
    </row>
    <row r="231">
      <c r="A231" s="234">
        <v>45555.0</v>
      </c>
      <c r="B231" s="235">
        <v>38.0</v>
      </c>
      <c r="C231" s="235" t="s">
        <v>2245</v>
      </c>
      <c r="D231" s="232" t="s">
        <v>54</v>
      </c>
      <c r="E231" s="233">
        <v>5.0</v>
      </c>
      <c r="F231" s="26" t="s">
        <v>190</v>
      </c>
      <c r="G231" s="233">
        <v>10.0</v>
      </c>
      <c r="H231" s="26" t="s">
        <v>190</v>
      </c>
      <c r="I231" s="233"/>
      <c r="J231" s="26"/>
      <c r="K231" s="233"/>
      <c r="L231" s="26"/>
      <c r="M231" s="224" t="s">
        <v>2246</v>
      </c>
      <c r="N231" s="220"/>
      <c r="O231" s="147"/>
      <c r="P231" s="147"/>
      <c r="Q231" s="10"/>
      <c r="R231" s="10"/>
      <c r="S231" s="10"/>
      <c r="T231" s="10"/>
      <c r="U231" s="10"/>
      <c r="V231" s="10"/>
      <c r="W231" s="10"/>
      <c r="X231" s="10"/>
    </row>
    <row r="232">
      <c r="A232" s="234">
        <v>45555.0</v>
      </c>
      <c r="B232" s="235">
        <v>38.0</v>
      </c>
      <c r="C232" s="235" t="s">
        <v>2247</v>
      </c>
      <c r="D232" s="232" t="s">
        <v>2171</v>
      </c>
      <c r="E232" s="233"/>
      <c r="F232" s="26"/>
      <c r="G232" s="233">
        <v>11.0</v>
      </c>
      <c r="H232" s="26" t="s">
        <v>190</v>
      </c>
      <c r="I232" s="233">
        <v>7.0</v>
      </c>
      <c r="J232" s="26" t="s">
        <v>190</v>
      </c>
      <c r="K232" s="233"/>
      <c r="L232" s="26"/>
      <c r="M232" s="224" t="s">
        <v>2248</v>
      </c>
      <c r="N232" s="220"/>
      <c r="O232" s="32"/>
      <c r="P232" s="32"/>
      <c r="Q232" s="10"/>
      <c r="R232" s="10"/>
      <c r="S232" s="10"/>
      <c r="T232" s="10"/>
      <c r="U232" s="10"/>
      <c r="V232" s="10"/>
      <c r="W232" s="10"/>
      <c r="X232" s="10"/>
    </row>
    <row r="233">
      <c r="A233" s="234">
        <v>45552.0</v>
      </c>
      <c r="B233" s="235">
        <v>38.0</v>
      </c>
      <c r="C233" s="235" t="s">
        <v>2249</v>
      </c>
      <c r="D233" s="232" t="s">
        <v>2017</v>
      </c>
      <c r="E233" s="233"/>
      <c r="F233" s="26"/>
      <c r="G233" s="233"/>
      <c r="H233" s="26"/>
      <c r="I233" s="233">
        <v>7.0</v>
      </c>
      <c r="J233" s="26" t="s">
        <v>190</v>
      </c>
      <c r="K233" s="233"/>
      <c r="L233" s="26"/>
      <c r="M233" s="224"/>
      <c r="N233" s="220"/>
      <c r="O233" s="32"/>
      <c r="P233" s="32"/>
      <c r="Q233" s="10"/>
      <c r="R233" s="10"/>
      <c r="S233" s="10"/>
      <c r="T233" s="10"/>
      <c r="U233" s="10"/>
      <c r="V233" s="10"/>
      <c r="W233" s="10"/>
      <c r="X233" s="10"/>
    </row>
    <row r="234">
      <c r="A234" s="234">
        <v>45551.0</v>
      </c>
      <c r="B234" s="235">
        <v>37.0</v>
      </c>
      <c r="C234" s="235" t="s">
        <v>2250</v>
      </c>
      <c r="D234" s="232" t="s">
        <v>175</v>
      </c>
      <c r="E234" s="233">
        <v>3.0</v>
      </c>
      <c r="F234" s="26" t="s">
        <v>190</v>
      </c>
      <c r="G234" s="233"/>
      <c r="H234" s="26"/>
      <c r="I234" s="233"/>
      <c r="J234" s="26"/>
      <c r="K234" s="233"/>
      <c r="L234" s="26"/>
      <c r="M234" s="227"/>
      <c r="N234" s="220"/>
      <c r="O234" s="32"/>
      <c r="P234" s="32"/>
      <c r="Q234" s="10"/>
      <c r="R234" s="10"/>
      <c r="S234" s="10"/>
      <c r="T234" s="10"/>
      <c r="U234" s="10"/>
      <c r="V234" s="10"/>
      <c r="W234" s="10"/>
      <c r="X234" s="10"/>
    </row>
    <row r="235">
      <c r="A235" s="234">
        <v>45551.0</v>
      </c>
      <c r="B235" s="235">
        <v>37.0</v>
      </c>
      <c r="C235" s="235" t="s">
        <v>2251</v>
      </c>
      <c r="D235" s="232" t="s">
        <v>2104</v>
      </c>
      <c r="E235" s="233"/>
      <c r="F235" s="26"/>
      <c r="G235" s="233">
        <v>2.0</v>
      </c>
      <c r="H235" s="26" t="s">
        <v>190</v>
      </c>
      <c r="I235" s="233"/>
      <c r="J235" s="26"/>
      <c r="K235" s="233"/>
      <c r="L235" s="26"/>
      <c r="M235" s="220"/>
      <c r="N235" s="220"/>
      <c r="O235" s="32"/>
      <c r="P235" s="32"/>
      <c r="Q235" s="10"/>
      <c r="R235" s="10"/>
      <c r="S235" s="10"/>
      <c r="T235" s="10"/>
      <c r="U235" s="10"/>
      <c r="V235" s="10"/>
      <c r="W235" s="10"/>
      <c r="X235" s="10"/>
    </row>
    <row r="236">
      <c r="A236" s="234">
        <v>45551.0</v>
      </c>
      <c r="B236" s="235">
        <v>37.0</v>
      </c>
      <c r="C236" s="235" t="s">
        <v>2252</v>
      </c>
      <c r="D236" s="232" t="s">
        <v>2171</v>
      </c>
      <c r="E236" s="233"/>
      <c r="F236" s="26"/>
      <c r="G236" s="233">
        <v>22.0</v>
      </c>
      <c r="H236" s="26" t="s">
        <v>190</v>
      </c>
      <c r="I236" s="233">
        <v>13.0</v>
      </c>
      <c r="J236" s="26" t="s">
        <v>190</v>
      </c>
      <c r="K236" s="233"/>
      <c r="L236" s="26"/>
      <c r="M236" s="224" t="s">
        <v>2253</v>
      </c>
      <c r="N236" s="224" t="s">
        <v>2254</v>
      </c>
      <c r="O236" s="32"/>
      <c r="P236" s="32"/>
      <c r="Q236" s="10"/>
      <c r="R236" s="10"/>
      <c r="S236" s="10"/>
      <c r="T236" s="10"/>
      <c r="U236" s="10"/>
      <c r="V236" s="10"/>
      <c r="W236" s="10"/>
      <c r="X236" s="10"/>
    </row>
    <row r="237">
      <c r="A237" s="234">
        <v>45551.0</v>
      </c>
      <c r="B237" s="235">
        <v>37.0</v>
      </c>
      <c r="C237" s="235" t="s">
        <v>2255</v>
      </c>
      <c r="D237" s="232" t="s">
        <v>84</v>
      </c>
      <c r="E237" s="233"/>
      <c r="F237" s="26"/>
      <c r="G237" s="233">
        <v>8.0</v>
      </c>
      <c r="H237" s="26" t="s">
        <v>190</v>
      </c>
      <c r="I237" s="233"/>
      <c r="J237" s="26"/>
      <c r="K237" s="233"/>
      <c r="L237" s="26"/>
      <c r="M237" s="220"/>
      <c r="N237" s="220"/>
      <c r="O237" s="32"/>
      <c r="P237" s="32"/>
      <c r="Q237" s="10"/>
      <c r="R237" s="10"/>
      <c r="S237" s="10"/>
      <c r="T237" s="10"/>
      <c r="U237" s="10"/>
      <c r="V237" s="10"/>
      <c r="W237" s="10"/>
      <c r="X237" s="10"/>
    </row>
    <row r="238">
      <c r="A238" s="234">
        <v>45549.0</v>
      </c>
      <c r="B238" s="235">
        <v>37.0</v>
      </c>
      <c r="C238" s="235" t="s">
        <v>2256</v>
      </c>
      <c r="D238" s="232" t="s">
        <v>44</v>
      </c>
      <c r="E238" s="233">
        <v>7.0</v>
      </c>
      <c r="F238" s="26" t="s">
        <v>190</v>
      </c>
      <c r="G238" s="233"/>
      <c r="H238" s="26"/>
      <c r="I238" s="233"/>
      <c r="J238" s="26"/>
      <c r="K238" s="233"/>
      <c r="L238" s="26"/>
      <c r="M238" s="224" t="s">
        <v>2257</v>
      </c>
      <c r="N238" s="220"/>
      <c r="O238" s="32"/>
      <c r="P238" s="32"/>
      <c r="Q238" s="10"/>
      <c r="R238" s="10"/>
      <c r="S238" s="10"/>
      <c r="T238" s="10"/>
      <c r="U238" s="10"/>
      <c r="V238" s="10"/>
      <c r="W238" s="10"/>
      <c r="X238" s="10"/>
    </row>
    <row r="239">
      <c r="A239" s="234">
        <v>45548.0</v>
      </c>
      <c r="B239" s="235">
        <v>37.0</v>
      </c>
      <c r="C239" s="235" t="s">
        <v>2258</v>
      </c>
      <c r="D239" s="232" t="s">
        <v>54</v>
      </c>
      <c r="E239" s="233">
        <v>4.0</v>
      </c>
      <c r="F239" s="26" t="s">
        <v>190</v>
      </c>
      <c r="G239" s="233">
        <v>10.0</v>
      </c>
      <c r="H239" s="26" t="s">
        <v>190</v>
      </c>
      <c r="I239" s="233"/>
      <c r="J239" s="26"/>
      <c r="K239" s="233"/>
      <c r="L239" s="26"/>
      <c r="M239" s="224" t="s">
        <v>2259</v>
      </c>
      <c r="N239" s="220"/>
      <c r="O239" s="32"/>
      <c r="P239" s="32"/>
      <c r="Q239" s="10"/>
      <c r="R239" s="10"/>
      <c r="S239" s="10"/>
      <c r="T239" s="10"/>
      <c r="U239" s="10"/>
      <c r="V239" s="10"/>
      <c r="W239" s="10"/>
      <c r="X239" s="10"/>
    </row>
    <row r="240">
      <c r="A240" s="234">
        <v>45546.0</v>
      </c>
      <c r="B240" s="235">
        <v>36.0</v>
      </c>
      <c r="C240" s="235" t="s">
        <v>2260</v>
      </c>
      <c r="D240" s="232" t="s">
        <v>38</v>
      </c>
      <c r="E240" s="233"/>
      <c r="F240" s="26"/>
      <c r="G240" s="233">
        <v>12.0</v>
      </c>
      <c r="H240" s="26" t="s">
        <v>190</v>
      </c>
      <c r="I240" s="233"/>
      <c r="J240" s="26"/>
      <c r="K240" s="233"/>
      <c r="L240" s="26"/>
      <c r="M240" s="225" t="s">
        <v>2261</v>
      </c>
      <c r="N240" s="220"/>
      <c r="O240" s="32"/>
      <c r="P240" s="32"/>
      <c r="Q240" s="10"/>
      <c r="R240" s="10"/>
      <c r="S240" s="10"/>
      <c r="T240" s="10"/>
      <c r="U240" s="10"/>
      <c r="V240" s="10"/>
      <c r="W240" s="10"/>
      <c r="X240" s="10"/>
    </row>
    <row r="241">
      <c r="A241" s="234">
        <v>45544.0</v>
      </c>
      <c r="B241" s="235">
        <v>36.0</v>
      </c>
      <c r="C241" s="235" t="s">
        <v>2262</v>
      </c>
      <c r="D241" s="232" t="s">
        <v>2171</v>
      </c>
      <c r="E241" s="233"/>
      <c r="F241" s="26"/>
      <c r="G241" s="233">
        <v>33.0</v>
      </c>
      <c r="H241" s="26" t="s">
        <v>190</v>
      </c>
      <c r="I241" s="233">
        <v>14.0</v>
      </c>
      <c r="J241" s="26" t="s">
        <v>190</v>
      </c>
      <c r="K241" s="233"/>
      <c r="L241" s="26"/>
      <c r="M241" s="224" t="s">
        <v>2263</v>
      </c>
      <c r="N241" s="220"/>
      <c r="O241" s="32"/>
      <c r="P241" s="32"/>
      <c r="Q241" s="10"/>
      <c r="R241" s="10"/>
      <c r="S241" s="10"/>
      <c r="T241" s="10"/>
      <c r="U241" s="10"/>
      <c r="V241" s="10"/>
      <c r="W241" s="10"/>
      <c r="X241" s="10"/>
    </row>
    <row r="242">
      <c r="A242" s="234">
        <v>45544.0</v>
      </c>
      <c r="B242" s="235">
        <v>36.0</v>
      </c>
      <c r="C242" s="235" t="s">
        <v>2264</v>
      </c>
      <c r="D242" s="232" t="s">
        <v>84</v>
      </c>
      <c r="E242" s="233"/>
      <c r="F242" s="26"/>
      <c r="G242" s="233">
        <v>1.0</v>
      </c>
      <c r="H242" s="26" t="s">
        <v>190</v>
      </c>
      <c r="I242" s="233"/>
      <c r="J242" s="26"/>
      <c r="K242" s="233"/>
      <c r="L242" s="26"/>
      <c r="M242" s="220"/>
      <c r="N242" s="220"/>
      <c r="O242" s="32"/>
      <c r="P242" s="32"/>
      <c r="Q242" s="10"/>
      <c r="R242" s="10"/>
      <c r="S242" s="10"/>
      <c r="T242" s="10"/>
      <c r="U242" s="10"/>
      <c r="V242" s="10"/>
      <c r="W242" s="10"/>
      <c r="X242" s="10"/>
    </row>
    <row r="243">
      <c r="A243" s="234">
        <v>45542.0</v>
      </c>
      <c r="B243" s="235">
        <v>36.0</v>
      </c>
      <c r="C243" s="238" t="s">
        <v>2265</v>
      </c>
      <c r="D243" s="232" t="s">
        <v>44</v>
      </c>
      <c r="E243" s="233">
        <v>9.0</v>
      </c>
      <c r="F243" s="26" t="s">
        <v>190</v>
      </c>
      <c r="G243" s="233"/>
      <c r="H243" s="26"/>
      <c r="I243" s="233"/>
      <c r="J243" s="26"/>
      <c r="K243" s="233"/>
      <c r="L243" s="26"/>
      <c r="M243" s="225" t="s">
        <v>2266</v>
      </c>
      <c r="N243" s="220"/>
      <c r="O243" s="32"/>
      <c r="P243" s="32"/>
      <c r="Q243" s="10"/>
      <c r="R243" s="10"/>
      <c r="S243" s="10"/>
      <c r="T243" s="10"/>
      <c r="U243" s="10"/>
      <c r="V243" s="10"/>
      <c r="W243" s="10"/>
      <c r="X243" s="10"/>
    </row>
    <row r="244">
      <c r="A244" s="234">
        <v>45541.0</v>
      </c>
      <c r="B244" s="235">
        <v>36.0</v>
      </c>
      <c r="C244" s="235" t="s">
        <v>2267</v>
      </c>
      <c r="D244" s="232" t="s">
        <v>54</v>
      </c>
      <c r="E244" s="233">
        <v>4.0</v>
      </c>
      <c r="F244" s="26" t="s">
        <v>190</v>
      </c>
      <c r="G244" s="233">
        <v>2.0</v>
      </c>
      <c r="H244" s="26" t="s">
        <v>190</v>
      </c>
      <c r="I244" s="233"/>
      <c r="J244" s="26"/>
      <c r="K244" s="233"/>
      <c r="L244" s="26"/>
      <c r="M244" s="224"/>
      <c r="N244" s="220"/>
      <c r="O244" s="32"/>
      <c r="P244" s="32"/>
      <c r="Q244" s="10"/>
      <c r="R244" s="10"/>
      <c r="S244" s="10"/>
      <c r="T244" s="10"/>
      <c r="U244" s="10"/>
      <c r="V244" s="10"/>
      <c r="W244" s="10"/>
      <c r="X244" s="10"/>
    </row>
    <row r="245">
      <c r="A245" s="234">
        <v>45540.0</v>
      </c>
      <c r="B245" s="235">
        <v>36.0</v>
      </c>
      <c r="C245" s="235" t="s">
        <v>2268</v>
      </c>
      <c r="D245" s="232" t="s">
        <v>2104</v>
      </c>
      <c r="E245" s="233"/>
      <c r="F245" s="26"/>
      <c r="G245" s="233">
        <v>6.0</v>
      </c>
      <c r="H245" s="26" t="s">
        <v>190</v>
      </c>
      <c r="I245" s="233">
        <v>1.0</v>
      </c>
      <c r="J245" s="26" t="s">
        <v>190</v>
      </c>
      <c r="K245" s="233"/>
      <c r="L245" s="26"/>
      <c r="M245" s="224" t="s">
        <v>2269</v>
      </c>
      <c r="N245" s="220"/>
      <c r="O245" s="32"/>
      <c r="P245" s="32"/>
      <c r="Q245" s="10"/>
      <c r="R245" s="10"/>
      <c r="S245" s="10"/>
      <c r="T245" s="10"/>
      <c r="U245" s="10"/>
      <c r="V245" s="10"/>
      <c r="W245" s="10"/>
      <c r="X245" s="10"/>
    </row>
    <row r="246">
      <c r="A246" s="234">
        <v>45537.0</v>
      </c>
      <c r="B246" s="235">
        <v>35.0</v>
      </c>
      <c r="C246" s="235" t="s">
        <v>2270</v>
      </c>
      <c r="D246" s="232" t="s">
        <v>2171</v>
      </c>
      <c r="E246" s="233"/>
      <c r="F246" s="26"/>
      <c r="G246" s="233">
        <v>11.0</v>
      </c>
      <c r="H246" s="26" t="s">
        <v>190</v>
      </c>
      <c r="I246" s="233">
        <v>7.0</v>
      </c>
      <c r="J246" s="26" t="s">
        <v>190</v>
      </c>
      <c r="K246" s="233"/>
      <c r="L246" s="26"/>
      <c r="M246" s="224"/>
      <c r="N246" s="220"/>
      <c r="O246" s="147"/>
      <c r="P246" s="147"/>
      <c r="Q246" s="10"/>
      <c r="R246" s="10"/>
      <c r="S246" s="10"/>
      <c r="T246" s="10"/>
      <c r="U246" s="10"/>
      <c r="V246" s="10"/>
      <c r="W246" s="10"/>
      <c r="X246" s="10"/>
    </row>
    <row r="247">
      <c r="A247" s="234">
        <v>45537.0</v>
      </c>
      <c r="B247" s="235">
        <v>35.0</v>
      </c>
      <c r="C247" s="235" t="s">
        <v>2271</v>
      </c>
      <c r="D247" s="232" t="s">
        <v>84</v>
      </c>
      <c r="E247" s="233"/>
      <c r="F247" s="26"/>
      <c r="G247" s="233">
        <v>4.0</v>
      </c>
      <c r="H247" s="26" t="s">
        <v>190</v>
      </c>
      <c r="I247" s="233"/>
      <c r="J247" s="26"/>
      <c r="K247" s="233"/>
      <c r="L247" s="26"/>
      <c r="M247" s="224" t="s">
        <v>2272</v>
      </c>
      <c r="N247" s="220"/>
      <c r="O247" s="32"/>
      <c r="P247" s="32"/>
      <c r="Q247" s="10"/>
      <c r="R247" s="10"/>
      <c r="S247" s="10"/>
      <c r="T247" s="10"/>
      <c r="U247" s="10"/>
      <c r="V247" s="10"/>
      <c r="W247" s="10"/>
      <c r="X247" s="10"/>
    </row>
    <row r="248">
      <c r="A248" s="234">
        <v>45534.0</v>
      </c>
      <c r="B248" s="235">
        <v>35.0</v>
      </c>
      <c r="C248" s="235" t="s">
        <v>2273</v>
      </c>
      <c r="D248" s="232" t="s">
        <v>44</v>
      </c>
      <c r="E248" s="233">
        <v>6.0</v>
      </c>
      <c r="F248" s="26" t="s">
        <v>190</v>
      </c>
      <c r="G248" s="233"/>
      <c r="H248" s="26"/>
      <c r="I248" s="233"/>
      <c r="J248" s="26"/>
      <c r="K248" s="233"/>
      <c r="L248" s="26"/>
      <c r="M248" s="224" t="s">
        <v>2274</v>
      </c>
      <c r="N248" s="220"/>
      <c r="O248" s="32"/>
      <c r="P248" s="32"/>
      <c r="Q248" s="10"/>
      <c r="R248" s="10"/>
      <c r="S248" s="10"/>
      <c r="T248" s="10"/>
      <c r="U248" s="10"/>
      <c r="V248" s="10"/>
      <c r="W248" s="10"/>
      <c r="X248" s="10"/>
    </row>
    <row r="249">
      <c r="A249" s="234">
        <v>45534.0</v>
      </c>
      <c r="B249" s="235">
        <v>35.0</v>
      </c>
      <c r="C249" s="238" t="s">
        <v>2275</v>
      </c>
      <c r="D249" s="232" t="s">
        <v>2104</v>
      </c>
      <c r="E249" s="233"/>
      <c r="F249" s="26"/>
      <c r="G249" s="233">
        <v>5.0</v>
      </c>
      <c r="H249" s="26" t="s">
        <v>190</v>
      </c>
      <c r="I249" s="233">
        <v>5.0</v>
      </c>
      <c r="J249" s="26" t="s">
        <v>190</v>
      </c>
      <c r="K249" s="233"/>
      <c r="L249" s="26"/>
      <c r="M249" s="224"/>
      <c r="N249" s="220"/>
      <c r="O249" s="147"/>
      <c r="P249" s="147"/>
      <c r="Q249" s="10"/>
      <c r="R249" s="10"/>
      <c r="S249" s="10"/>
      <c r="T249" s="10"/>
      <c r="U249" s="10"/>
      <c r="V249" s="10"/>
      <c r="W249" s="10"/>
      <c r="X249" s="10"/>
    </row>
    <row r="250">
      <c r="A250" s="234">
        <v>45534.0</v>
      </c>
      <c r="B250" s="235">
        <v>35.0</v>
      </c>
      <c r="C250" s="235" t="s">
        <v>2276</v>
      </c>
      <c r="D250" s="232" t="s">
        <v>54</v>
      </c>
      <c r="E250" s="233">
        <v>6.0</v>
      </c>
      <c r="F250" s="26" t="s">
        <v>190</v>
      </c>
      <c r="G250" s="233">
        <v>8.0</v>
      </c>
      <c r="H250" s="26" t="s">
        <v>190</v>
      </c>
      <c r="I250" s="233"/>
      <c r="J250" s="26"/>
      <c r="K250" s="233"/>
      <c r="L250" s="26"/>
      <c r="M250" s="224" t="s">
        <v>2277</v>
      </c>
      <c r="N250" s="220"/>
      <c r="O250" s="32"/>
      <c r="P250" s="32"/>
      <c r="Q250" s="10"/>
      <c r="R250" s="10"/>
      <c r="S250" s="10"/>
      <c r="T250" s="10"/>
      <c r="U250" s="10"/>
      <c r="V250" s="10"/>
      <c r="W250" s="10"/>
      <c r="X250" s="10"/>
    </row>
    <row r="251">
      <c r="A251" s="245">
        <v>45530.0</v>
      </c>
      <c r="B251" s="246">
        <v>34.0</v>
      </c>
      <c r="C251" s="238" t="s">
        <v>2278</v>
      </c>
      <c r="D251" s="232" t="s">
        <v>2171</v>
      </c>
      <c r="E251" s="233"/>
      <c r="F251" s="26"/>
      <c r="G251" s="233">
        <v>25.0</v>
      </c>
      <c r="H251" s="26" t="s">
        <v>190</v>
      </c>
      <c r="I251" s="233">
        <v>16.0</v>
      </c>
      <c r="J251" s="26" t="s">
        <v>190</v>
      </c>
      <c r="K251" s="233"/>
      <c r="L251" s="26"/>
      <c r="M251" s="224" t="s">
        <v>2279</v>
      </c>
      <c r="N251" s="220"/>
      <c r="O251" s="32"/>
      <c r="P251" s="32"/>
      <c r="Q251" s="10"/>
      <c r="R251" s="10"/>
      <c r="S251" s="10"/>
      <c r="T251" s="10"/>
      <c r="U251" s="10"/>
      <c r="V251" s="10"/>
      <c r="W251" s="10"/>
      <c r="X251" s="10"/>
    </row>
    <row r="252">
      <c r="A252" s="245">
        <v>45527.0</v>
      </c>
      <c r="B252" s="246">
        <v>34.0</v>
      </c>
      <c r="C252" s="247" t="s">
        <v>2280</v>
      </c>
      <c r="D252" s="232" t="s">
        <v>44</v>
      </c>
      <c r="E252" s="233">
        <v>10.0</v>
      </c>
      <c r="F252" s="26" t="s">
        <v>190</v>
      </c>
      <c r="G252" s="233"/>
      <c r="H252" s="26"/>
      <c r="I252" s="233"/>
      <c r="J252" s="26"/>
      <c r="K252" s="233"/>
      <c r="L252" s="26"/>
      <c r="M252" s="220"/>
      <c r="N252" s="220"/>
      <c r="O252" s="147"/>
      <c r="P252" s="147"/>
      <c r="Q252" s="10"/>
      <c r="R252" s="10"/>
      <c r="S252" s="10"/>
      <c r="T252" s="10"/>
      <c r="U252" s="10"/>
      <c r="V252" s="10"/>
      <c r="W252" s="10"/>
      <c r="X252" s="10"/>
    </row>
    <row r="253">
      <c r="A253" s="245">
        <v>45527.0</v>
      </c>
      <c r="B253" s="246">
        <v>34.0</v>
      </c>
      <c r="C253" s="238" t="s">
        <v>2281</v>
      </c>
      <c r="D253" s="232" t="s">
        <v>2104</v>
      </c>
      <c r="E253" s="233"/>
      <c r="F253" s="26"/>
      <c r="G253" s="233">
        <v>3.0</v>
      </c>
      <c r="H253" s="26" t="s">
        <v>190</v>
      </c>
      <c r="I253" s="233">
        <v>3.0</v>
      </c>
      <c r="J253" s="26" t="s">
        <v>190</v>
      </c>
      <c r="K253" s="233"/>
      <c r="L253" s="26"/>
      <c r="M253" s="224" t="s">
        <v>2282</v>
      </c>
      <c r="N253" s="220"/>
      <c r="O253" s="32"/>
      <c r="P253" s="32"/>
      <c r="Q253" s="10"/>
      <c r="R253" s="10"/>
      <c r="S253" s="10"/>
      <c r="T253" s="10"/>
      <c r="U253" s="10"/>
      <c r="V253" s="10"/>
      <c r="W253" s="10"/>
      <c r="X253" s="10"/>
    </row>
    <row r="254">
      <c r="A254" s="245">
        <v>45525.0</v>
      </c>
      <c r="B254" s="246">
        <v>33.0</v>
      </c>
      <c r="C254" s="238" t="s">
        <v>2283</v>
      </c>
      <c r="D254" s="232" t="s">
        <v>54</v>
      </c>
      <c r="E254" s="233">
        <v>8.0</v>
      </c>
      <c r="F254" s="26" t="s">
        <v>190</v>
      </c>
      <c r="G254" s="233"/>
      <c r="H254" s="26"/>
      <c r="I254" s="233"/>
      <c r="J254" s="26"/>
      <c r="K254" s="233"/>
      <c r="L254" s="26"/>
      <c r="M254" s="225" t="s">
        <v>2284</v>
      </c>
      <c r="N254" s="220"/>
      <c r="O254" s="147"/>
      <c r="P254" s="147"/>
      <c r="Q254" s="10"/>
      <c r="R254" s="10"/>
      <c r="S254" s="10"/>
      <c r="T254" s="10"/>
      <c r="U254" s="10"/>
      <c r="V254" s="10"/>
      <c r="W254" s="10"/>
      <c r="X254" s="10"/>
    </row>
    <row r="255">
      <c r="A255" s="245">
        <v>45523.0</v>
      </c>
      <c r="B255" s="246">
        <v>33.0</v>
      </c>
      <c r="C255" s="238" t="s">
        <v>2285</v>
      </c>
      <c r="D255" s="232" t="s">
        <v>2171</v>
      </c>
      <c r="E255" s="233"/>
      <c r="F255" s="26"/>
      <c r="G255" s="233">
        <v>18.0</v>
      </c>
      <c r="H255" s="26" t="s">
        <v>190</v>
      </c>
      <c r="I255" s="233">
        <v>21.0</v>
      </c>
      <c r="J255" s="26" t="s">
        <v>190</v>
      </c>
      <c r="K255" s="233"/>
      <c r="L255" s="26"/>
      <c r="M255" s="220"/>
      <c r="N255" s="220"/>
      <c r="O255" s="147"/>
      <c r="P255" s="147"/>
      <c r="Q255" s="10"/>
      <c r="R255" s="10"/>
      <c r="S255" s="10"/>
      <c r="T255" s="10"/>
      <c r="U255" s="10"/>
      <c r="V255" s="10"/>
      <c r="W255" s="10"/>
      <c r="X255" s="10"/>
    </row>
    <row r="256">
      <c r="A256" s="245">
        <v>45520.0</v>
      </c>
      <c r="B256" s="246">
        <v>33.0</v>
      </c>
      <c r="C256" s="238" t="s">
        <v>2286</v>
      </c>
      <c r="D256" s="232" t="s">
        <v>2104</v>
      </c>
      <c r="E256" s="233"/>
      <c r="F256" s="26"/>
      <c r="G256" s="233">
        <v>1.0</v>
      </c>
      <c r="H256" s="26" t="s">
        <v>190</v>
      </c>
      <c r="I256" s="233">
        <v>3.0</v>
      </c>
      <c r="J256" s="26" t="s">
        <v>190</v>
      </c>
      <c r="K256" s="233"/>
      <c r="L256" s="26"/>
      <c r="M256" s="248"/>
      <c r="N256" s="220"/>
      <c r="O256" s="32"/>
      <c r="P256" s="32"/>
      <c r="Q256" s="10"/>
      <c r="R256" s="10"/>
      <c r="S256" s="10"/>
      <c r="T256" s="10"/>
      <c r="U256" s="10"/>
      <c r="V256" s="10"/>
      <c r="W256" s="10"/>
      <c r="X256" s="10"/>
    </row>
    <row r="257">
      <c r="A257" s="245">
        <v>45512.0</v>
      </c>
      <c r="B257" s="246">
        <v>32.0</v>
      </c>
      <c r="C257" s="238" t="s">
        <v>2287</v>
      </c>
      <c r="D257" s="232" t="s">
        <v>2171</v>
      </c>
      <c r="E257" s="233"/>
      <c r="F257" s="26"/>
      <c r="G257" s="233">
        <v>1.0</v>
      </c>
      <c r="H257" s="26" t="s">
        <v>190</v>
      </c>
      <c r="I257" s="233"/>
      <c r="J257" s="26"/>
      <c r="K257" s="233"/>
      <c r="L257" s="26"/>
      <c r="M257" s="220"/>
      <c r="N257" s="220"/>
      <c r="O257" s="147"/>
      <c r="P257" s="147"/>
      <c r="Q257" s="10"/>
      <c r="R257" s="10"/>
      <c r="S257" s="10"/>
      <c r="T257" s="10"/>
      <c r="U257" s="10"/>
      <c r="V257" s="10"/>
      <c r="W257" s="10"/>
      <c r="X257" s="10"/>
    </row>
    <row r="258">
      <c r="A258" s="245">
        <v>45512.0</v>
      </c>
      <c r="B258" s="246">
        <v>31.0</v>
      </c>
      <c r="C258" s="238" t="s">
        <v>2288</v>
      </c>
      <c r="D258" s="232" t="s">
        <v>54</v>
      </c>
      <c r="E258" s="233"/>
      <c r="F258" s="26"/>
      <c r="G258" s="233">
        <v>4.0</v>
      </c>
      <c r="H258" s="26" t="s">
        <v>190</v>
      </c>
      <c r="I258" s="233"/>
      <c r="J258" s="26"/>
      <c r="K258" s="233"/>
      <c r="L258" s="26"/>
      <c r="M258" s="227"/>
      <c r="N258" s="220"/>
      <c r="O258" s="32"/>
      <c r="P258" s="32"/>
      <c r="Q258" s="10"/>
      <c r="R258" s="10"/>
      <c r="S258" s="10"/>
      <c r="T258" s="10"/>
      <c r="U258" s="10"/>
      <c r="V258" s="10"/>
      <c r="W258" s="10"/>
      <c r="X258" s="10"/>
    </row>
    <row r="259">
      <c r="A259" s="245">
        <v>45506.0</v>
      </c>
      <c r="B259" s="246">
        <v>31.0</v>
      </c>
      <c r="C259" s="238" t="s">
        <v>2289</v>
      </c>
      <c r="D259" s="232" t="s">
        <v>84</v>
      </c>
      <c r="E259" s="233"/>
      <c r="F259" s="26"/>
      <c r="G259" s="233">
        <v>7.0</v>
      </c>
      <c r="H259" s="26" t="s">
        <v>190</v>
      </c>
      <c r="I259" s="233"/>
      <c r="J259" s="26"/>
      <c r="K259" s="233"/>
      <c r="L259" s="26"/>
      <c r="M259" s="220"/>
      <c r="N259" s="220"/>
      <c r="O259" s="32"/>
      <c r="P259" s="32"/>
      <c r="Q259" s="10"/>
      <c r="R259" s="10"/>
      <c r="S259" s="10"/>
      <c r="T259" s="10"/>
      <c r="U259" s="10"/>
      <c r="V259" s="10"/>
      <c r="W259" s="10"/>
      <c r="X259" s="10"/>
    </row>
    <row r="260">
      <c r="A260" s="245">
        <v>45505.0</v>
      </c>
      <c r="B260" s="246">
        <v>30.0</v>
      </c>
      <c r="C260" s="238" t="s">
        <v>2290</v>
      </c>
      <c r="D260" s="232" t="s">
        <v>2171</v>
      </c>
      <c r="E260" s="233"/>
      <c r="F260" s="26"/>
      <c r="G260" s="233">
        <v>9.0</v>
      </c>
      <c r="H260" s="26" t="s">
        <v>190</v>
      </c>
      <c r="I260" s="233">
        <v>5.0</v>
      </c>
      <c r="J260" s="26" t="s">
        <v>190</v>
      </c>
      <c r="K260" s="233"/>
      <c r="L260" s="26"/>
      <c r="M260" s="224" t="s">
        <v>2291</v>
      </c>
      <c r="N260" s="220"/>
      <c r="O260" s="147"/>
      <c r="P260" s="147"/>
      <c r="Q260" s="10"/>
      <c r="R260" s="10"/>
      <c r="S260" s="10"/>
      <c r="T260" s="10"/>
      <c r="U260" s="10"/>
      <c r="V260" s="10"/>
      <c r="W260" s="10"/>
      <c r="X260" s="10"/>
    </row>
    <row r="261">
      <c r="A261" s="245">
        <v>45504.0</v>
      </c>
      <c r="B261" s="246">
        <v>31.0</v>
      </c>
      <c r="C261" s="238" t="s">
        <v>2292</v>
      </c>
      <c r="D261" s="232" t="s">
        <v>2171</v>
      </c>
      <c r="E261" s="233"/>
      <c r="F261" s="26"/>
      <c r="G261" s="233">
        <v>3.0</v>
      </c>
      <c r="H261" s="26" t="s">
        <v>190</v>
      </c>
      <c r="I261" s="233">
        <v>2.0</v>
      </c>
      <c r="J261" s="26" t="s">
        <v>190</v>
      </c>
      <c r="K261" s="233"/>
      <c r="L261" s="26"/>
      <c r="M261" s="224" t="s">
        <v>2293</v>
      </c>
      <c r="N261" s="220"/>
      <c r="O261" s="32"/>
      <c r="P261" s="32"/>
      <c r="Q261" s="10"/>
      <c r="R261" s="10"/>
      <c r="S261" s="10"/>
      <c r="T261" s="10"/>
      <c r="U261" s="10"/>
      <c r="V261" s="10"/>
      <c r="W261" s="10"/>
      <c r="X261" s="10"/>
    </row>
    <row r="262">
      <c r="A262" s="245">
        <v>45502.0</v>
      </c>
      <c r="B262" s="246">
        <v>31.0</v>
      </c>
      <c r="C262" s="238" t="s">
        <v>2294</v>
      </c>
      <c r="D262" s="232" t="s">
        <v>2104</v>
      </c>
      <c r="E262" s="233"/>
      <c r="F262" s="26"/>
      <c r="G262" s="233">
        <v>1.0</v>
      </c>
      <c r="H262" s="26" t="s">
        <v>190</v>
      </c>
      <c r="I262" s="233">
        <v>2.0</v>
      </c>
      <c r="J262" s="26" t="s">
        <v>190</v>
      </c>
      <c r="K262" s="233"/>
      <c r="L262" s="26"/>
      <c r="M262" s="224" t="s">
        <v>2295</v>
      </c>
      <c r="N262" s="220"/>
      <c r="O262" s="32"/>
      <c r="P262" s="32"/>
      <c r="Q262" s="10"/>
      <c r="R262" s="10"/>
      <c r="S262" s="10"/>
      <c r="T262" s="10"/>
      <c r="U262" s="10"/>
      <c r="V262" s="10"/>
      <c r="W262" s="10"/>
      <c r="X262" s="10"/>
    </row>
    <row r="263">
      <c r="A263" s="245">
        <v>45502.0</v>
      </c>
      <c r="B263" s="246">
        <v>30.0</v>
      </c>
      <c r="C263" s="238" t="s">
        <v>2296</v>
      </c>
      <c r="D263" s="232" t="s">
        <v>84</v>
      </c>
      <c r="E263" s="233"/>
      <c r="F263" s="26"/>
      <c r="G263" s="233">
        <v>8.0</v>
      </c>
      <c r="H263" s="26" t="s">
        <v>190</v>
      </c>
      <c r="I263" s="233"/>
      <c r="J263" s="26"/>
      <c r="K263" s="233"/>
      <c r="L263" s="26"/>
      <c r="M263" s="220"/>
      <c r="N263" s="220"/>
      <c r="O263" s="32"/>
      <c r="P263" s="32"/>
      <c r="Q263" s="10"/>
      <c r="R263" s="10"/>
      <c r="S263" s="10"/>
      <c r="T263" s="10"/>
      <c r="U263" s="10"/>
      <c r="V263" s="10"/>
      <c r="W263" s="10"/>
      <c r="X263" s="10"/>
    </row>
    <row r="264">
      <c r="A264" s="234">
        <v>45499.0</v>
      </c>
      <c r="B264" s="235">
        <v>43.0</v>
      </c>
      <c r="C264" s="235" t="s">
        <v>2297</v>
      </c>
      <c r="D264" s="232" t="s">
        <v>44</v>
      </c>
      <c r="E264" s="233">
        <v>6.0</v>
      </c>
      <c r="F264" s="26" t="s">
        <v>190</v>
      </c>
      <c r="G264" s="233"/>
      <c r="H264" s="26"/>
      <c r="I264" s="233"/>
      <c r="J264" s="26"/>
      <c r="K264" s="233"/>
      <c r="L264" s="26"/>
      <c r="M264" s="225" t="s">
        <v>2298</v>
      </c>
      <c r="N264" s="220"/>
      <c r="O264" s="32"/>
      <c r="P264" s="32"/>
      <c r="Q264" s="10"/>
      <c r="R264" s="10"/>
      <c r="S264" s="10"/>
      <c r="T264" s="10"/>
      <c r="U264" s="10"/>
      <c r="V264" s="10"/>
      <c r="W264" s="10"/>
      <c r="X264" s="10"/>
    </row>
    <row r="265">
      <c r="A265" s="245">
        <v>45499.0</v>
      </c>
      <c r="B265" s="246">
        <v>30.0</v>
      </c>
      <c r="C265" s="238" t="s">
        <v>2299</v>
      </c>
      <c r="D265" s="232" t="s">
        <v>54</v>
      </c>
      <c r="E265" s="233">
        <v>2.0</v>
      </c>
      <c r="F265" s="26" t="s">
        <v>190</v>
      </c>
      <c r="G265" s="233">
        <v>5.0</v>
      </c>
      <c r="H265" s="26" t="s">
        <v>190</v>
      </c>
      <c r="I265" s="233"/>
      <c r="J265" s="26"/>
      <c r="K265" s="233"/>
      <c r="L265" s="26"/>
      <c r="M265" s="224" t="s">
        <v>2300</v>
      </c>
      <c r="N265" s="220"/>
      <c r="O265" s="32"/>
      <c r="P265" s="32"/>
      <c r="Q265" s="10"/>
      <c r="R265" s="10"/>
      <c r="S265" s="10"/>
      <c r="T265" s="10"/>
      <c r="U265" s="10"/>
      <c r="V265" s="10"/>
      <c r="W265" s="10"/>
      <c r="X265" s="10"/>
    </row>
    <row r="266">
      <c r="A266" s="245">
        <v>45498.0</v>
      </c>
      <c r="B266" s="246">
        <v>30.0</v>
      </c>
      <c r="C266" s="238" t="s">
        <v>2301</v>
      </c>
      <c r="D266" s="232" t="s">
        <v>44</v>
      </c>
      <c r="E266" s="233">
        <v>4.0</v>
      </c>
      <c r="F266" s="26" t="s">
        <v>190</v>
      </c>
      <c r="G266" s="233"/>
      <c r="H266" s="26"/>
      <c r="I266" s="233"/>
      <c r="J266" s="26"/>
      <c r="K266" s="233"/>
      <c r="L266" s="26"/>
      <c r="M266" s="224" t="s">
        <v>2300</v>
      </c>
      <c r="N266" s="220"/>
      <c r="O266" s="147"/>
      <c r="P266" s="147"/>
      <c r="Q266" s="10"/>
      <c r="R266" s="10"/>
      <c r="S266" s="10"/>
      <c r="T266" s="10"/>
      <c r="U266" s="10"/>
      <c r="V266" s="10"/>
      <c r="W266" s="10"/>
      <c r="X266" s="10"/>
    </row>
    <row r="267">
      <c r="A267" s="245">
        <v>45498.0</v>
      </c>
      <c r="B267" s="246">
        <v>30.0</v>
      </c>
      <c r="C267" s="238" t="s">
        <v>2302</v>
      </c>
      <c r="D267" s="232" t="s">
        <v>2104</v>
      </c>
      <c r="E267" s="233"/>
      <c r="F267" s="26"/>
      <c r="G267" s="233">
        <v>3.0</v>
      </c>
      <c r="H267" s="26" t="s">
        <v>190</v>
      </c>
      <c r="I267" s="236">
        <v>5.0</v>
      </c>
      <c r="J267" s="26" t="s">
        <v>190</v>
      </c>
      <c r="K267" s="236"/>
      <c r="L267" s="26"/>
      <c r="M267" s="224" t="s">
        <v>2300</v>
      </c>
      <c r="N267" s="220"/>
      <c r="O267" s="32"/>
      <c r="P267" s="32"/>
      <c r="Q267" s="10"/>
      <c r="R267" s="10"/>
      <c r="S267" s="10"/>
      <c r="T267" s="10"/>
      <c r="U267" s="10"/>
      <c r="V267" s="10"/>
      <c r="W267" s="10"/>
      <c r="X267" s="10"/>
    </row>
    <row r="268">
      <c r="A268" s="245">
        <v>45495.0</v>
      </c>
      <c r="B268" s="246">
        <v>29.0</v>
      </c>
      <c r="C268" s="238" t="s">
        <v>2303</v>
      </c>
      <c r="D268" s="232" t="s">
        <v>38</v>
      </c>
      <c r="E268" s="233"/>
      <c r="F268" s="26"/>
      <c r="G268" s="233">
        <v>4.0</v>
      </c>
      <c r="H268" s="26" t="s">
        <v>190</v>
      </c>
      <c r="I268" s="233"/>
      <c r="J268" s="26"/>
      <c r="K268" s="233"/>
      <c r="L268" s="26"/>
      <c r="M268" s="220"/>
      <c r="N268" s="220"/>
      <c r="O268" s="32"/>
      <c r="P268" s="32"/>
      <c r="Q268" s="10"/>
      <c r="R268" s="10"/>
      <c r="S268" s="10"/>
      <c r="T268" s="10"/>
      <c r="U268" s="10"/>
      <c r="V268" s="10"/>
      <c r="W268" s="10"/>
      <c r="X268" s="10"/>
    </row>
    <row r="269">
      <c r="A269" s="245">
        <v>45495.0</v>
      </c>
      <c r="B269" s="246">
        <v>29.0</v>
      </c>
      <c r="C269" s="238" t="s">
        <v>2304</v>
      </c>
      <c r="D269" s="232" t="s">
        <v>2171</v>
      </c>
      <c r="E269" s="233"/>
      <c r="F269" s="26"/>
      <c r="G269" s="233">
        <v>26.0</v>
      </c>
      <c r="H269" s="26" t="s">
        <v>190</v>
      </c>
      <c r="I269" s="233">
        <v>12.0</v>
      </c>
      <c r="J269" s="26" t="s">
        <v>190</v>
      </c>
      <c r="K269" s="233"/>
      <c r="L269" s="26"/>
      <c r="M269" s="220"/>
      <c r="N269" s="224" t="s">
        <v>2305</v>
      </c>
      <c r="O269" s="32"/>
      <c r="P269" s="32"/>
      <c r="Q269" s="10"/>
      <c r="R269" s="10"/>
      <c r="S269" s="10"/>
      <c r="T269" s="10"/>
      <c r="U269" s="10"/>
      <c r="V269" s="10"/>
      <c r="W269" s="10"/>
      <c r="X269" s="10"/>
    </row>
    <row r="270">
      <c r="A270" s="245">
        <v>45493.0</v>
      </c>
      <c r="B270" s="246">
        <v>29.0</v>
      </c>
      <c r="C270" s="238" t="s">
        <v>2306</v>
      </c>
      <c r="D270" s="232" t="s">
        <v>44</v>
      </c>
      <c r="E270" s="233">
        <v>12.0</v>
      </c>
      <c r="F270" s="26" t="s">
        <v>190</v>
      </c>
      <c r="G270" s="233"/>
      <c r="H270" s="26"/>
      <c r="I270" s="233"/>
      <c r="J270" s="26"/>
      <c r="K270" s="233"/>
      <c r="L270" s="26"/>
      <c r="M270" s="224" t="s">
        <v>2300</v>
      </c>
      <c r="N270" s="220"/>
      <c r="O270" s="32"/>
      <c r="P270" s="32"/>
      <c r="Q270" s="10"/>
      <c r="R270" s="10"/>
      <c r="S270" s="10"/>
      <c r="T270" s="10"/>
      <c r="U270" s="10"/>
      <c r="V270" s="10"/>
      <c r="W270" s="10"/>
      <c r="X270" s="10"/>
    </row>
    <row r="271">
      <c r="A271" s="234">
        <v>45492.0</v>
      </c>
      <c r="B271" s="235">
        <v>29.0</v>
      </c>
      <c r="C271" s="235" t="s">
        <v>2307</v>
      </c>
      <c r="D271" s="232" t="s">
        <v>2104</v>
      </c>
      <c r="E271" s="233"/>
      <c r="F271" s="26"/>
      <c r="G271" s="233">
        <v>4.0</v>
      </c>
      <c r="H271" s="26" t="s">
        <v>190</v>
      </c>
      <c r="I271" s="233">
        <v>5.0</v>
      </c>
      <c r="J271" s="26" t="s">
        <v>190</v>
      </c>
      <c r="K271" s="233"/>
      <c r="L271" s="26"/>
      <c r="M271" s="227"/>
      <c r="N271" s="220"/>
      <c r="O271" s="32"/>
      <c r="P271" s="32"/>
      <c r="Q271" s="10"/>
      <c r="R271" s="10"/>
      <c r="S271" s="10"/>
      <c r="T271" s="10"/>
      <c r="U271" s="10"/>
      <c r="V271" s="10"/>
      <c r="W271" s="10"/>
      <c r="X271" s="10"/>
    </row>
    <row r="272">
      <c r="A272" s="245">
        <v>45492.0</v>
      </c>
      <c r="B272" s="246">
        <v>29.0</v>
      </c>
      <c r="C272" s="238" t="s">
        <v>2308</v>
      </c>
      <c r="D272" s="232" t="s">
        <v>54</v>
      </c>
      <c r="E272" s="233">
        <v>7.0</v>
      </c>
      <c r="F272" s="26" t="s">
        <v>190</v>
      </c>
      <c r="G272" s="233">
        <v>4.0</v>
      </c>
      <c r="H272" s="26" t="s">
        <v>190</v>
      </c>
      <c r="I272" s="233"/>
      <c r="J272" s="26"/>
      <c r="K272" s="233"/>
      <c r="L272" s="26"/>
      <c r="M272" s="224"/>
      <c r="N272" s="220"/>
      <c r="O272" s="32"/>
      <c r="P272" s="32"/>
      <c r="Q272" s="10"/>
      <c r="R272" s="10"/>
      <c r="S272" s="10"/>
      <c r="T272" s="10"/>
      <c r="U272" s="10"/>
      <c r="V272" s="10"/>
      <c r="W272" s="10"/>
      <c r="X272" s="10"/>
    </row>
    <row r="273">
      <c r="A273" s="245">
        <v>45492.0</v>
      </c>
      <c r="B273" s="246">
        <v>28.0</v>
      </c>
      <c r="C273" s="238" t="s">
        <v>2309</v>
      </c>
      <c r="D273" s="232" t="s">
        <v>38</v>
      </c>
      <c r="E273" s="233"/>
      <c r="F273" s="26"/>
      <c r="G273" s="233">
        <v>9.0</v>
      </c>
      <c r="H273" s="26" t="s">
        <v>190</v>
      </c>
      <c r="I273" s="233"/>
      <c r="J273" s="26"/>
      <c r="K273" s="233"/>
      <c r="L273" s="26"/>
      <c r="M273" s="220"/>
      <c r="N273" s="220"/>
      <c r="O273" s="32"/>
      <c r="P273" s="32"/>
      <c r="Q273" s="10"/>
      <c r="R273" s="10"/>
      <c r="S273" s="10"/>
      <c r="T273" s="10"/>
      <c r="U273" s="10"/>
      <c r="V273" s="10"/>
      <c r="W273" s="10"/>
      <c r="X273" s="10"/>
    </row>
    <row r="274">
      <c r="A274" s="245">
        <v>45492.0</v>
      </c>
      <c r="B274" s="246">
        <v>29.0</v>
      </c>
      <c r="C274" s="238" t="s">
        <v>2310</v>
      </c>
      <c r="D274" s="232" t="s">
        <v>84</v>
      </c>
      <c r="E274" s="233"/>
      <c r="F274" s="26"/>
      <c r="G274" s="233">
        <v>9.0</v>
      </c>
      <c r="H274" s="26" t="s">
        <v>190</v>
      </c>
      <c r="I274" s="233"/>
      <c r="J274" s="26"/>
      <c r="K274" s="233"/>
      <c r="L274" s="26"/>
      <c r="M274" s="220"/>
      <c r="N274" s="220"/>
      <c r="O274" s="147"/>
      <c r="P274" s="147"/>
      <c r="Q274" s="10"/>
      <c r="R274" s="10"/>
      <c r="S274" s="10"/>
      <c r="T274" s="10"/>
      <c r="U274" s="10"/>
      <c r="V274" s="10"/>
      <c r="W274" s="10"/>
      <c r="X274" s="10"/>
    </row>
    <row r="275">
      <c r="A275" s="234">
        <v>45490.0</v>
      </c>
      <c r="B275" s="235">
        <v>29.0</v>
      </c>
      <c r="C275" s="235" t="s">
        <v>2311</v>
      </c>
      <c r="D275" s="232" t="s">
        <v>175</v>
      </c>
      <c r="E275" s="233">
        <v>2.0</v>
      </c>
      <c r="F275" s="26" t="s">
        <v>190</v>
      </c>
      <c r="G275" s="233"/>
      <c r="H275" s="26"/>
      <c r="I275" s="233"/>
      <c r="J275" s="26"/>
      <c r="K275" s="233"/>
      <c r="L275" s="26"/>
      <c r="M275" s="224" t="s">
        <v>2312</v>
      </c>
      <c r="N275" s="220"/>
      <c r="O275" s="32"/>
      <c r="P275" s="32"/>
      <c r="Q275" s="10"/>
      <c r="R275" s="10"/>
      <c r="S275" s="10"/>
      <c r="T275" s="10"/>
      <c r="U275" s="10"/>
      <c r="V275" s="10"/>
      <c r="W275" s="10"/>
      <c r="X275" s="10"/>
    </row>
    <row r="276">
      <c r="A276" s="234">
        <v>45488.0</v>
      </c>
      <c r="B276" s="235">
        <v>28.0</v>
      </c>
      <c r="C276" s="235" t="s">
        <v>2313</v>
      </c>
      <c r="D276" s="232" t="s">
        <v>2104</v>
      </c>
      <c r="E276" s="233"/>
      <c r="F276" s="26"/>
      <c r="G276" s="233">
        <v>8.0</v>
      </c>
      <c r="H276" s="26" t="s">
        <v>190</v>
      </c>
      <c r="I276" s="233">
        <v>4.0</v>
      </c>
      <c r="J276" s="26" t="s">
        <v>190</v>
      </c>
      <c r="K276" s="233"/>
      <c r="L276" s="26"/>
      <c r="M276" s="227"/>
      <c r="N276" s="220"/>
      <c r="O276" s="32"/>
      <c r="P276" s="32"/>
      <c r="Q276" s="10"/>
      <c r="R276" s="10"/>
      <c r="S276" s="10"/>
      <c r="T276" s="10"/>
      <c r="U276" s="10"/>
      <c r="V276" s="10"/>
      <c r="W276" s="10"/>
      <c r="X276" s="10"/>
    </row>
    <row r="277">
      <c r="A277" s="234">
        <v>45488.0</v>
      </c>
      <c r="B277" s="235">
        <v>28.0</v>
      </c>
      <c r="C277" s="235" t="s">
        <v>2314</v>
      </c>
      <c r="D277" s="232" t="s">
        <v>2171</v>
      </c>
      <c r="E277" s="233"/>
      <c r="F277" s="26"/>
      <c r="G277" s="233">
        <v>45.0</v>
      </c>
      <c r="H277" s="26" t="s">
        <v>190</v>
      </c>
      <c r="I277" s="233">
        <v>20.0</v>
      </c>
      <c r="J277" s="26" t="s">
        <v>190</v>
      </c>
      <c r="K277" s="233"/>
      <c r="L277" s="26"/>
      <c r="M277" s="224" t="s">
        <v>2315</v>
      </c>
      <c r="N277" s="220"/>
      <c r="O277" s="32"/>
      <c r="P277" s="32"/>
      <c r="Q277" s="10"/>
      <c r="R277" s="10"/>
      <c r="S277" s="10"/>
      <c r="T277" s="10"/>
      <c r="U277" s="10"/>
      <c r="V277" s="10"/>
      <c r="W277" s="10"/>
      <c r="X277" s="10"/>
    </row>
    <row r="278">
      <c r="A278" s="234">
        <v>45485.0</v>
      </c>
      <c r="B278" s="235">
        <v>28.0</v>
      </c>
      <c r="C278" s="235" t="s">
        <v>2316</v>
      </c>
      <c r="D278" s="232" t="s">
        <v>54</v>
      </c>
      <c r="E278" s="233">
        <v>6.0</v>
      </c>
      <c r="F278" s="26" t="s">
        <v>190</v>
      </c>
      <c r="G278" s="233">
        <v>6.0</v>
      </c>
      <c r="H278" s="26" t="s">
        <v>190</v>
      </c>
      <c r="I278" s="233"/>
      <c r="J278" s="26"/>
      <c r="K278" s="233"/>
      <c r="L278" s="26"/>
      <c r="M278" s="224"/>
      <c r="N278" s="220"/>
      <c r="O278" s="32"/>
      <c r="P278" s="32"/>
      <c r="Q278" s="10"/>
      <c r="R278" s="10"/>
      <c r="S278" s="10"/>
      <c r="T278" s="10"/>
      <c r="U278" s="10"/>
      <c r="V278" s="10"/>
      <c r="W278" s="10"/>
      <c r="X278" s="10"/>
    </row>
    <row r="279">
      <c r="A279" s="234">
        <v>45485.0</v>
      </c>
      <c r="B279" s="235">
        <v>28.0</v>
      </c>
      <c r="C279" s="235" t="s">
        <v>2317</v>
      </c>
      <c r="D279" s="232" t="s">
        <v>84</v>
      </c>
      <c r="E279" s="233"/>
      <c r="F279" s="26"/>
      <c r="G279" s="233">
        <v>10.0</v>
      </c>
      <c r="H279" s="26" t="s">
        <v>190</v>
      </c>
      <c r="I279" s="233"/>
      <c r="J279" s="26"/>
      <c r="K279" s="233"/>
      <c r="L279" s="26"/>
      <c r="M279" s="220"/>
      <c r="N279" s="220"/>
      <c r="O279" s="32"/>
      <c r="P279" s="32"/>
      <c r="Q279" s="10"/>
      <c r="R279" s="10"/>
      <c r="S279" s="10"/>
      <c r="T279" s="10"/>
      <c r="U279" s="10"/>
      <c r="V279" s="10"/>
      <c r="W279" s="10"/>
      <c r="X279" s="10"/>
    </row>
    <row r="280">
      <c r="A280" s="234">
        <v>45483.0</v>
      </c>
      <c r="B280" s="235">
        <v>28.0</v>
      </c>
      <c r="C280" s="235" t="s">
        <v>2318</v>
      </c>
      <c r="D280" s="232" t="s">
        <v>44</v>
      </c>
      <c r="E280" s="233">
        <v>7.0</v>
      </c>
      <c r="F280" s="26" t="s">
        <v>190</v>
      </c>
      <c r="G280" s="233"/>
      <c r="H280" s="26"/>
      <c r="I280" s="233"/>
      <c r="J280" s="26"/>
      <c r="K280" s="233"/>
      <c r="L280" s="26"/>
      <c r="M280" s="224"/>
      <c r="N280" s="224" t="s">
        <v>2319</v>
      </c>
      <c r="O280" s="32"/>
      <c r="P280" s="32"/>
      <c r="Q280" s="10"/>
      <c r="R280" s="10"/>
      <c r="S280" s="10"/>
      <c r="T280" s="10"/>
      <c r="U280" s="10"/>
      <c r="V280" s="10"/>
      <c r="W280" s="10"/>
      <c r="X280" s="10"/>
    </row>
    <row r="281">
      <c r="A281" s="234">
        <v>45483.0</v>
      </c>
      <c r="B281" s="235">
        <v>28.0</v>
      </c>
      <c r="C281" s="235" t="s">
        <v>2320</v>
      </c>
      <c r="D281" s="232" t="s">
        <v>175</v>
      </c>
      <c r="E281" s="233">
        <v>2.0</v>
      </c>
      <c r="F281" s="26" t="s">
        <v>190</v>
      </c>
      <c r="G281" s="233"/>
      <c r="H281" s="26"/>
      <c r="I281" s="233"/>
      <c r="J281" s="26"/>
      <c r="K281" s="233"/>
      <c r="L281" s="26"/>
      <c r="M281" s="224" t="s">
        <v>2321</v>
      </c>
      <c r="N281" s="220"/>
      <c r="O281" s="32"/>
      <c r="P281" s="32"/>
      <c r="Q281" s="10"/>
      <c r="R281" s="10"/>
      <c r="S281" s="10"/>
      <c r="T281" s="10"/>
      <c r="U281" s="10"/>
      <c r="V281" s="10"/>
      <c r="W281" s="10"/>
      <c r="X281" s="10"/>
    </row>
    <row r="282">
      <c r="A282" s="234">
        <v>45481.0</v>
      </c>
      <c r="B282" s="235">
        <v>27.0</v>
      </c>
      <c r="C282" s="235" t="s">
        <v>2322</v>
      </c>
      <c r="D282" s="232" t="s">
        <v>2104</v>
      </c>
      <c r="E282" s="233"/>
      <c r="F282" s="26"/>
      <c r="G282" s="233">
        <v>19.0</v>
      </c>
      <c r="H282" s="26" t="s">
        <v>190</v>
      </c>
      <c r="I282" s="233">
        <v>5.0</v>
      </c>
      <c r="J282" s="26" t="s">
        <v>190</v>
      </c>
      <c r="K282" s="233"/>
      <c r="L282" s="26"/>
      <c r="M282" s="224"/>
      <c r="N282" s="224" t="s">
        <v>2323</v>
      </c>
      <c r="O282" s="32"/>
      <c r="P282" s="32"/>
      <c r="Q282" s="10"/>
      <c r="R282" s="10"/>
      <c r="S282" s="10"/>
      <c r="T282" s="10"/>
      <c r="U282" s="10"/>
      <c r="V282" s="10"/>
      <c r="W282" s="10"/>
      <c r="X282" s="10"/>
    </row>
    <row r="283">
      <c r="A283" s="234">
        <v>45478.0</v>
      </c>
      <c r="B283" s="235">
        <v>27.0</v>
      </c>
      <c r="C283" s="238" t="s">
        <v>2033</v>
      </c>
      <c r="D283" s="232" t="s">
        <v>44</v>
      </c>
      <c r="E283" s="233">
        <v>8.0</v>
      </c>
      <c r="F283" s="26" t="s">
        <v>190</v>
      </c>
      <c r="G283" s="233"/>
      <c r="H283" s="26"/>
      <c r="I283" s="233"/>
      <c r="J283" s="26"/>
      <c r="K283" s="233"/>
      <c r="L283" s="26"/>
      <c r="M283" s="220"/>
      <c r="N283" s="224" t="s">
        <v>2324</v>
      </c>
      <c r="O283" s="147"/>
      <c r="P283" s="147"/>
      <c r="Q283" s="10"/>
      <c r="R283" s="10"/>
      <c r="S283" s="10"/>
      <c r="T283" s="10"/>
      <c r="U283" s="10"/>
      <c r="V283" s="10"/>
      <c r="W283" s="10"/>
      <c r="X283" s="10"/>
    </row>
    <row r="284">
      <c r="A284" s="234">
        <v>45478.0</v>
      </c>
      <c r="B284" s="235">
        <v>27.0</v>
      </c>
      <c r="C284" s="235" t="s">
        <v>2325</v>
      </c>
      <c r="D284" s="232" t="s">
        <v>38</v>
      </c>
      <c r="E284" s="233"/>
      <c r="F284" s="26"/>
      <c r="G284" s="233">
        <v>2.0</v>
      </c>
      <c r="H284" s="26" t="s">
        <v>190</v>
      </c>
      <c r="I284" s="233"/>
      <c r="J284" s="26"/>
      <c r="K284" s="233"/>
      <c r="L284" s="26"/>
      <c r="M284" s="220"/>
      <c r="N284" s="220"/>
      <c r="O284" s="147"/>
      <c r="P284" s="147"/>
      <c r="Q284" s="10"/>
      <c r="R284" s="10"/>
      <c r="S284" s="10"/>
      <c r="T284" s="10"/>
      <c r="U284" s="10"/>
      <c r="V284" s="10"/>
      <c r="W284" s="10"/>
      <c r="X284" s="10"/>
    </row>
    <row r="285">
      <c r="A285" s="234">
        <v>45478.0</v>
      </c>
      <c r="B285" s="235">
        <v>27.0</v>
      </c>
      <c r="C285" s="238" t="s">
        <v>2326</v>
      </c>
      <c r="D285" s="232" t="s">
        <v>175</v>
      </c>
      <c r="E285" s="233">
        <v>1.0</v>
      </c>
      <c r="F285" s="26" t="s">
        <v>190</v>
      </c>
      <c r="G285" s="233"/>
      <c r="H285" s="26"/>
      <c r="I285" s="233"/>
      <c r="J285" s="26"/>
      <c r="K285" s="233"/>
      <c r="L285" s="26"/>
      <c r="M285" s="224" t="s">
        <v>2327</v>
      </c>
      <c r="N285" s="220"/>
      <c r="O285" s="32"/>
      <c r="P285" s="32"/>
      <c r="Q285" s="10"/>
      <c r="R285" s="10"/>
      <c r="S285" s="10"/>
      <c r="T285" s="10"/>
      <c r="U285" s="10"/>
      <c r="V285" s="10"/>
      <c r="W285" s="10"/>
      <c r="X285" s="10"/>
    </row>
    <row r="286">
      <c r="A286" s="245">
        <v>45478.0</v>
      </c>
      <c r="B286" s="246">
        <v>27.0</v>
      </c>
      <c r="C286" s="238" t="s">
        <v>2328</v>
      </c>
      <c r="D286" s="232" t="s">
        <v>54</v>
      </c>
      <c r="E286" s="233">
        <v>19.0</v>
      </c>
      <c r="F286" s="26" t="s">
        <v>190</v>
      </c>
      <c r="G286" s="233">
        <v>7.0</v>
      </c>
      <c r="H286" s="26" t="s">
        <v>190</v>
      </c>
      <c r="I286" s="233"/>
      <c r="J286" s="26"/>
      <c r="K286" s="233"/>
      <c r="L286" s="26"/>
      <c r="M286" s="225" t="s">
        <v>2329</v>
      </c>
      <c r="N286" s="220"/>
      <c r="O286" s="32"/>
      <c r="P286" s="32"/>
      <c r="Q286" s="10"/>
      <c r="R286" s="10"/>
      <c r="S286" s="10"/>
      <c r="T286" s="10"/>
      <c r="U286" s="10"/>
      <c r="V286" s="10"/>
      <c r="W286" s="10"/>
      <c r="X286" s="10"/>
    </row>
    <row r="287">
      <c r="A287" s="245">
        <v>45478.0</v>
      </c>
      <c r="B287" s="246">
        <v>27.0</v>
      </c>
      <c r="C287" s="238" t="s">
        <v>2330</v>
      </c>
      <c r="D287" s="232" t="s">
        <v>2171</v>
      </c>
      <c r="E287" s="233"/>
      <c r="F287" s="26"/>
      <c r="G287" s="233">
        <v>51.0</v>
      </c>
      <c r="H287" s="26" t="s">
        <v>190</v>
      </c>
      <c r="I287" s="233">
        <v>21.0</v>
      </c>
      <c r="J287" s="26" t="s">
        <v>190</v>
      </c>
      <c r="K287" s="233"/>
      <c r="L287" s="26"/>
      <c r="M287" s="224"/>
      <c r="N287" s="220"/>
      <c r="O287" s="147"/>
      <c r="P287" s="147"/>
      <c r="Q287" s="10"/>
      <c r="R287" s="10"/>
      <c r="S287" s="10"/>
      <c r="T287" s="10"/>
      <c r="U287" s="10"/>
      <c r="V287" s="10"/>
      <c r="W287" s="10"/>
      <c r="X287" s="10"/>
    </row>
    <row r="288">
      <c r="A288" s="234">
        <v>45478.0</v>
      </c>
      <c r="B288" s="235">
        <v>27.0</v>
      </c>
      <c r="C288" s="238" t="s">
        <v>2331</v>
      </c>
      <c r="D288" s="232" t="s">
        <v>84</v>
      </c>
      <c r="E288" s="233"/>
      <c r="F288" s="26"/>
      <c r="G288" s="233">
        <v>7.0</v>
      </c>
      <c r="H288" s="26" t="s">
        <v>190</v>
      </c>
      <c r="I288" s="233"/>
      <c r="J288" s="26"/>
      <c r="K288" s="233"/>
      <c r="L288" s="26"/>
      <c r="M288" s="220"/>
      <c r="N288" s="220"/>
      <c r="O288" s="32"/>
      <c r="P288" s="32"/>
      <c r="Q288" s="10"/>
      <c r="R288" s="10"/>
      <c r="S288" s="10"/>
      <c r="T288" s="10"/>
      <c r="U288" s="10"/>
      <c r="V288" s="10"/>
      <c r="W288" s="10"/>
      <c r="X288" s="10"/>
    </row>
    <row r="289">
      <c r="A289" s="245">
        <v>45475.0</v>
      </c>
      <c r="B289" s="246">
        <v>26.0</v>
      </c>
      <c r="C289" s="238" t="s">
        <v>2332</v>
      </c>
      <c r="D289" s="232" t="s">
        <v>2171</v>
      </c>
      <c r="E289" s="233"/>
      <c r="F289" s="26"/>
      <c r="G289" s="233">
        <v>16.0</v>
      </c>
      <c r="H289" s="26" t="s">
        <v>190</v>
      </c>
      <c r="I289" s="233">
        <v>15.0</v>
      </c>
      <c r="J289" s="26" t="s">
        <v>190</v>
      </c>
      <c r="K289" s="233"/>
      <c r="L289" s="26"/>
      <c r="M289" s="224" t="s">
        <v>2333</v>
      </c>
      <c r="N289" s="220"/>
      <c r="O289" s="147"/>
      <c r="P289" s="147"/>
      <c r="Q289" s="10"/>
      <c r="R289" s="10"/>
      <c r="S289" s="10"/>
      <c r="T289" s="10"/>
      <c r="U289" s="10"/>
      <c r="V289" s="10"/>
      <c r="W289" s="10"/>
      <c r="X289" s="10"/>
    </row>
    <row r="290">
      <c r="A290" s="234">
        <v>45475.0</v>
      </c>
      <c r="B290" s="235">
        <v>26.0</v>
      </c>
      <c r="C290" s="238" t="s">
        <v>2334</v>
      </c>
      <c r="D290" s="232" t="s">
        <v>175</v>
      </c>
      <c r="E290" s="233">
        <v>1.0</v>
      </c>
      <c r="F290" s="26" t="s">
        <v>190</v>
      </c>
      <c r="G290" s="233"/>
      <c r="H290" s="26"/>
      <c r="I290" s="233"/>
      <c r="J290" s="26"/>
      <c r="K290" s="233"/>
      <c r="L290" s="26"/>
      <c r="M290" s="224" t="s">
        <v>2335</v>
      </c>
      <c r="N290" s="220"/>
      <c r="O290" s="32"/>
      <c r="P290" s="32"/>
      <c r="Q290" s="10"/>
      <c r="R290" s="10"/>
      <c r="S290" s="10"/>
      <c r="T290" s="10"/>
      <c r="U290" s="10"/>
      <c r="V290" s="10"/>
      <c r="W290" s="10"/>
      <c r="X290" s="10"/>
    </row>
    <row r="291">
      <c r="A291" s="245">
        <v>45474.0</v>
      </c>
      <c r="B291" s="246">
        <v>26.0</v>
      </c>
      <c r="C291" s="238" t="s">
        <v>2336</v>
      </c>
      <c r="D291" s="232" t="s">
        <v>2104</v>
      </c>
      <c r="E291" s="233"/>
      <c r="F291" s="26"/>
      <c r="G291" s="233">
        <v>14.0</v>
      </c>
      <c r="H291" s="26" t="s">
        <v>190</v>
      </c>
      <c r="I291" s="233">
        <v>2.0</v>
      </c>
      <c r="J291" s="26" t="s">
        <v>190</v>
      </c>
      <c r="K291" s="233"/>
      <c r="L291" s="26"/>
      <c r="M291" s="224"/>
      <c r="N291" s="220"/>
      <c r="O291" s="32"/>
      <c r="P291" s="32"/>
      <c r="Q291" s="10"/>
      <c r="R291" s="10"/>
      <c r="S291" s="10"/>
      <c r="T291" s="10"/>
      <c r="U291" s="10"/>
      <c r="V291" s="10"/>
      <c r="W291" s="10"/>
      <c r="X291" s="10"/>
    </row>
    <row r="292">
      <c r="A292" s="234">
        <v>45473.0</v>
      </c>
      <c r="B292" s="235">
        <v>26.0</v>
      </c>
      <c r="C292" s="238" t="s">
        <v>2337</v>
      </c>
      <c r="D292" s="232" t="s">
        <v>44</v>
      </c>
      <c r="E292" s="233">
        <v>6.0</v>
      </c>
      <c r="F292" s="26" t="s">
        <v>190</v>
      </c>
      <c r="G292" s="233"/>
      <c r="H292" s="26"/>
      <c r="I292" s="233"/>
      <c r="J292" s="26"/>
      <c r="K292" s="233"/>
      <c r="L292" s="26"/>
      <c r="M292" s="224"/>
      <c r="N292" s="220"/>
      <c r="O292" s="32"/>
      <c r="P292" s="32"/>
      <c r="Q292" s="10"/>
      <c r="R292" s="10"/>
      <c r="S292" s="10"/>
      <c r="T292" s="10"/>
      <c r="U292" s="10"/>
      <c r="V292" s="10"/>
      <c r="W292" s="10"/>
      <c r="X292" s="10"/>
    </row>
    <row r="293">
      <c r="A293" s="234">
        <v>45471.0</v>
      </c>
      <c r="B293" s="235">
        <v>26.0</v>
      </c>
      <c r="C293" s="235" t="s">
        <v>2338</v>
      </c>
      <c r="D293" s="232" t="s">
        <v>54</v>
      </c>
      <c r="E293" s="233">
        <v>6.0</v>
      </c>
      <c r="F293" s="26" t="s">
        <v>190</v>
      </c>
      <c r="G293" s="233">
        <v>11.0</v>
      </c>
      <c r="H293" s="26" t="s">
        <v>190</v>
      </c>
      <c r="I293" s="233"/>
      <c r="J293" s="26"/>
      <c r="K293" s="233"/>
      <c r="L293" s="26"/>
      <c r="M293" s="224"/>
      <c r="N293" s="220"/>
      <c r="O293" s="32"/>
      <c r="P293" s="32"/>
      <c r="Q293" s="10"/>
      <c r="R293" s="10"/>
      <c r="S293" s="10"/>
      <c r="T293" s="10"/>
      <c r="U293" s="10"/>
      <c r="V293" s="10"/>
      <c r="W293" s="10"/>
      <c r="X293" s="10"/>
    </row>
    <row r="294">
      <c r="A294" s="234">
        <v>45471.0</v>
      </c>
      <c r="B294" s="235">
        <v>25.0</v>
      </c>
      <c r="C294" s="235" t="s">
        <v>2339</v>
      </c>
      <c r="D294" s="232" t="s">
        <v>38</v>
      </c>
      <c r="E294" s="233"/>
      <c r="F294" s="26"/>
      <c r="G294" s="233">
        <v>5.0</v>
      </c>
      <c r="H294" s="26" t="s">
        <v>190</v>
      </c>
      <c r="I294" s="233"/>
      <c r="J294" s="26"/>
      <c r="K294" s="233"/>
      <c r="L294" s="26"/>
      <c r="M294" s="224" t="s">
        <v>2340</v>
      </c>
      <c r="N294" s="220"/>
      <c r="O294" s="147"/>
      <c r="P294" s="147"/>
      <c r="Q294" s="10"/>
      <c r="R294" s="10"/>
      <c r="S294" s="10"/>
      <c r="T294" s="10"/>
      <c r="U294" s="10"/>
      <c r="V294" s="10"/>
      <c r="W294" s="10"/>
      <c r="X294" s="10"/>
    </row>
    <row r="295">
      <c r="A295" s="245">
        <v>45469.0</v>
      </c>
      <c r="B295" s="246">
        <v>25.0</v>
      </c>
      <c r="C295" s="238" t="s">
        <v>2341</v>
      </c>
      <c r="D295" s="232" t="s">
        <v>2171</v>
      </c>
      <c r="E295" s="233"/>
      <c r="F295" s="26"/>
      <c r="G295" s="233">
        <v>13.0</v>
      </c>
      <c r="H295" s="26" t="s">
        <v>190</v>
      </c>
      <c r="I295" s="233">
        <v>14.0</v>
      </c>
      <c r="J295" s="26" t="s">
        <v>190</v>
      </c>
      <c r="K295" s="233"/>
      <c r="L295" s="26"/>
      <c r="M295" s="220"/>
      <c r="N295" s="220"/>
      <c r="O295" s="32"/>
      <c r="P295" s="32"/>
      <c r="Q295" s="10"/>
      <c r="R295" s="10"/>
      <c r="S295" s="10"/>
      <c r="T295" s="10"/>
      <c r="U295" s="10"/>
      <c r="V295" s="10"/>
      <c r="W295" s="10"/>
      <c r="X295" s="10"/>
    </row>
    <row r="296">
      <c r="A296" s="234">
        <v>45468.0</v>
      </c>
      <c r="B296" s="235">
        <v>25.0</v>
      </c>
      <c r="C296" s="238" t="s">
        <v>2342</v>
      </c>
      <c r="D296" s="232" t="s">
        <v>2104</v>
      </c>
      <c r="E296" s="233"/>
      <c r="F296" s="26"/>
      <c r="G296" s="233">
        <v>6.0</v>
      </c>
      <c r="H296" s="26" t="s">
        <v>190</v>
      </c>
      <c r="I296" s="233">
        <v>3.0</v>
      </c>
      <c r="J296" s="26" t="s">
        <v>190</v>
      </c>
      <c r="K296" s="233"/>
      <c r="L296" s="26"/>
      <c r="M296" s="224"/>
      <c r="N296" s="220"/>
      <c r="O296" s="32"/>
      <c r="P296" s="32"/>
      <c r="Q296" s="10"/>
      <c r="R296" s="10"/>
      <c r="S296" s="10"/>
      <c r="T296" s="10"/>
      <c r="U296" s="10"/>
      <c r="V296" s="10"/>
      <c r="W296" s="10"/>
      <c r="X296" s="10"/>
    </row>
    <row r="297">
      <c r="A297" s="234">
        <v>45467.0</v>
      </c>
      <c r="B297" s="235">
        <v>25.0</v>
      </c>
      <c r="C297" s="235" t="s">
        <v>2343</v>
      </c>
      <c r="D297" s="232" t="s">
        <v>84</v>
      </c>
      <c r="E297" s="233"/>
      <c r="F297" s="26"/>
      <c r="G297" s="233">
        <v>9.0</v>
      </c>
      <c r="H297" s="26" t="s">
        <v>190</v>
      </c>
      <c r="I297" s="233"/>
      <c r="J297" s="26"/>
      <c r="K297" s="233"/>
      <c r="L297" s="26"/>
      <c r="M297" s="249"/>
      <c r="N297" s="220"/>
      <c r="O297" s="32"/>
      <c r="P297" s="32"/>
      <c r="Q297" s="10"/>
      <c r="R297" s="10"/>
      <c r="S297" s="10"/>
      <c r="T297" s="10"/>
      <c r="U297" s="10"/>
      <c r="V297" s="10"/>
      <c r="W297" s="10"/>
      <c r="X297" s="10"/>
    </row>
    <row r="298">
      <c r="A298" s="234">
        <v>45465.0</v>
      </c>
      <c r="B298" s="235">
        <v>25.0</v>
      </c>
      <c r="C298" s="238" t="s">
        <v>2344</v>
      </c>
      <c r="D298" s="232" t="s">
        <v>44</v>
      </c>
      <c r="E298" s="233">
        <v>6.0</v>
      </c>
      <c r="F298" s="26" t="s">
        <v>190</v>
      </c>
      <c r="G298" s="233"/>
      <c r="H298" s="26"/>
      <c r="I298" s="233"/>
      <c r="J298" s="26"/>
      <c r="K298" s="233"/>
      <c r="L298" s="26"/>
      <c r="M298" s="224" t="s">
        <v>2345</v>
      </c>
      <c r="N298" s="220"/>
      <c r="O298" s="32"/>
      <c r="P298" s="32"/>
      <c r="Q298" s="10"/>
      <c r="R298" s="10"/>
      <c r="S298" s="10"/>
      <c r="T298" s="10"/>
      <c r="U298" s="10"/>
      <c r="V298" s="10"/>
      <c r="W298" s="10"/>
      <c r="X298" s="10"/>
    </row>
    <row r="299">
      <c r="A299" s="234">
        <v>45464.0</v>
      </c>
      <c r="B299" s="235">
        <v>25.0</v>
      </c>
      <c r="C299" s="238" t="s">
        <v>2346</v>
      </c>
      <c r="D299" s="232" t="s">
        <v>175</v>
      </c>
      <c r="E299" s="233">
        <v>1.0</v>
      </c>
      <c r="F299" s="26" t="s">
        <v>190</v>
      </c>
      <c r="G299" s="233"/>
      <c r="H299" s="26"/>
      <c r="I299" s="233"/>
      <c r="J299" s="26"/>
      <c r="K299" s="233"/>
      <c r="L299" s="26"/>
      <c r="M299" s="250" t="s">
        <v>2347</v>
      </c>
      <c r="N299" s="220"/>
      <c r="O299" s="32"/>
      <c r="P299" s="32"/>
      <c r="Q299" s="10"/>
      <c r="R299" s="10"/>
      <c r="S299" s="10"/>
      <c r="T299" s="10"/>
      <c r="U299" s="10"/>
      <c r="V299" s="10"/>
      <c r="W299" s="10"/>
      <c r="X299" s="10"/>
    </row>
    <row r="300">
      <c r="A300" s="234">
        <v>45460.0</v>
      </c>
      <c r="B300" s="235">
        <v>24.0</v>
      </c>
      <c r="C300" s="238" t="s">
        <v>2348</v>
      </c>
      <c r="D300" s="232" t="s">
        <v>2104</v>
      </c>
      <c r="E300" s="233"/>
      <c r="F300" s="26"/>
      <c r="G300" s="233">
        <v>14.0</v>
      </c>
      <c r="H300" s="26" t="s">
        <v>190</v>
      </c>
      <c r="I300" s="233"/>
      <c r="J300" s="26"/>
      <c r="K300" s="233"/>
      <c r="L300" s="26"/>
      <c r="M300" s="224"/>
      <c r="N300" s="220"/>
      <c r="O300" s="32"/>
      <c r="P300" s="32"/>
      <c r="Q300" s="10"/>
      <c r="R300" s="10"/>
      <c r="S300" s="10"/>
      <c r="T300" s="10"/>
      <c r="U300" s="10"/>
      <c r="V300" s="10"/>
      <c r="W300" s="10"/>
      <c r="X300" s="10"/>
    </row>
    <row r="301">
      <c r="A301" s="234">
        <v>45457.0</v>
      </c>
      <c r="B301" s="235">
        <v>24.0</v>
      </c>
      <c r="C301" s="235" t="s">
        <v>2349</v>
      </c>
      <c r="D301" s="232" t="s">
        <v>44</v>
      </c>
      <c r="E301" s="233">
        <v>7.0</v>
      </c>
      <c r="F301" s="26" t="s">
        <v>190</v>
      </c>
      <c r="G301" s="233"/>
      <c r="H301" s="26"/>
      <c r="I301" s="233"/>
      <c r="J301" s="26"/>
      <c r="K301" s="233"/>
      <c r="L301" s="26"/>
      <c r="M301" s="220"/>
      <c r="N301" s="220"/>
      <c r="O301" s="32"/>
      <c r="P301" s="32"/>
      <c r="Q301" s="10"/>
      <c r="R301" s="10"/>
      <c r="S301" s="10"/>
      <c r="T301" s="10"/>
      <c r="U301" s="10"/>
      <c r="V301" s="10"/>
      <c r="W301" s="10"/>
      <c r="X301" s="10"/>
    </row>
    <row r="302">
      <c r="A302" s="234">
        <v>45457.0</v>
      </c>
      <c r="B302" s="235">
        <v>24.0</v>
      </c>
      <c r="C302" s="235" t="s">
        <v>2350</v>
      </c>
      <c r="D302" s="232" t="s">
        <v>84</v>
      </c>
      <c r="E302" s="233"/>
      <c r="F302" s="26"/>
      <c r="G302" s="233">
        <v>7.0</v>
      </c>
      <c r="H302" s="26" t="s">
        <v>190</v>
      </c>
      <c r="I302" s="233"/>
      <c r="J302" s="26"/>
      <c r="K302" s="233"/>
      <c r="L302" s="26"/>
      <c r="M302" s="220"/>
      <c r="N302" s="220"/>
      <c r="O302" s="32"/>
      <c r="P302" s="32"/>
      <c r="Q302" s="10"/>
      <c r="R302" s="10"/>
      <c r="S302" s="10"/>
      <c r="T302" s="10"/>
      <c r="U302" s="10"/>
      <c r="V302" s="10"/>
      <c r="W302" s="10"/>
      <c r="X302" s="10"/>
    </row>
    <row r="303">
      <c r="A303" s="234">
        <v>45457.0</v>
      </c>
      <c r="B303" s="235">
        <v>24.0</v>
      </c>
      <c r="C303" s="235" t="s">
        <v>2351</v>
      </c>
      <c r="D303" s="232" t="s">
        <v>1226</v>
      </c>
      <c r="E303" s="233">
        <v>11.0</v>
      </c>
      <c r="F303" s="26" t="s">
        <v>110</v>
      </c>
      <c r="G303" s="233"/>
      <c r="H303" s="26"/>
      <c r="I303" s="233"/>
      <c r="J303" s="26"/>
      <c r="K303" s="233"/>
      <c r="L303" s="26"/>
      <c r="M303" s="224" t="s">
        <v>2352</v>
      </c>
      <c r="N303" s="224" t="s">
        <v>2353</v>
      </c>
      <c r="O303" s="147"/>
      <c r="P303" s="147"/>
      <c r="Q303" s="10"/>
      <c r="R303" s="10"/>
      <c r="S303" s="10"/>
      <c r="T303" s="10"/>
      <c r="U303" s="10"/>
      <c r="V303" s="10"/>
      <c r="W303" s="10"/>
      <c r="X303" s="10"/>
    </row>
    <row r="304">
      <c r="A304" s="234">
        <v>45457.0</v>
      </c>
      <c r="B304" s="235">
        <v>24.0</v>
      </c>
      <c r="C304" s="235" t="s">
        <v>2354</v>
      </c>
      <c r="D304" s="232" t="s">
        <v>38</v>
      </c>
      <c r="E304" s="233"/>
      <c r="F304" s="26"/>
      <c r="G304" s="233">
        <v>9.0</v>
      </c>
      <c r="H304" s="26" t="s">
        <v>190</v>
      </c>
      <c r="I304" s="233"/>
      <c r="J304" s="26"/>
      <c r="K304" s="233"/>
      <c r="L304" s="26"/>
      <c r="M304" s="224" t="s">
        <v>2355</v>
      </c>
      <c r="N304" s="220"/>
      <c r="O304" s="32"/>
      <c r="P304" s="32"/>
      <c r="Q304" s="10"/>
      <c r="R304" s="10"/>
      <c r="S304" s="10"/>
      <c r="T304" s="10"/>
      <c r="U304" s="10"/>
      <c r="V304" s="10"/>
      <c r="W304" s="10"/>
      <c r="X304" s="10"/>
    </row>
    <row r="305">
      <c r="A305" s="234">
        <v>45457.0</v>
      </c>
      <c r="B305" s="235">
        <v>24.0</v>
      </c>
      <c r="C305" s="235" t="s">
        <v>2356</v>
      </c>
      <c r="D305" s="232" t="s">
        <v>175</v>
      </c>
      <c r="E305" s="233">
        <v>1.0</v>
      </c>
      <c r="F305" s="26" t="s">
        <v>190</v>
      </c>
      <c r="G305" s="233"/>
      <c r="H305" s="26"/>
      <c r="I305" s="233"/>
      <c r="J305" s="26"/>
      <c r="K305" s="233"/>
      <c r="L305" s="26"/>
      <c r="M305" s="224" t="s">
        <v>2357</v>
      </c>
      <c r="N305" s="220"/>
      <c r="O305" s="147"/>
      <c r="P305" s="147"/>
      <c r="Q305" s="10"/>
      <c r="R305" s="10"/>
      <c r="S305" s="10"/>
      <c r="T305" s="10"/>
      <c r="U305" s="10"/>
      <c r="V305" s="10"/>
      <c r="W305" s="10"/>
      <c r="X305" s="10"/>
    </row>
    <row r="306">
      <c r="A306" s="234">
        <v>45457.0</v>
      </c>
      <c r="B306" s="235">
        <v>24.0</v>
      </c>
      <c r="C306" s="235" t="s">
        <v>2358</v>
      </c>
      <c r="D306" s="232" t="s">
        <v>2359</v>
      </c>
      <c r="E306" s="233">
        <v>6.0</v>
      </c>
      <c r="F306" s="26" t="s">
        <v>190</v>
      </c>
      <c r="G306" s="233">
        <v>10.0</v>
      </c>
      <c r="H306" s="26" t="s">
        <v>190</v>
      </c>
      <c r="I306" s="233"/>
      <c r="J306" s="26"/>
      <c r="K306" s="233"/>
      <c r="L306" s="26"/>
      <c r="M306" s="220"/>
      <c r="N306" s="220"/>
      <c r="O306" s="147"/>
      <c r="P306" s="147"/>
      <c r="Q306" s="10"/>
      <c r="R306" s="10"/>
      <c r="S306" s="10"/>
      <c r="T306" s="10"/>
      <c r="U306" s="10"/>
      <c r="V306" s="10"/>
      <c r="W306" s="10"/>
      <c r="X306" s="10"/>
    </row>
    <row r="307">
      <c r="A307" s="234">
        <v>45453.0</v>
      </c>
      <c r="B307" s="235">
        <v>23.0</v>
      </c>
      <c r="C307" s="238" t="s">
        <v>2360</v>
      </c>
      <c r="D307" s="232" t="s">
        <v>44</v>
      </c>
      <c r="E307" s="233">
        <v>5.0</v>
      </c>
      <c r="F307" s="26" t="s">
        <v>190</v>
      </c>
      <c r="G307" s="233"/>
      <c r="H307" s="26"/>
      <c r="I307" s="233"/>
      <c r="J307" s="26"/>
      <c r="K307" s="233"/>
      <c r="L307" s="26"/>
      <c r="M307" s="249"/>
      <c r="N307" s="220"/>
      <c r="O307" s="147"/>
      <c r="P307" s="147"/>
      <c r="Q307" s="10"/>
      <c r="R307" s="10"/>
      <c r="S307" s="10"/>
      <c r="T307" s="10"/>
      <c r="U307" s="10"/>
      <c r="V307" s="10"/>
      <c r="W307" s="10"/>
      <c r="X307" s="10"/>
    </row>
    <row r="308">
      <c r="A308" s="234">
        <v>45453.0</v>
      </c>
      <c r="B308" s="235">
        <v>23.0</v>
      </c>
      <c r="C308" s="238" t="s">
        <v>2361</v>
      </c>
      <c r="D308" s="232" t="s">
        <v>84</v>
      </c>
      <c r="E308" s="233"/>
      <c r="F308" s="26"/>
      <c r="G308" s="233">
        <v>12.0</v>
      </c>
      <c r="H308" s="26" t="s">
        <v>190</v>
      </c>
      <c r="I308" s="233"/>
      <c r="J308" s="26"/>
      <c r="K308" s="233"/>
      <c r="L308" s="26"/>
      <c r="M308" s="220"/>
      <c r="N308" s="220"/>
      <c r="O308" s="147"/>
      <c r="P308" s="147"/>
      <c r="Q308" s="10"/>
      <c r="R308" s="10"/>
      <c r="S308" s="10"/>
      <c r="T308" s="10"/>
      <c r="U308" s="10"/>
      <c r="V308" s="10"/>
      <c r="W308" s="10"/>
      <c r="X308" s="10"/>
    </row>
    <row r="309">
      <c r="A309" s="234">
        <v>45450.0</v>
      </c>
      <c r="B309" s="235">
        <v>23.0</v>
      </c>
      <c r="C309" s="238" t="s">
        <v>2362</v>
      </c>
      <c r="D309" s="232" t="s">
        <v>1226</v>
      </c>
      <c r="E309" s="233">
        <v>10.0</v>
      </c>
      <c r="F309" s="26" t="s">
        <v>190</v>
      </c>
      <c r="G309" s="233"/>
      <c r="H309" s="26"/>
      <c r="I309" s="233"/>
      <c r="J309" s="26"/>
      <c r="K309" s="233"/>
      <c r="L309" s="26"/>
      <c r="M309" s="224" t="s">
        <v>2363</v>
      </c>
      <c r="N309" s="220"/>
      <c r="O309" s="147"/>
      <c r="P309" s="147"/>
      <c r="Q309" s="10"/>
      <c r="R309" s="10"/>
      <c r="S309" s="10"/>
      <c r="T309" s="10"/>
      <c r="U309" s="10"/>
      <c r="V309" s="10"/>
      <c r="W309" s="10"/>
      <c r="X309" s="10"/>
    </row>
    <row r="310">
      <c r="A310" s="234">
        <v>45450.0</v>
      </c>
      <c r="B310" s="235">
        <v>23.0</v>
      </c>
      <c r="C310" s="238" t="s">
        <v>2364</v>
      </c>
      <c r="D310" s="232" t="s">
        <v>38</v>
      </c>
      <c r="E310" s="233"/>
      <c r="F310" s="26"/>
      <c r="G310" s="233">
        <v>7.0</v>
      </c>
      <c r="H310" s="26" t="s">
        <v>190</v>
      </c>
      <c r="I310" s="233"/>
      <c r="J310" s="26"/>
      <c r="K310" s="233"/>
      <c r="L310" s="26"/>
      <c r="M310" s="227"/>
      <c r="N310" s="220"/>
      <c r="O310" s="147"/>
      <c r="P310" s="147"/>
      <c r="Q310" s="10"/>
      <c r="R310" s="10"/>
      <c r="S310" s="10"/>
      <c r="T310" s="10"/>
      <c r="U310" s="10"/>
      <c r="V310" s="10"/>
      <c r="W310" s="10"/>
      <c r="X310" s="10"/>
    </row>
    <row r="311">
      <c r="A311" s="234">
        <v>45450.0</v>
      </c>
      <c r="B311" s="235">
        <v>23.0</v>
      </c>
      <c r="C311" s="238" t="s">
        <v>2365</v>
      </c>
      <c r="D311" s="232" t="s">
        <v>2104</v>
      </c>
      <c r="E311" s="233"/>
      <c r="F311" s="26"/>
      <c r="G311" s="233">
        <v>3.0</v>
      </c>
      <c r="H311" s="26" t="s">
        <v>190</v>
      </c>
      <c r="I311" s="233">
        <v>2.0</v>
      </c>
      <c r="J311" s="26" t="s">
        <v>190</v>
      </c>
      <c r="K311" s="233"/>
      <c r="L311" s="26"/>
      <c r="M311" s="224"/>
      <c r="N311" s="220"/>
      <c r="O311" s="32"/>
      <c r="P311" s="32"/>
      <c r="Q311" s="10"/>
      <c r="R311" s="10"/>
      <c r="S311" s="10"/>
      <c r="T311" s="10"/>
      <c r="U311" s="10"/>
      <c r="V311" s="10"/>
      <c r="W311" s="10"/>
      <c r="X311" s="10"/>
    </row>
    <row r="312">
      <c r="A312" s="234">
        <v>45449.0</v>
      </c>
      <c r="B312" s="235">
        <v>23.0</v>
      </c>
      <c r="C312" s="238" t="s">
        <v>2366</v>
      </c>
      <c r="D312" s="232" t="s">
        <v>54</v>
      </c>
      <c r="E312" s="233">
        <v>16.0</v>
      </c>
      <c r="F312" s="26" t="s">
        <v>190</v>
      </c>
      <c r="G312" s="233">
        <v>11.0</v>
      </c>
      <c r="H312" s="26" t="s">
        <v>190</v>
      </c>
      <c r="I312" s="233"/>
      <c r="J312" s="26"/>
      <c r="K312" s="233"/>
      <c r="L312" s="26"/>
      <c r="M312" s="230" t="s">
        <v>2367</v>
      </c>
      <c r="N312" s="220"/>
      <c r="O312" s="147"/>
      <c r="P312" s="147"/>
      <c r="Q312" s="10"/>
      <c r="R312" s="10"/>
      <c r="S312" s="10"/>
      <c r="T312" s="10"/>
      <c r="U312" s="10"/>
      <c r="V312" s="10"/>
      <c r="W312" s="10"/>
      <c r="X312" s="10"/>
    </row>
    <row r="313">
      <c r="A313" s="234">
        <v>45444.0</v>
      </c>
      <c r="B313" s="235">
        <v>22.0</v>
      </c>
      <c r="C313" s="238" t="s">
        <v>2368</v>
      </c>
      <c r="D313" s="232" t="s">
        <v>54</v>
      </c>
      <c r="E313" s="233">
        <v>7.0</v>
      </c>
      <c r="F313" s="26" t="s">
        <v>190</v>
      </c>
      <c r="G313" s="233"/>
      <c r="H313" s="26"/>
      <c r="I313" s="233"/>
      <c r="J313" s="26"/>
      <c r="K313" s="233"/>
      <c r="L313" s="26"/>
      <c r="M313" s="224"/>
      <c r="N313" s="220"/>
      <c r="O313" s="32"/>
      <c r="P313" s="32"/>
      <c r="Q313" s="10"/>
      <c r="R313" s="10"/>
      <c r="S313" s="10"/>
      <c r="T313" s="10"/>
      <c r="U313" s="10"/>
      <c r="V313" s="10"/>
      <c r="W313" s="10"/>
      <c r="X313" s="10"/>
    </row>
    <row r="314">
      <c r="A314" s="234">
        <v>45443.0</v>
      </c>
      <c r="B314" s="235">
        <v>22.0</v>
      </c>
      <c r="C314" s="238" t="s">
        <v>2369</v>
      </c>
      <c r="D314" s="232" t="s">
        <v>84</v>
      </c>
      <c r="E314" s="233"/>
      <c r="F314" s="26"/>
      <c r="G314" s="233">
        <v>4.0</v>
      </c>
      <c r="H314" s="26" t="s">
        <v>190</v>
      </c>
      <c r="I314" s="233"/>
      <c r="J314" s="26"/>
      <c r="K314" s="233"/>
      <c r="L314" s="26"/>
      <c r="M314" s="224"/>
      <c r="N314" s="220"/>
      <c r="O314" s="147"/>
      <c r="P314" s="147"/>
      <c r="Q314" s="10"/>
      <c r="R314" s="10"/>
      <c r="S314" s="10"/>
      <c r="T314" s="10"/>
      <c r="U314" s="10"/>
      <c r="V314" s="10"/>
      <c r="W314" s="10"/>
      <c r="X314" s="10"/>
    </row>
    <row r="315">
      <c r="A315" s="234">
        <v>45443.0</v>
      </c>
      <c r="B315" s="235">
        <v>22.0</v>
      </c>
      <c r="C315" s="238" t="s">
        <v>2370</v>
      </c>
      <c r="D315" s="232" t="s">
        <v>1226</v>
      </c>
      <c r="E315" s="233">
        <v>12.0</v>
      </c>
      <c r="F315" s="26" t="s">
        <v>190</v>
      </c>
      <c r="G315" s="233"/>
      <c r="H315" s="26"/>
      <c r="I315" s="233"/>
      <c r="J315" s="26"/>
      <c r="K315" s="233"/>
      <c r="L315" s="26"/>
      <c r="M315" s="224" t="s">
        <v>2371</v>
      </c>
      <c r="N315" s="220"/>
      <c r="O315" s="147"/>
      <c r="P315" s="147"/>
      <c r="Q315" s="10"/>
      <c r="R315" s="10"/>
      <c r="S315" s="10"/>
      <c r="T315" s="10"/>
      <c r="U315" s="10"/>
      <c r="V315" s="10"/>
      <c r="W315" s="10"/>
      <c r="X315" s="10"/>
    </row>
    <row r="316">
      <c r="A316" s="234">
        <v>45443.0</v>
      </c>
      <c r="B316" s="235">
        <v>22.0</v>
      </c>
      <c r="C316" s="238" t="s">
        <v>2372</v>
      </c>
      <c r="D316" s="232" t="s">
        <v>38</v>
      </c>
      <c r="E316" s="233"/>
      <c r="F316" s="26"/>
      <c r="G316" s="233">
        <v>8.0</v>
      </c>
      <c r="H316" s="26" t="s">
        <v>190</v>
      </c>
      <c r="I316" s="233"/>
      <c r="J316" s="26"/>
      <c r="K316" s="233"/>
      <c r="L316" s="26"/>
      <c r="M316" s="248"/>
      <c r="N316" s="220"/>
      <c r="O316" s="147"/>
      <c r="P316" s="147"/>
      <c r="Q316" s="10"/>
      <c r="R316" s="10"/>
      <c r="S316" s="10"/>
      <c r="T316" s="10"/>
      <c r="U316" s="10"/>
      <c r="V316" s="10"/>
      <c r="W316" s="10"/>
      <c r="X316" s="10"/>
    </row>
    <row r="317">
      <c r="A317" s="234">
        <v>45443.0</v>
      </c>
      <c r="B317" s="235">
        <v>22.0</v>
      </c>
      <c r="C317" s="238" t="s">
        <v>2373</v>
      </c>
      <c r="D317" s="232" t="s">
        <v>2104</v>
      </c>
      <c r="E317" s="233"/>
      <c r="F317" s="26"/>
      <c r="G317" s="233">
        <v>8.0</v>
      </c>
      <c r="H317" s="26" t="s">
        <v>190</v>
      </c>
      <c r="I317" s="233">
        <v>5.0</v>
      </c>
      <c r="J317" s="26" t="s">
        <v>190</v>
      </c>
      <c r="K317" s="233"/>
      <c r="L317" s="26"/>
      <c r="M317" s="224"/>
      <c r="N317" s="220"/>
      <c r="O317" s="147"/>
      <c r="P317" s="147"/>
      <c r="Q317" s="10"/>
      <c r="R317" s="10"/>
      <c r="S317" s="10"/>
      <c r="T317" s="10"/>
      <c r="U317" s="10"/>
      <c r="V317" s="10"/>
      <c r="W317" s="10"/>
      <c r="X317" s="10"/>
    </row>
    <row r="318">
      <c r="A318" s="234">
        <v>45442.0</v>
      </c>
      <c r="B318" s="235">
        <v>22.0</v>
      </c>
      <c r="C318" s="238" t="s">
        <v>2374</v>
      </c>
      <c r="D318" s="232" t="s">
        <v>44</v>
      </c>
      <c r="E318" s="233">
        <v>5.0</v>
      </c>
      <c r="F318" s="26" t="s">
        <v>190</v>
      </c>
      <c r="G318" s="233"/>
      <c r="H318" s="26"/>
      <c r="I318" s="233"/>
      <c r="J318" s="26"/>
      <c r="K318" s="233"/>
      <c r="L318" s="26"/>
      <c r="M318" s="224" t="s">
        <v>2375</v>
      </c>
      <c r="N318" s="220"/>
      <c r="O318" s="147"/>
      <c r="P318" s="147"/>
      <c r="Q318" s="10"/>
      <c r="R318" s="10"/>
      <c r="S318" s="10"/>
      <c r="T318" s="10"/>
      <c r="U318" s="10"/>
      <c r="V318" s="10"/>
      <c r="W318" s="10"/>
      <c r="X318" s="10"/>
    </row>
    <row r="319">
      <c r="A319" s="245">
        <v>45439.0</v>
      </c>
      <c r="B319" s="246">
        <v>22.0</v>
      </c>
      <c r="C319" s="238" t="s">
        <v>2376</v>
      </c>
      <c r="D319" s="232" t="s">
        <v>175</v>
      </c>
      <c r="E319" s="233">
        <v>1.0</v>
      </c>
      <c r="F319" s="26" t="s">
        <v>190</v>
      </c>
      <c r="G319" s="233"/>
      <c r="H319" s="26"/>
      <c r="I319" s="233"/>
      <c r="J319" s="26"/>
      <c r="K319" s="233"/>
      <c r="L319" s="26"/>
      <c r="M319" s="224" t="s">
        <v>2377</v>
      </c>
      <c r="N319" s="224" t="s">
        <v>2378</v>
      </c>
      <c r="O319" s="147"/>
      <c r="P319" s="147"/>
      <c r="Q319" s="10"/>
      <c r="R319" s="10"/>
      <c r="S319" s="10"/>
      <c r="T319" s="10"/>
      <c r="U319" s="10"/>
      <c r="V319" s="10"/>
      <c r="W319" s="10"/>
      <c r="X319" s="10"/>
    </row>
    <row r="320">
      <c r="A320" s="234">
        <v>45436.0</v>
      </c>
      <c r="B320" s="235">
        <v>21.0</v>
      </c>
      <c r="C320" s="238" t="s">
        <v>2379</v>
      </c>
      <c r="D320" s="232" t="s">
        <v>44</v>
      </c>
      <c r="E320" s="233">
        <v>8.0</v>
      </c>
      <c r="F320" s="26" t="s">
        <v>190</v>
      </c>
      <c r="G320" s="233"/>
      <c r="H320" s="26"/>
      <c r="I320" s="233"/>
      <c r="J320" s="26"/>
      <c r="K320" s="233"/>
      <c r="L320" s="26"/>
      <c r="M320" s="220"/>
      <c r="N320" s="220"/>
      <c r="O320" s="147"/>
      <c r="P320" s="147"/>
      <c r="Q320" s="10"/>
      <c r="R320" s="10"/>
      <c r="S320" s="10"/>
      <c r="T320" s="10"/>
      <c r="U320" s="10"/>
      <c r="V320" s="10"/>
      <c r="W320" s="10"/>
      <c r="X320" s="10"/>
    </row>
    <row r="321">
      <c r="A321" s="234">
        <v>45436.0</v>
      </c>
      <c r="B321" s="235">
        <v>21.0</v>
      </c>
      <c r="C321" s="238" t="s">
        <v>2380</v>
      </c>
      <c r="D321" s="232" t="s">
        <v>84</v>
      </c>
      <c r="E321" s="233"/>
      <c r="F321" s="26"/>
      <c r="G321" s="233">
        <v>7.0</v>
      </c>
      <c r="H321" s="26" t="s">
        <v>190</v>
      </c>
      <c r="I321" s="233"/>
      <c r="J321" s="26"/>
      <c r="K321" s="233"/>
      <c r="L321" s="26"/>
      <c r="M321" s="224"/>
      <c r="N321" s="220"/>
      <c r="O321" s="147"/>
      <c r="P321" s="147"/>
      <c r="Q321" s="10"/>
      <c r="R321" s="10"/>
      <c r="S321" s="10"/>
      <c r="T321" s="10"/>
      <c r="U321" s="10"/>
      <c r="V321" s="10"/>
      <c r="W321" s="10"/>
      <c r="X321" s="10"/>
    </row>
    <row r="322">
      <c r="A322" s="234">
        <v>45436.0</v>
      </c>
      <c r="B322" s="235">
        <v>21.0</v>
      </c>
      <c r="C322" s="238" t="s">
        <v>2381</v>
      </c>
      <c r="D322" s="232" t="s">
        <v>1226</v>
      </c>
      <c r="E322" s="233">
        <v>4.0</v>
      </c>
      <c r="F322" s="26" t="s">
        <v>190</v>
      </c>
      <c r="G322" s="233"/>
      <c r="H322" s="26"/>
      <c r="I322" s="233"/>
      <c r="J322" s="26"/>
      <c r="K322" s="233"/>
      <c r="L322" s="26"/>
      <c r="M322" s="224" t="s">
        <v>2382</v>
      </c>
      <c r="N322" s="220"/>
      <c r="O322" s="147"/>
      <c r="P322" s="147"/>
      <c r="Q322" s="10"/>
      <c r="R322" s="10"/>
      <c r="S322" s="10"/>
      <c r="T322" s="10"/>
      <c r="U322" s="10"/>
      <c r="V322" s="10"/>
      <c r="W322" s="10"/>
      <c r="X322" s="10"/>
    </row>
    <row r="323">
      <c r="A323" s="234">
        <v>45436.0</v>
      </c>
      <c r="B323" s="235">
        <v>21.0</v>
      </c>
      <c r="C323" s="238" t="s">
        <v>2383</v>
      </c>
      <c r="D323" s="232" t="s">
        <v>2104</v>
      </c>
      <c r="E323" s="233"/>
      <c r="F323" s="26"/>
      <c r="G323" s="233">
        <v>7.0</v>
      </c>
      <c r="H323" s="26" t="s">
        <v>190</v>
      </c>
      <c r="I323" s="233">
        <v>5.0</v>
      </c>
      <c r="J323" s="26" t="s">
        <v>190</v>
      </c>
      <c r="K323" s="233"/>
      <c r="L323" s="26"/>
      <c r="M323" s="224"/>
      <c r="N323" s="220"/>
      <c r="O323" s="147"/>
      <c r="P323" s="147"/>
      <c r="Q323" s="10"/>
      <c r="R323" s="10"/>
      <c r="S323" s="10"/>
      <c r="T323" s="10"/>
      <c r="U323" s="10"/>
      <c r="V323" s="10"/>
      <c r="W323" s="10"/>
      <c r="X323" s="10"/>
    </row>
    <row r="324">
      <c r="A324" s="234">
        <v>45436.0</v>
      </c>
      <c r="B324" s="235">
        <v>21.0</v>
      </c>
      <c r="C324" s="238" t="s">
        <v>2384</v>
      </c>
      <c r="D324" s="232" t="s">
        <v>54</v>
      </c>
      <c r="E324" s="233">
        <v>6.0</v>
      </c>
      <c r="F324" s="26" t="s">
        <v>190</v>
      </c>
      <c r="G324" s="233">
        <v>3.0</v>
      </c>
      <c r="H324" s="26" t="s">
        <v>190</v>
      </c>
      <c r="I324" s="233"/>
      <c r="J324" s="26"/>
      <c r="K324" s="233"/>
      <c r="L324" s="26"/>
      <c r="M324" s="220"/>
      <c r="N324" s="220"/>
      <c r="O324" s="147"/>
      <c r="P324" s="147"/>
      <c r="Q324" s="10"/>
      <c r="R324" s="10"/>
      <c r="S324" s="10"/>
      <c r="T324" s="10"/>
      <c r="U324" s="10"/>
      <c r="V324" s="10"/>
      <c r="W324" s="10"/>
      <c r="X324" s="10"/>
    </row>
    <row r="325">
      <c r="A325" s="234">
        <v>45436.0</v>
      </c>
      <c r="B325" s="235">
        <v>20.0</v>
      </c>
      <c r="C325" s="238" t="s">
        <v>2385</v>
      </c>
      <c r="D325" s="232" t="s">
        <v>2104</v>
      </c>
      <c r="E325" s="233"/>
      <c r="F325" s="26"/>
      <c r="G325" s="233">
        <v>5.0</v>
      </c>
      <c r="H325" s="26" t="s">
        <v>190</v>
      </c>
      <c r="I325" s="233"/>
      <c r="J325" s="26"/>
      <c r="K325" s="233"/>
      <c r="L325" s="26"/>
      <c r="M325" s="224"/>
      <c r="N325" s="220"/>
      <c r="O325" s="147"/>
      <c r="P325" s="147"/>
      <c r="Q325" s="10"/>
      <c r="R325" s="10"/>
      <c r="S325" s="10"/>
      <c r="T325" s="10"/>
      <c r="U325" s="10"/>
      <c r="V325" s="10"/>
      <c r="W325" s="10"/>
      <c r="X325" s="10"/>
    </row>
    <row r="326">
      <c r="A326" s="234">
        <v>45436.0</v>
      </c>
      <c r="B326" s="235">
        <v>20.0</v>
      </c>
      <c r="C326" s="238" t="s">
        <v>2386</v>
      </c>
      <c r="D326" s="232" t="s">
        <v>38</v>
      </c>
      <c r="E326" s="233"/>
      <c r="F326" s="26"/>
      <c r="G326" s="233">
        <v>4.0</v>
      </c>
      <c r="H326" s="26" t="s">
        <v>190</v>
      </c>
      <c r="I326" s="233"/>
      <c r="J326" s="26"/>
      <c r="K326" s="233"/>
      <c r="L326" s="26"/>
      <c r="M326" s="224" t="s">
        <v>2387</v>
      </c>
      <c r="N326" s="220"/>
      <c r="O326" s="147"/>
      <c r="P326" s="147"/>
      <c r="Q326" s="10"/>
      <c r="R326" s="10"/>
      <c r="S326" s="10"/>
      <c r="T326" s="10"/>
      <c r="U326" s="10"/>
      <c r="V326" s="10"/>
      <c r="W326" s="10"/>
      <c r="X326" s="10"/>
    </row>
    <row r="327">
      <c r="A327" s="234">
        <v>45433.0</v>
      </c>
      <c r="B327" s="235">
        <v>21.0</v>
      </c>
      <c r="C327" s="235" t="s">
        <v>2388</v>
      </c>
      <c r="D327" s="232" t="s">
        <v>38</v>
      </c>
      <c r="E327" s="233"/>
      <c r="F327" s="26"/>
      <c r="G327" s="233">
        <v>6.0</v>
      </c>
      <c r="H327" s="26" t="s">
        <v>190</v>
      </c>
      <c r="I327" s="233"/>
      <c r="J327" s="26"/>
      <c r="K327" s="233"/>
      <c r="L327" s="26"/>
      <c r="M327" s="224" t="s">
        <v>2389</v>
      </c>
      <c r="N327" s="220"/>
      <c r="O327" s="147"/>
      <c r="P327" s="147"/>
      <c r="Q327" s="10"/>
      <c r="R327" s="10"/>
      <c r="S327" s="10"/>
      <c r="T327" s="10"/>
      <c r="U327" s="10"/>
      <c r="V327" s="10"/>
      <c r="W327" s="10"/>
      <c r="X327" s="10"/>
    </row>
    <row r="328">
      <c r="A328" s="234">
        <v>45429.0</v>
      </c>
      <c r="B328" s="235">
        <v>20.0</v>
      </c>
      <c r="C328" s="235" t="s">
        <v>2390</v>
      </c>
      <c r="D328" s="232" t="s">
        <v>44</v>
      </c>
      <c r="E328" s="233">
        <v>9.0</v>
      </c>
      <c r="F328" s="26" t="s">
        <v>190</v>
      </c>
      <c r="G328" s="233"/>
      <c r="H328" s="26"/>
      <c r="I328" s="233"/>
      <c r="J328" s="26"/>
      <c r="K328" s="233"/>
      <c r="L328" s="26"/>
      <c r="M328" s="220"/>
      <c r="N328" s="220"/>
      <c r="O328" s="147"/>
      <c r="P328" s="147"/>
      <c r="Q328" s="10"/>
      <c r="R328" s="10"/>
      <c r="S328" s="10"/>
      <c r="T328" s="10"/>
      <c r="U328" s="10"/>
      <c r="V328" s="10"/>
      <c r="W328" s="10"/>
      <c r="X328" s="10"/>
    </row>
    <row r="329">
      <c r="A329" s="234">
        <v>45429.0</v>
      </c>
      <c r="B329" s="235">
        <v>20.0</v>
      </c>
      <c r="C329" s="235" t="s">
        <v>2391</v>
      </c>
      <c r="D329" s="232" t="s">
        <v>84</v>
      </c>
      <c r="E329" s="233"/>
      <c r="F329" s="26"/>
      <c r="G329" s="233">
        <v>10.0</v>
      </c>
      <c r="H329" s="26" t="s">
        <v>190</v>
      </c>
      <c r="I329" s="233"/>
      <c r="J329" s="26"/>
      <c r="K329" s="233"/>
      <c r="L329" s="26"/>
      <c r="M329" s="220"/>
      <c r="N329" s="220"/>
      <c r="O329" s="147"/>
      <c r="P329" s="147"/>
      <c r="Q329" s="10"/>
      <c r="R329" s="10"/>
      <c r="S329" s="10"/>
      <c r="T329" s="10"/>
      <c r="U329" s="10"/>
      <c r="V329" s="10"/>
      <c r="W329" s="10"/>
      <c r="X329" s="10"/>
    </row>
    <row r="330">
      <c r="A330" s="234">
        <v>45429.0</v>
      </c>
      <c r="B330" s="235">
        <v>20.0</v>
      </c>
      <c r="C330" s="235" t="s">
        <v>2385</v>
      </c>
      <c r="D330" s="232" t="s">
        <v>2104</v>
      </c>
      <c r="E330" s="233"/>
      <c r="F330" s="26"/>
      <c r="G330" s="233"/>
      <c r="H330" s="26"/>
      <c r="I330" s="233">
        <v>6.0</v>
      </c>
      <c r="J330" s="26" t="s">
        <v>190</v>
      </c>
      <c r="K330" s="233"/>
      <c r="L330" s="26"/>
      <c r="M330" s="224"/>
      <c r="N330" s="220"/>
      <c r="O330" s="147"/>
      <c r="P330" s="147"/>
      <c r="Q330" s="10"/>
      <c r="R330" s="10"/>
      <c r="S330" s="10"/>
      <c r="T330" s="10"/>
      <c r="U330" s="10"/>
      <c r="V330" s="10"/>
      <c r="W330" s="10"/>
      <c r="X330" s="10"/>
    </row>
    <row r="331">
      <c r="A331" s="234">
        <v>45428.0</v>
      </c>
      <c r="B331" s="235">
        <v>20.0</v>
      </c>
      <c r="C331" s="235" t="s">
        <v>2392</v>
      </c>
      <c r="D331" s="232" t="s">
        <v>1226</v>
      </c>
      <c r="E331" s="233">
        <v>11.0</v>
      </c>
      <c r="F331" s="26" t="s">
        <v>190</v>
      </c>
      <c r="G331" s="233"/>
      <c r="H331" s="26"/>
      <c r="I331" s="233"/>
      <c r="J331" s="26"/>
      <c r="K331" s="233"/>
      <c r="L331" s="26"/>
      <c r="M331" s="224" t="s">
        <v>2393</v>
      </c>
      <c r="N331" s="220"/>
      <c r="O331" s="147"/>
      <c r="P331" s="147"/>
      <c r="Q331" s="10"/>
      <c r="R331" s="10"/>
      <c r="S331" s="10"/>
      <c r="T331" s="10"/>
      <c r="U331" s="10"/>
      <c r="V331" s="10"/>
      <c r="W331" s="10"/>
      <c r="X331" s="10"/>
    </row>
    <row r="332">
      <c r="A332" s="234">
        <v>45428.0</v>
      </c>
      <c r="B332" s="235">
        <v>18.0</v>
      </c>
      <c r="C332" s="238" t="s">
        <v>2394</v>
      </c>
      <c r="D332" s="232" t="s">
        <v>54</v>
      </c>
      <c r="E332" s="233">
        <v>8.0</v>
      </c>
      <c r="F332" s="26" t="s">
        <v>190</v>
      </c>
      <c r="G332" s="233"/>
      <c r="H332" s="26"/>
      <c r="I332" s="233"/>
      <c r="J332" s="26"/>
      <c r="K332" s="233"/>
      <c r="L332" s="26"/>
      <c r="M332" s="220"/>
      <c r="N332" s="220"/>
      <c r="O332" s="147"/>
      <c r="P332" s="147"/>
      <c r="Q332" s="10"/>
      <c r="R332" s="10"/>
      <c r="S332" s="10"/>
      <c r="T332" s="10"/>
      <c r="U332" s="10"/>
      <c r="V332" s="10"/>
      <c r="W332" s="10"/>
      <c r="X332" s="10"/>
    </row>
    <row r="333">
      <c r="A333" s="234">
        <v>45427.0</v>
      </c>
      <c r="B333" s="235">
        <v>20.0</v>
      </c>
      <c r="C333" s="235" t="s">
        <v>2395</v>
      </c>
      <c r="D333" s="232" t="s">
        <v>2176</v>
      </c>
      <c r="E333" s="233">
        <v>1.0</v>
      </c>
      <c r="F333" s="26" t="s">
        <v>190</v>
      </c>
      <c r="G333" s="233"/>
      <c r="H333" s="26"/>
      <c r="I333" s="233"/>
      <c r="J333" s="26"/>
      <c r="K333" s="233"/>
      <c r="L333" s="26"/>
      <c r="M333" s="224" t="s">
        <v>2396</v>
      </c>
      <c r="N333" s="220"/>
      <c r="O333" s="147"/>
      <c r="P333" s="147"/>
      <c r="Q333" s="10"/>
      <c r="R333" s="10"/>
      <c r="S333" s="10"/>
      <c r="T333" s="10"/>
      <c r="U333" s="10"/>
      <c r="V333" s="10"/>
      <c r="W333" s="10"/>
      <c r="X333" s="10"/>
    </row>
    <row r="334">
      <c r="A334" s="234">
        <v>45422.0</v>
      </c>
      <c r="B334" s="235">
        <v>19.0</v>
      </c>
      <c r="C334" s="238" t="s">
        <v>2397</v>
      </c>
      <c r="D334" s="232" t="s">
        <v>1226</v>
      </c>
      <c r="E334" s="233">
        <v>7.0</v>
      </c>
      <c r="F334" s="26" t="s">
        <v>190</v>
      </c>
      <c r="G334" s="233"/>
      <c r="H334" s="26"/>
      <c r="I334" s="233"/>
      <c r="J334" s="26"/>
      <c r="K334" s="233"/>
      <c r="L334" s="26"/>
      <c r="M334" s="224"/>
      <c r="N334" s="220"/>
      <c r="O334" s="147"/>
      <c r="P334" s="147"/>
      <c r="Q334" s="10"/>
      <c r="R334" s="10"/>
      <c r="S334" s="10"/>
      <c r="T334" s="10"/>
      <c r="U334" s="10"/>
      <c r="V334" s="10"/>
      <c r="W334" s="10"/>
      <c r="X334" s="10"/>
    </row>
    <row r="335">
      <c r="A335" s="234">
        <v>45422.0</v>
      </c>
      <c r="B335" s="235">
        <v>19.0</v>
      </c>
      <c r="C335" s="238" t="s">
        <v>2398</v>
      </c>
      <c r="D335" s="232" t="s">
        <v>2104</v>
      </c>
      <c r="E335" s="233"/>
      <c r="F335" s="26"/>
      <c r="G335" s="233">
        <v>4.0</v>
      </c>
      <c r="H335" s="26" t="s">
        <v>190</v>
      </c>
      <c r="I335" s="233">
        <v>3.0</v>
      </c>
      <c r="J335" s="26" t="s">
        <v>190</v>
      </c>
      <c r="K335" s="233"/>
      <c r="L335" s="26"/>
      <c r="M335" s="220"/>
      <c r="N335" s="220"/>
      <c r="O335" s="147"/>
      <c r="P335" s="147"/>
      <c r="Q335" s="10"/>
      <c r="R335" s="10"/>
      <c r="S335" s="10"/>
      <c r="T335" s="10"/>
      <c r="U335" s="10"/>
      <c r="V335" s="10"/>
      <c r="W335" s="10"/>
      <c r="X335" s="10"/>
    </row>
    <row r="336">
      <c r="A336" s="234">
        <v>45420.0</v>
      </c>
      <c r="B336" s="235">
        <v>19.0</v>
      </c>
      <c r="C336" s="238" t="s">
        <v>2399</v>
      </c>
      <c r="D336" s="232" t="s">
        <v>44</v>
      </c>
      <c r="E336" s="233">
        <v>3.0</v>
      </c>
      <c r="F336" s="26" t="s">
        <v>190</v>
      </c>
      <c r="G336" s="233"/>
      <c r="H336" s="26"/>
      <c r="I336" s="233"/>
      <c r="J336" s="26"/>
      <c r="K336" s="233"/>
      <c r="L336" s="26"/>
      <c r="M336" s="220"/>
      <c r="N336" s="220"/>
      <c r="O336" s="147"/>
      <c r="P336" s="147"/>
      <c r="Q336" s="10"/>
      <c r="R336" s="10"/>
      <c r="S336" s="10"/>
      <c r="T336" s="10"/>
      <c r="U336" s="10"/>
      <c r="V336" s="10"/>
      <c r="W336" s="10"/>
      <c r="X336" s="10"/>
    </row>
    <row r="337">
      <c r="A337" s="234">
        <v>45420.0</v>
      </c>
      <c r="B337" s="235">
        <v>19.0</v>
      </c>
      <c r="C337" s="238" t="s">
        <v>2400</v>
      </c>
      <c r="D337" s="232" t="s">
        <v>84</v>
      </c>
      <c r="E337" s="233"/>
      <c r="F337" s="26"/>
      <c r="G337" s="233">
        <v>9.0</v>
      </c>
      <c r="H337" s="26" t="s">
        <v>190</v>
      </c>
      <c r="I337" s="233"/>
      <c r="J337" s="26"/>
      <c r="K337" s="233"/>
      <c r="L337" s="26"/>
      <c r="M337" s="220"/>
      <c r="N337" s="220"/>
      <c r="O337" s="147"/>
      <c r="P337" s="147"/>
      <c r="Q337" s="10"/>
      <c r="R337" s="10"/>
      <c r="S337" s="10"/>
      <c r="T337" s="10"/>
      <c r="U337" s="10"/>
      <c r="V337" s="10"/>
      <c r="W337" s="10"/>
      <c r="X337" s="10"/>
    </row>
    <row r="338">
      <c r="A338" s="234">
        <v>45420.0</v>
      </c>
      <c r="B338" s="235">
        <v>19.0</v>
      </c>
      <c r="C338" s="238" t="s">
        <v>2401</v>
      </c>
      <c r="D338" s="232" t="s">
        <v>54</v>
      </c>
      <c r="E338" s="233"/>
      <c r="F338" s="26"/>
      <c r="G338" s="233">
        <v>9.0</v>
      </c>
      <c r="H338" s="26" t="s">
        <v>190</v>
      </c>
      <c r="I338" s="233"/>
      <c r="J338" s="26"/>
      <c r="K338" s="233"/>
      <c r="L338" s="26"/>
      <c r="M338" s="220"/>
      <c r="N338" s="220"/>
      <c r="O338" s="147"/>
      <c r="P338" s="147"/>
      <c r="Q338" s="10"/>
      <c r="R338" s="10"/>
      <c r="S338" s="10"/>
      <c r="T338" s="10"/>
      <c r="U338" s="10"/>
      <c r="V338" s="10"/>
      <c r="W338" s="10"/>
      <c r="X338" s="10"/>
    </row>
    <row r="339">
      <c r="A339" s="234">
        <v>45418.0</v>
      </c>
      <c r="B339" s="235">
        <v>18.0</v>
      </c>
      <c r="C339" s="238" t="s">
        <v>2402</v>
      </c>
      <c r="D339" s="232" t="s">
        <v>2104</v>
      </c>
      <c r="E339" s="233"/>
      <c r="F339" s="26"/>
      <c r="G339" s="233">
        <v>3.0</v>
      </c>
      <c r="H339" s="26" t="s">
        <v>190</v>
      </c>
      <c r="I339" s="233">
        <v>5.0</v>
      </c>
      <c r="J339" s="26" t="s">
        <v>190</v>
      </c>
      <c r="K339" s="233"/>
      <c r="L339" s="26"/>
      <c r="M339" s="224"/>
      <c r="N339" s="220"/>
      <c r="O339" s="147"/>
      <c r="P339" s="147"/>
      <c r="Q339" s="10"/>
      <c r="R339" s="10"/>
      <c r="S339" s="10"/>
      <c r="T339" s="10"/>
      <c r="U339" s="10"/>
      <c r="V339" s="10"/>
      <c r="W339" s="10"/>
      <c r="X339" s="10"/>
    </row>
    <row r="340">
      <c r="A340" s="245">
        <v>45415.0</v>
      </c>
      <c r="B340" s="246">
        <v>18.0</v>
      </c>
      <c r="C340" s="238" t="s">
        <v>2403</v>
      </c>
      <c r="D340" s="232" t="s">
        <v>44</v>
      </c>
      <c r="E340" s="233">
        <v>13.0</v>
      </c>
      <c r="F340" s="26" t="s">
        <v>190</v>
      </c>
      <c r="G340" s="233"/>
      <c r="H340" s="26"/>
      <c r="I340" s="233"/>
      <c r="J340" s="26"/>
      <c r="K340" s="233"/>
      <c r="L340" s="26"/>
      <c r="M340" s="227"/>
      <c r="N340" s="220"/>
      <c r="O340" s="147"/>
      <c r="P340" s="147"/>
      <c r="Q340" s="10"/>
      <c r="R340" s="10"/>
      <c r="S340" s="10"/>
      <c r="T340" s="10"/>
      <c r="U340" s="10"/>
      <c r="V340" s="10"/>
      <c r="W340" s="10"/>
      <c r="X340" s="10"/>
    </row>
    <row r="341">
      <c r="A341" s="234">
        <v>45415.0</v>
      </c>
      <c r="B341" s="235">
        <v>18.0</v>
      </c>
      <c r="C341" s="238" t="s">
        <v>2404</v>
      </c>
      <c r="D341" s="232" t="s">
        <v>84</v>
      </c>
      <c r="E341" s="233"/>
      <c r="F341" s="26"/>
      <c r="G341" s="233">
        <v>10.0</v>
      </c>
      <c r="H341" s="26" t="s">
        <v>190</v>
      </c>
      <c r="I341" s="233"/>
      <c r="J341" s="26"/>
      <c r="K341" s="233"/>
      <c r="L341" s="26"/>
      <c r="M341" s="227"/>
      <c r="N341" s="220"/>
      <c r="O341" s="147"/>
      <c r="P341" s="147"/>
      <c r="Q341" s="10"/>
      <c r="R341" s="10"/>
      <c r="S341" s="10"/>
      <c r="T341" s="10"/>
      <c r="U341" s="10"/>
      <c r="V341" s="10"/>
      <c r="W341" s="10"/>
      <c r="X341" s="10"/>
    </row>
    <row r="342">
      <c r="A342" s="245">
        <v>45415.0</v>
      </c>
      <c r="B342" s="246">
        <v>18.0</v>
      </c>
      <c r="C342" s="238" t="s">
        <v>2405</v>
      </c>
      <c r="D342" s="232" t="s">
        <v>1226</v>
      </c>
      <c r="E342" s="233">
        <v>2.0</v>
      </c>
      <c r="F342" s="26" t="s">
        <v>190</v>
      </c>
      <c r="G342" s="233"/>
      <c r="H342" s="26"/>
      <c r="I342" s="233"/>
      <c r="J342" s="26"/>
      <c r="K342" s="233"/>
      <c r="L342" s="26"/>
      <c r="M342" s="224"/>
      <c r="N342" s="220"/>
      <c r="O342" s="147"/>
      <c r="P342" s="147"/>
      <c r="Q342" s="10"/>
      <c r="R342" s="10"/>
      <c r="S342" s="10"/>
      <c r="T342" s="10"/>
      <c r="U342" s="10"/>
      <c r="V342" s="10"/>
      <c r="W342" s="10"/>
      <c r="X342" s="10"/>
    </row>
    <row r="343">
      <c r="A343" s="245">
        <v>45415.0</v>
      </c>
      <c r="B343" s="246">
        <v>18.0</v>
      </c>
      <c r="C343" s="238" t="s">
        <v>2406</v>
      </c>
      <c r="D343" s="232" t="s">
        <v>38</v>
      </c>
      <c r="E343" s="233"/>
      <c r="F343" s="26"/>
      <c r="G343" s="233">
        <v>2.0</v>
      </c>
      <c r="H343" s="26" t="s">
        <v>190</v>
      </c>
      <c r="I343" s="233"/>
      <c r="J343" s="26"/>
      <c r="K343" s="233"/>
      <c r="L343" s="26"/>
      <c r="M343" s="224" t="s">
        <v>2223</v>
      </c>
      <c r="N343" s="220"/>
      <c r="O343" s="147"/>
      <c r="P343" s="147"/>
      <c r="Q343" s="10"/>
      <c r="R343" s="10"/>
      <c r="S343" s="10"/>
      <c r="T343" s="10"/>
      <c r="U343" s="10"/>
      <c r="V343" s="10"/>
      <c r="W343" s="10"/>
      <c r="X343" s="10"/>
    </row>
    <row r="344">
      <c r="A344" s="245">
        <v>45415.0</v>
      </c>
      <c r="B344" s="246">
        <v>18.0</v>
      </c>
      <c r="C344" s="238" t="s">
        <v>2407</v>
      </c>
      <c r="D344" s="232" t="s">
        <v>175</v>
      </c>
      <c r="E344" s="233">
        <v>1.0</v>
      </c>
      <c r="F344" s="26" t="s">
        <v>190</v>
      </c>
      <c r="G344" s="233"/>
      <c r="H344" s="26"/>
      <c r="I344" s="233"/>
      <c r="J344" s="26"/>
      <c r="K344" s="233"/>
      <c r="L344" s="26"/>
      <c r="M344" s="224" t="s">
        <v>2408</v>
      </c>
      <c r="N344" s="220"/>
      <c r="O344" s="147"/>
      <c r="P344" s="147"/>
      <c r="Q344" s="10"/>
      <c r="R344" s="10"/>
      <c r="S344" s="10"/>
      <c r="T344" s="10"/>
      <c r="U344" s="10"/>
      <c r="V344" s="10"/>
      <c r="W344" s="10"/>
      <c r="X344" s="10"/>
    </row>
    <row r="345">
      <c r="A345" s="234">
        <v>45408.0</v>
      </c>
      <c r="B345" s="235">
        <v>17.0</v>
      </c>
      <c r="C345" s="238" t="s">
        <v>2409</v>
      </c>
      <c r="D345" s="232" t="s">
        <v>44</v>
      </c>
      <c r="E345" s="233">
        <v>2.0</v>
      </c>
      <c r="F345" s="26" t="s">
        <v>190</v>
      </c>
      <c r="G345" s="233"/>
      <c r="H345" s="26"/>
      <c r="I345" s="233"/>
      <c r="J345" s="26"/>
      <c r="K345" s="233"/>
      <c r="L345" s="26"/>
      <c r="M345" s="224"/>
      <c r="N345" s="220"/>
      <c r="O345" s="147"/>
      <c r="P345" s="147"/>
      <c r="Q345" s="10"/>
      <c r="R345" s="10"/>
      <c r="S345" s="10"/>
      <c r="T345" s="10"/>
      <c r="U345" s="10"/>
      <c r="V345" s="10"/>
      <c r="W345" s="10"/>
      <c r="X345" s="10"/>
    </row>
    <row r="346">
      <c r="A346" s="234">
        <v>45408.0</v>
      </c>
      <c r="B346" s="235">
        <v>17.0</v>
      </c>
      <c r="C346" s="238" t="s">
        <v>2410</v>
      </c>
      <c r="D346" s="232" t="s">
        <v>84</v>
      </c>
      <c r="E346" s="233"/>
      <c r="F346" s="26"/>
      <c r="G346" s="233">
        <v>11.0</v>
      </c>
      <c r="H346" s="26" t="s">
        <v>190</v>
      </c>
      <c r="I346" s="233"/>
      <c r="J346" s="26"/>
      <c r="K346" s="233"/>
      <c r="L346" s="26"/>
      <c r="M346" s="227"/>
      <c r="N346" s="220"/>
      <c r="O346" s="147"/>
      <c r="P346" s="147"/>
      <c r="Q346" s="10"/>
      <c r="R346" s="10"/>
      <c r="S346" s="10"/>
      <c r="T346" s="10"/>
      <c r="U346" s="10"/>
      <c r="V346" s="10"/>
      <c r="W346" s="10"/>
      <c r="X346" s="10"/>
    </row>
    <row r="347">
      <c r="A347" s="234">
        <v>45408.0</v>
      </c>
      <c r="B347" s="235">
        <v>17.0</v>
      </c>
      <c r="C347" s="238" t="s">
        <v>2411</v>
      </c>
      <c r="D347" s="232" t="s">
        <v>1226</v>
      </c>
      <c r="E347" s="233">
        <v>5.0</v>
      </c>
      <c r="F347" s="26" t="s">
        <v>190</v>
      </c>
      <c r="G347" s="233"/>
      <c r="H347" s="26"/>
      <c r="I347" s="233"/>
      <c r="J347" s="26"/>
      <c r="K347" s="233"/>
      <c r="L347" s="26"/>
      <c r="M347" s="224"/>
      <c r="N347" s="220"/>
      <c r="O347" s="147"/>
      <c r="P347" s="147"/>
      <c r="Q347" s="10"/>
      <c r="R347" s="10"/>
      <c r="S347" s="10"/>
      <c r="T347" s="10"/>
      <c r="U347" s="10"/>
      <c r="V347" s="10"/>
      <c r="W347" s="10"/>
      <c r="X347" s="10"/>
    </row>
    <row r="348">
      <c r="A348" s="234">
        <v>45408.0</v>
      </c>
      <c r="B348" s="235">
        <v>17.0</v>
      </c>
      <c r="C348" s="238" t="s">
        <v>2412</v>
      </c>
      <c r="D348" s="232" t="s">
        <v>175</v>
      </c>
      <c r="E348" s="233">
        <v>1.0</v>
      </c>
      <c r="F348" s="26" t="s">
        <v>190</v>
      </c>
      <c r="G348" s="233"/>
      <c r="H348" s="26"/>
      <c r="I348" s="233"/>
      <c r="J348" s="26"/>
      <c r="K348" s="233"/>
      <c r="L348" s="26"/>
      <c r="M348" s="224"/>
      <c r="N348" s="220"/>
      <c r="O348" s="147"/>
      <c r="P348" s="147"/>
      <c r="Q348" s="10"/>
      <c r="R348" s="10"/>
      <c r="S348" s="10"/>
      <c r="T348" s="10"/>
      <c r="U348" s="10"/>
      <c r="V348" s="10"/>
      <c r="W348" s="10"/>
      <c r="X348" s="10"/>
    </row>
    <row r="349">
      <c r="A349" s="234">
        <v>45408.0</v>
      </c>
      <c r="B349" s="235">
        <v>17.0</v>
      </c>
      <c r="C349" s="238" t="s">
        <v>2413</v>
      </c>
      <c r="D349" s="232" t="s">
        <v>2104</v>
      </c>
      <c r="E349" s="233"/>
      <c r="F349" s="26"/>
      <c r="G349" s="233">
        <v>6.0</v>
      </c>
      <c r="H349" s="26" t="s">
        <v>190</v>
      </c>
      <c r="I349" s="233">
        <v>5.0</v>
      </c>
      <c r="J349" s="26" t="s">
        <v>190</v>
      </c>
      <c r="K349" s="233"/>
      <c r="L349" s="26"/>
      <c r="M349" s="227"/>
      <c r="N349" s="220"/>
      <c r="O349" s="147"/>
      <c r="P349" s="147"/>
      <c r="Q349" s="10"/>
      <c r="R349" s="10"/>
      <c r="S349" s="10"/>
      <c r="T349" s="10"/>
      <c r="U349" s="10"/>
      <c r="V349" s="10"/>
      <c r="W349" s="10"/>
      <c r="X349" s="10"/>
    </row>
    <row r="350">
      <c r="A350" s="234">
        <v>45408.0</v>
      </c>
      <c r="B350" s="235">
        <v>17.0</v>
      </c>
      <c r="C350" s="238" t="s">
        <v>2414</v>
      </c>
      <c r="D350" s="232" t="s">
        <v>54</v>
      </c>
      <c r="E350" s="233">
        <v>8.0</v>
      </c>
      <c r="F350" s="26" t="s">
        <v>190</v>
      </c>
      <c r="G350" s="233">
        <v>6.0</v>
      </c>
      <c r="H350" s="26" t="s">
        <v>190</v>
      </c>
      <c r="I350" s="233"/>
      <c r="J350" s="26"/>
      <c r="K350" s="233"/>
      <c r="L350" s="26"/>
      <c r="M350" s="227"/>
      <c r="N350" s="220"/>
      <c r="O350" s="147"/>
      <c r="P350" s="147"/>
      <c r="Q350" s="10"/>
      <c r="R350" s="10"/>
      <c r="S350" s="10"/>
      <c r="T350" s="10"/>
      <c r="U350" s="10"/>
      <c r="V350" s="10"/>
      <c r="W350" s="10"/>
      <c r="X350" s="10"/>
    </row>
    <row r="351">
      <c r="A351" s="234">
        <v>45408.0</v>
      </c>
      <c r="B351" s="235">
        <v>17.0</v>
      </c>
      <c r="C351" s="238" t="s">
        <v>2415</v>
      </c>
      <c r="D351" s="232" t="s">
        <v>2176</v>
      </c>
      <c r="E351" s="233">
        <v>7.0</v>
      </c>
      <c r="F351" s="26" t="s">
        <v>190</v>
      </c>
      <c r="G351" s="233"/>
      <c r="H351" s="26"/>
      <c r="I351" s="233"/>
      <c r="J351" s="26"/>
      <c r="K351" s="233"/>
      <c r="L351" s="26"/>
      <c r="M351" s="224"/>
      <c r="N351" s="220"/>
      <c r="O351" s="147"/>
      <c r="P351" s="147"/>
      <c r="Q351" s="10"/>
      <c r="R351" s="10"/>
      <c r="S351" s="10"/>
      <c r="T351" s="10"/>
      <c r="U351" s="10"/>
      <c r="V351" s="10"/>
      <c r="W351" s="10"/>
      <c r="X351" s="10"/>
    </row>
    <row r="352">
      <c r="A352" s="234">
        <v>45401.0</v>
      </c>
      <c r="B352" s="235">
        <v>16.0</v>
      </c>
      <c r="C352" s="238" t="s">
        <v>2416</v>
      </c>
      <c r="D352" s="232" t="s">
        <v>44</v>
      </c>
      <c r="E352" s="233">
        <v>3.0</v>
      </c>
      <c r="F352" s="26" t="s">
        <v>190</v>
      </c>
      <c r="G352" s="233"/>
      <c r="H352" s="26"/>
      <c r="I352" s="233"/>
      <c r="J352" s="26"/>
      <c r="K352" s="233"/>
      <c r="L352" s="26"/>
      <c r="M352" s="224"/>
      <c r="N352" s="220"/>
      <c r="O352" s="147"/>
      <c r="P352" s="147"/>
      <c r="Q352" s="10"/>
      <c r="R352" s="10"/>
      <c r="S352" s="10"/>
      <c r="T352" s="10"/>
      <c r="U352" s="10"/>
      <c r="V352" s="10"/>
      <c r="W352" s="10"/>
      <c r="X352" s="10"/>
    </row>
    <row r="353">
      <c r="A353" s="234">
        <v>45401.0</v>
      </c>
      <c r="B353" s="235">
        <v>16.0</v>
      </c>
      <c r="C353" s="238" t="s">
        <v>2075</v>
      </c>
      <c r="D353" s="232" t="s">
        <v>84</v>
      </c>
      <c r="E353" s="233"/>
      <c r="F353" s="26"/>
      <c r="G353" s="233">
        <v>12.0</v>
      </c>
      <c r="H353" s="26" t="s">
        <v>190</v>
      </c>
      <c r="I353" s="233"/>
      <c r="J353" s="26"/>
      <c r="K353" s="233"/>
      <c r="L353" s="26"/>
      <c r="M353" s="227"/>
      <c r="N353" s="220"/>
      <c r="O353" s="147"/>
      <c r="P353" s="147"/>
      <c r="Q353" s="10"/>
      <c r="R353" s="10"/>
      <c r="S353" s="10"/>
      <c r="T353" s="10"/>
      <c r="U353" s="10"/>
      <c r="V353" s="10"/>
      <c r="W353" s="10"/>
      <c r="X353" s="10"/>
    </row>
    <row r="354">
      <c r="A354" s="234">
        <v>45401.0</v>
      </c>
      <c r="B354" s="235">
        <v>16.0</v>
      </c>
      <c r="C354" s="238" t="s">
        <v>2417</v>
      </c>
      <c r="D354" s="232" t="s">
        <v>1226</v>
      </c>
      <c r="E354" s="233">
        <v>4.0</v>
      </c>
      <c r="F354" s="26" t="s">
        <v>190</v>
      </c>
      <c r="G354" s="233"/>
      <c r="H354" s="26"/>
      <c r="I354" s="233"/>
      <c r="J354" s="26"/>
      <c r="K354" s="233"/>
      <c r="L354" s="26"/>
      <c r="M354" s="224"/>
      <c r="N354" s="220"/>
      <c r="O354" s="147"/>
      <c r="P354" s="147"/>
      <c r="Q354" s="10"/>
      <c r="R354" s="10"/>
      <c r="S354" s="10"/>
      <c r="T354" s="10"/>
      <c r="U354" s="10"/>
      <c r="V354" s="10"/>
      <c r="W354" s="10"/>
      <c r="X354" s="10"/>
    </row>
    <row r="355">
      <c r="A355" s="234">
        <v>45401.0</v>
      </c>
      <c r="B355" s="235">
        <v>16.0</v>
      </c>
      <c r="C355" s="238" t="s">
        <v>2418</v>
      </c>
      <c r="D355" s="232" t="s">
        <v>38</v>
      </c>
      <c r="E355" s="233"/>
      <c r="F355" s="26"/>
      <c r="G355" s="233">
        <v>1.0</v>
      </c>
      <c r="H355" s="26" t="s">
        <v>190</v>
      </c>
      <c r="I355" s="233"/>
      <c r="J355" s="26"/>
      <c r="K355" s="233"/>
      <c r="L355" s="26"/>
      <c r="M355" s="224"/>
      <c r="N355" s="220"/>
      <c r="O355" s="147"/>
      <c r="P355" s="147"/>
      <c r="Q355" s="10"/>
      <c r="R355" s="10"/>
      <c r="S355" s="10"/>
      <c r="T355" s="10"/>
      <c r="U355" s="10"/>
      <c r="V355" s="10"/>
      <c r="W355" s="10"/>
      <c r="X355" s="10"/>
    </row>
    <row r="356">
      <c r="A356" s="234">
        <v>45401.0</v>
      </c>
      <c r="B356" s="235">
        <v>16.0</v>
      </c>
      <c r="C356" s="238" t="s">
        <v>2419</v>
      </c>
      <c r="D356" s="232" t="s">
        <v>2104</v>
      </c>
      <c r="E356" s="233"/>
      <c r="F356" s="26"/>
      <c r="G356" s="233">
        <v>2.0</v>
      </c>
      <c r="H356" s="26" t="s">
        <v>190</v>
      </c>
      <c r="I356" s="233">
        <v>1.0</v>
      </c>
      <c r="J356" s="26" t="s">
        <v>190</v>
      </c>
      <c r="K356" s="233"/>
      <c r="L356" s="26"/>
      <c r="M356" s="224"/>
      <c r="N356" s="220"/>
      <c r="O356" s="147"/>
      <c r="P356" s="147"/>
      <c r="Q356" s="10"/>
      <c r="R356" s="10"/>
      <c r="S356" s="10"/>
      <c r="T356" s="10"/>
      <c r="U356" s="10"/>
      <c r="V356" s="10"/>
      <c r="W356" s="10"/>
      <c r="X356" s="10"/>
    </row>
    <row r="357">
      <c r="A357" s="234">
        <v>45401.0</v>
      </c>
      <c r="B357" s="235">
        <v>16.0</v>
      </c>
      <c r="C357" s="238" t="s">
        <v>2420</v>
      </c>
      <c r="D357" s="232" t="s">
        <v>54</v>
      </c>
      <c r="E357" s="233"/>
      <c r="F357" s="26"/>
      <c r="G357" s="233">
        <v>11.0</v>
      </c>
      <c r="H357" s="26" t="s">
        <v>190</v>
      </c>
      <c r="I357" s="233"/>
      <c r="J357" s="26"/>
      <c r="K357" s="233"/>
      <c r="L357" s="26"/>
      <c r="M357" s="224"/>
      <c r="N357" s="220"/>
      <c r="O357" s="147"/>
      <c r="P357" s="147"/>
      <c r="Q357" s="10"/>
      <c r="R357" s="10"/>
      <c r="S357" s="10"/>
      <c r="T357" s="10"/>
      <c r="U357" s="10"/>
      <c r="V357" s="10"/>
      <c r="W357" s="10"/>
      <c r="X357" s="10"/>
    </row>
    <row r="358">
      <c r="A358" s="234">
        <v>45394.0</v>
      </c>
      <c r="B358" s="235">
        <v>15.0</v>
      </c>
      <c r="C358" s="238" t="s">
        <v>2421</v>
      </c>
      <c r="D358" s="232" t="s">
        <v>44</v>
      </c>
      <c r="E358" s="233">
        <v>5.0</v>
      </c>
      <c r="F358" s="26" t="s">
        <v>190</v>
      </c>
      <c r="G358" s="233"/>
      <c r="H358" s="26"/>
      <c r="I358" s="233"/>
      <c r="J358" s="26"/>
      <c r="K358" s="233"/>
      <c r="L358" s="26"/>
      <c r="M358" s="224" t="s">
        <v>2223</v>
      </c>
      <c r="N358" s="220"/>
      <c r="O358" s="147"/>
      <c r="P358" s="147"/>
      <c r="Q358" s="10"/>
      <c r="R358" s="10"/>
      <c r="S358" s="10"/>
      <c r="T358" s="10"/>
      <c r="U358" s="10"/>
      <c r="V358" s="10"/>
      <c r="W358" s="10"/>
      <c r="X358" s="10"/>
    </row>
    <row r="359">
      <c r="A359" s="234">
        <v>45394.0</v>
      </c>
      <c r="B359" s="235">
        <v>15.0</v>
      </c>
      <c r="C359" s="238" t="s">
        <v>2422</v>
      </c>
      <c r="D359" s="232" t="s">
        <v>84</v>
      </c>
      <c r="E359" s="233"/>
      <c r="F359" s="26"/>
      <c r="G359" s="233">
        <v>8.0</v>
      </c>
      <c r="H359" s="26" t="s">
        <v>190</v>
      </c>
      <c r="I359" s="233"/>
      <c r="J359" s="26"/>
      <c r="K359" s="233"/>
      <c r="L359" s="26"/>
      <c r="M359" s="224"/>
      <c r="N359" s="220"/>
      <c r="O359" s="147"/>
      <c r="P359" s="147"/>
      <c r="Q359" s="10"/>
      <c r="R359" s="10"/>
      <c r="S359" s="10"/>
      <c r="T359" s="10"/>
      <c r="U359" s="10"/>
      <c r="V359" s="10"/>
      <c r="W359" s="10"/>
      <c r="X359" s="10"/>
    </row>
    <row r="360">
      <c r="A360" s="234">
        <v>45394.0</v>
      </c>
      <c r="B360" s="235">
        <v>15.0</v>
      </c>
      <c r="C360" s="238" t="s">
        <v>2423</v>
      </c>
      <c r="D360" s="232" t="s">
        <v>1226</v>
      </c>
      <c r="E360" s="233">
        <v>5.0</v>
      </c>
      <c r="F360" s="26" t="s">
        <v>190</v>
      </c>
      <c r="G360" s="233"/>
      <c r="H360" s="26"/>
      <c r="I360" s="233"/>
      <c r="J360" s="26"/>
      <c r="K360" s="233"/>
      <c r="L360" s="26"/>
      <c r="M360" s="227"/>
      <c r="N360" s="220"/>
      <c r="O360" s="147"/>
      <c r="P360" s="147"/>
      <c r="Q360" s="10"/>
      <c r="R360" s="10"/>
      <c r="S360" s="10"/>
      <c r="T360" s="10"/>
      <c r="U360" s="10"/>
      <c r="V360" s="10"/>
      <c r="W360" s="10"/>
      <c r="X360" s="10"/>
    </row>
    <row r="361">
      <c r="A361" s="234">
        <v>45394.0</v>
      </c>
      <c r="B361" s="235">
        <v>15.0</v>
      </c>
      <c r="C361" s="238" t="s">
        <v>2424</v>
      </c>
      <c r="D361" s="232" t="s">
        <v>175</v>
      </c>
      <c r="E361" s="233">
        <v>2.0</v>
      </c>
      <c r="F361" s="26" t="s">
        <v>190</v>
      </c>
      <c r="G361" s="233"/>
      <c r="H361" s="26"/>
      <c r="I361" s="233"/>
      <c r="J361" s="26"/>
      <c r="K361" s="233"/>
      <c r="L361" s="26"/>
      <c r="M361" s="224"/>
      <c r="N361" s="220"/>
      <c r="O361" s="147"/>
      <c r="P361" s="147"/>
      <c r="Q361" s="10"/>
      <c r="R361" s="10"/>
      <c r="S361" s="10"/>
      <c r="T361" s="10"/>
      <c r="U361" s="10"/>
      <c r="V361" s="10"/>
      <c r="W361" s="10"/>
      <c r="X361" s="10"/>
    </row>
    <row r="362">
      <c r="A362" s="234">
        <v>45394.0</v>
      </c>
      <c r="B362" s="235">
        <v>15.0</v>
      </c>
      <c r="C362" s="238" t="s">
        <v>2425</v>
      </c>
      <c r="D362" s="232" t="s">
        <v>2104</v>
      </c>
      <c r="E362" s="233"/>
      <c r="F362" s="26"/>
      <c r="G362" s="233">
        <v>12.0</v>
      </c>
      <c r="H362" s="26" t="s">
        <v>190</v>
      </c>
      <c r="I362" s="233">
        <v>10.0</v>
      </c>
      <c r="J362" s="26" t="s">
        <v>190</v>
      </c>
      <c r="K362" s="233"/>
      <c r="L362" s="26"/>
      <c r="M362" s="224"/>
      <c r="N362" s="220"/>
      <c r="O362" s="147"/>
      <c r="P362" s="147"/>
      <c r="Q362" s="10"/>
      <c r="R362" s="10"/>
      <c r="S362" s="10"/>
      <c r="T362" s="10"/>
      <c r="U362" s="10"/>
      <c r="V362" s="10"/>
      <c r="W362" s="10"/>
      <c r="X362" s="10"/>
    </row>
    <row r="363">
      <c r="A363" s="234">
        <v>45394.0</v>
      </c>
      <c r="B363" s="235">
        <v>15.0</v>
      </c>
      <c r="C363" s="238" t="s">
        <v>2426</v>
      </c>
      <c r="D363" s="232" t="s">
        <v>54</v>
      </c>
      <c r="E363" s="233"/>
      <c r="F363" s="26"/>
      <c r="G363" s="233">
        <v>23.0</v>
      </c>
      <c r="H363" s="26" t="s">
        <v>190</v>
      </c>
      <c r="I363" s="233"/>
      <c r="J363" s="26"/>
      <c r="K363" s="233"/>
      <c r="L363" s="26"/>
      <c r="M363" s="224"/>
      <c r="N363" s="220"/>
      <c r="O363" s="147"/>
      <c r="P363" s="147"/>
      <c r="Q363" s="10"/>
      <c r="R363" s="10"/>
      <c r="S363" s="10"/>
      <c r="T363" s="10"/>
      <c r="U363" s="10"/>
      <c r="V363" s="10"/>
      <c r="W363" s="10"/>
      <c r="X363" s="10"/>
    </row>
    <row r="364">
      <c r="A364" s="234">
        <v>45387.0</v>
      </c>
      <c r="B364" s="235">
        <v>14.0</v>
      </c>
      <c r="C364" s="238" t="s">
        <v>2427</v>
      </c>
      <c r="D364" s="232" t="s">
        <v>44</v>
      </c>
      <c r="E364" s="233">
        <v>9.0</v>
      </c>
      <c r="F364" s="26" t="s">
        <v>190</v>
      </c>
      <c r="G364" s="233"/>
      <c r="H364" s="26"/>
      <c r="I364" s="233"/>
      <c r="J364" s="26"/>
      <c r="K364" s="233"/>
      <c r="L364" s="26"/>
      <c r="M364" s="227"/>
      <c r="N364" s="220"/>
      <c r="O364" s="147"/>
      <c r="P364" s="147"/>
      <c r="Q364" s="10"/>
      <c r="R364" s="10"/>
      <c r="S364" s="10"/>
      <c r="T364" s="10"/>
      <c r="U364" s="10"/>
      <c r="V364" s="10"/>
      <c r="W364" s="10"/>
      <c r="X364" s="10"/>
    </row>
    <row r="365">
      <c r="A365" s="234">
        <v>45387.0</v>
      </c>
      <c r="B365" s="235">
        <v>14.0</v>
      </c>
      <c r="C365" s="238" t="s">
        <v>2428</v>
      </c>
      <c r="D365" s="232" t="s">
        <v>84</v>
      </c>
      <c r="E365" s="233"/>
      <c r="F365" s="26"/>
      <c r="G365" s="233">
        <v>15.0</v>
      </c>
      <c r="H365" s="26" t="s">
        <v>190</v>
      </c>
      <c r="I365" s="233"/>
      <c r="J365" s="26"/>
      <c r="K365" s="233"/>
      <c r="L365" s="26"/>
      <c r="M365" s="224"/>
      <c r="N365" s="220"/>
      <c r="O365" s="147"/>
      <c r="P365" s="147"/>
      <c r="Q365" s="10"/>
      <c r="R365" s="10"/>
      <c r="S365" s="10"/>
      <c r="T365" s="10"/>
      <c r="U365" s="10"/>
      <c r="V365" s="10"/>
      <c r="W365" s="10"/>
      <c r="X365" s="10"/>
    </row>
    <row r="366">
      <c r="A366" s="234">
        <v>45387.0</v>
      </c>
      <c r="B366" s="235">
        <v>14.0</v>
      </c>
      <c r="C366" s="238" t="s">
        <v>2429</v>
      </c>
      <c r="D366" s="232" t="s">
        <v>1226</v>
      </c>
      <c r="E366" s="233">
        <v>4.0</v>
      </c>
      <c r="F366" s="26" t="s">
        <v>190</v>
      </c>
      <c r="G366" s="233"/>
      <c r="H366" s="26"/>
      <c r="I366" s="233"/>
      <c r="J366" s="26"/>
      <c r="K366" s="233"/>
      <c r="L366" s="26"/>
      <c r="M366" s="224"/>
      <c r="N366" s="220"/>
      <c r="O366" s="147"/>
      <c r="P366" s="147"/>
      <c r="Q366" s="10"/>
      <c r="R366" s="10"/>
      <c r="S366" s="10"/>
      <c r="T366" s="10"/>
      <c r="U366" s="10"/>
      <c r="V366" s="10"/>
      <c r="W366" s="10"/>
      <c r="X366" s="10"/>
    </row>
    <row r="367">
      <c r="A367" s="234">
        <v>45387.0</v>
      </c>
      <c r="B367" s="235">
        <v>14.0</v>
      </c>
      <c r="C367" s="238" t="s">
        <v>2430</v>
      </c>
      <c r="D367" s="232" t="s">
        <v>38</v>
      </c>
      <c r="E367" s="233"/>
      <c r="F367" s="26"/>
      <c r="G367" s="233">
        <v>5.0</v>
      </c>
      <c r="H367" s="26" t="s">
        <v>190</v>
      </c>
      <c r="I367" s="233"/>
      <c r="J367" s="26"/>
      <c r="K367" s="233"/>
      <c r="L367" s="26"/>
      <c r="M367" s="224"/>
      <c r="N367" s="220"/>
      <c r="O367" s="147"/>
      <c r="P367" s="147"/>
      <c r="Q367" s="10"/>
      <c r="R367" s="10"/>
      <c r="S367" s="10"/>
      <c r="T367" s="10"/>
      <c r="U367" s="10"/>
      <c r="V367" s="10"/>
      <c r="W367" s="10"/>
      <c r="X367" s="10"/>
    </row>
    <row r="368">
      <c r="A368" s="234">
        <v>45387.0</v>
      </c>
      <c r="B368" s="235">
        <v>14.0</v>
      </c>
      <c r="C368" s="238" t="s">
        <v>2431</v>
      </c>
      <c r="D368" s="232" t="s">
        <v>2104</v>
      </c>
      <c r="E368" s="233"/>
      <c r="F368" s="26"/>
      <c r="G368" s="233">
        <v>5.0</v>
      </c>
      <c r="H368" s="26" t="s">
        <v>190</v>
      </c>
      <c r="I368" s="233"/>
      <c r="J368" s="26"/>
      <c r="K368" s="233"/>
      <c r="L368" s="26"/>
      <c r="M368" s="224"/>
      <c r="N368" s="220"/>
      <c r="O368" s="147"/>
      <c r="P368" s="147"/>
      <c r="Q368" s="10"/>
      <c r="R368" s="10"/>
      <c r="S368" s="10"/>
      <c r="T368" s="10"/>
      <c r="U368" s="10"/>
      <c r="V368" s="10"/>
      <c r="W368" s="10"/>
      <c r="X368" s="10"/>
    </row>
    <row r="369">
      <c r="A369" s="234">
        <v>45387.0</v>
      </c>
      <c r="B369" s="235">
        <v>14.0</v>
      </c>
      <c r="C369" s="238" t="s">
        <v>2432</v>
      </c>
      <c r="D369" s="232" t="s">
        <v>54</v>
      </c>
      <c r="E369" s="233"/>
      <c r="F369" s="26"/>
      <c r="G369" s="233">
        <v>19.0</v>
      </c>
      <c r="H369" s="26" t="s">
        <v>190</v>
      </c>
      <c r="I369" s="233"/>
      <c r="J369" s="26"/>
      <c r="K369" s="233"/>
      <c r="L369" s="26"/>
      <c r="M369" s="225" t="s">
        <v>2433</v>
      </c>
      <c r="N369" s="220"/>
      <c r="O369" s="147"/>
      <c r="P369" s="147"/>
      <c r="Q369" s="10"/>
      <c r="R369" s="10"/>
      <c r="S369" s="10"/>
      <c r="T369" s="10"/>
      <c r="U369" s="10"/>
      <c r="V369" s="10"/>
      <c r="W369" s="10"/>
      <c r="X369" s="10"/>
    </row>
    <row r="370">
      <c r="A370" s="234">
        <v>45380.0</v>
      </c>
      <c r="B370" s="235">
        <v>13.0</v>
      </c>
      <c r="C370" s="238" t="s">
        <v>2434</v>
      </c>
      <c r="D370" s="232" t="s">
        <v>44</v>
      </c>
      <c r="E370" s="233">
        <v>6.0</v>
      </c>
      <c r="F370" s="26" t="s">
        <v>190</v>
      </c>
      <c r="G370" s="233"/>
      <c r="H370" s="26"/>
      <c r="I370" s="233"/>
      <c r="J370" s="26"/>
      <c r="K370" s="233"/>
      <c r="L370" s="26"/>
      <c r="M370" s="224"/>
      <c r="N370" s="220"/>
      <c r="O370" s="147"/>
      <c r="P370" s="147"/>
      <c r="Q370" s="10"/>
      <c r="R370" s="10"/>
      <c r="S370" s="10"/>
      <c r="T370" s="10"/>
      <c r="U370" s="10"/>
      <c r="V370" s="10"/>
      <c r="W370" s="10"/>
      <c r="X370" s="10"/>
    </row>
    <row r="371">
      <c r="A371" s="234">
        <v>45380.0</v>
      </c>
      <c r="B371" s="235">
        <v>13.0</v>
      </c>
      <c r="C371" s="238" t="s">
        <v>2435</v>
      </c>
      <c r="D371" s="232" t="s">
        <v>84</v>
      </c>
      <c r="E371" s="233"/>
      <c r="F371" s="26"/>
      <c r="G371" s="233">
        <v>4.0</v>
      </c>
      <c r="H371" s="26" t="s">
        <v>190</v>
      </c>
      <c r="I371" s="233"/>
      <c r="J371" s="26"/>
      <c r="K371" s="233"/>
      <c r="L371" s="26"/>
      <c r="M371" s="224"/>
      <c r="N371" s="220"/>
      <c r="O371" s="147"/>
      <c r="P371" s="147"/>
      <c r="Q371" s="10"/>
      <c r="R371" s="10"/>
      <c r="S371" s="10"/>
      <c r="T371" s="10"/>
      <c r="U371" s="10"/>
      <c r="V371" s="10"/>
      <c r="W371" s="10"/>
      <c r="X371" s="10"/>
    </row>
    <row r="372">
      <c r="A372" s="234">
        <v>45380.0</v>
      </c>
      <c r="B372" s="235">
        <v>13.0</v>
      </c>
      <c r="C372" s="238" t="s">
        <v>2436</v>
      </c>
      <c r="D372" s="232" t="s">
        <v>1226</v>
      </c>
      <c r="E372" s="233">
        <v>5.0</v>
      </c>
      <c r="F372" s="26" t="s">
        <v>190</v>
      </c>
      <c r="G372" s="233"/>
      <c r="H372" s="26"/>
      <c r="I372" s="233"/>
      <c r="J372" s="26"/>
      <c r="K372" s="233"/>
      <c r="L372" s="26"/>
      <c r="M372" s="224"/>
      <c r="N372" s="220"/>
      <c r="O372" s="147"/>
      <c r="P372" s="147"/>
      <c r="Q372" s="10"/>
      <c r="R372" s="10"/>
      <c r="S372" s="10"/>
      <c r="T372" s="10"/>
      <c r="U372" s="10"/>
      <c r="V372" s="10"/>
      <c r="W372" s="10"/>
      <c r="X372" s="10"/>
    </row>
    <row r="373">
      <c r="A373" s="234">
        <v>45380.0</v>
      </c>
      <c r="B373" s="235">
        <v>13.0</v>
      </c>
      <c r="C373" s="238" t="s">
        <v>2437</v>
      </c>
      <c r="D373" s="232" t="s">
        <v>175</v>
      </c>
      <c r="E373" s="233">
        <v>1.0</v>
      </c>
      <c r="F373" s="26" t="s">
        <v>190</v>
      </c>
      <c r="G373" s="233"/>
      <c r="H373" s="26"/>
      <c r="I373" s="233"/>
      <c r="J373" s="26"/>
      <c r="K373" s="233"/>
      <c r="L373" s="26"/>
      <c r="M373" s="224"/>
      <c r="N373" s="220"/>
      <c r="O373" s="147"/>
      <c r="P373" s="147"/>
      <c r="Q373" s="10"/>
      <c r="R373" s="10"/>
      <c r="S373" s="10"/>
      <c r="T373" s="10"/>
      <c r="U373" s="10"/>
      <c r="V373" s="10"/>
      <c r="W373" s="10"/>
      <c r="X373" s="10"/>
    </row>
    <row r="374">
      <c r="A374" s="234">
        <v>45380.0</v>
      </c>
      <c r="B374" s="235">
        <v>13.0</v>
      </c>
      <c r="C374" s="238" t="s">
        <v>2438</v>
      </c>
      <c r="D374" s="232" t="s">
        <v>2104</v>
      </c>
      <c r="E374" s="233"/>
      <c r="F374" s="26"/>
      <c r="G374" s="233">
        <v>3.0</v>
      </c>
      <c r="H374" s="26" t="s">
        <v>190</v>
      </c>
      <c r="I374" s="233"/>
      <c r="J374" s="26"/>
      <c r="K374" s="233"/>
      <c r="L374" s="26"/>
      <c r="M374" s="224"/>
      <c r="N374" s="220"/>
      <c r="O374" s="147"/>
      <c r="P374" s="147"/>
      <c r="Q374" s="10"/>
      <c r="R374" s="10"/>
      <c r="S374" s="10"/>
      <c r="T374" s="10"/>
      <c r="U374" s="10"/>
      <c r="V374" s="10"/>
      <c r="W374" s="10"/>
      <c r="X374" s="10"/>
    </row>
    <row r="375">
      <c r="A375" s="234">
        <v>45380.0</v>
      </c>
      <c r="B375" s="235">
        <v>13.0</v>
      </c>
      <c r="C375" s="238" t="s">
        <v>2439</v>
      </c>
      <c r="D375" s="232" t="s">
        <v>54</v>
      </c>
      <c r="E375" s="233"/>
      <c r="F375" s="26"/>
      <c r="G375" s="233"/>
      <c r="H375" s="26"/>
      <c r="I375" s="233">
        <v>22.0</v>
      </c>
      <c r="J375" s="26" t="s">
        <v>190</v>
      </c>
      <c r="K375" s="233"/>
      <c r="L375" s="26"/>
      <c r="M375" s="224"/>
      <c r="N375" s="220"/>
      <c r="O375" s="147"/>
      <c r="P375" s="147"/>
      <c r="Q375" s="10"/>
      <c r="R375" s="10"/>
      <c r="S375" s="10"/>
      <c r="T375" s="10"/>
      <c r="U375" s="10"/>
      <c r="V375" s="10"/>
      <c r="W375" s="10"/>
      <c r="X375" s="10"/>
    </row>
    <row r="376">
      <c r="A376" s="234">
        <v>45373.0</v>
      </c>
      <c r="B376" s="235">
        <v>12.0</v>
      </c>
      <c r="C376" s="238" t="s">
        <v>2440</v>
      </c>
      <c r="D376" s="232" t="s">
        <v>44</v>
      </c>
      <c r="E376" s="233">
        <v>9.0</v>
      </c>
      <c r="F376" s="26" t="s">
        <v>190</v>
      </c>
      <c r="G376" s="233"/>
      <c r="H376" s="26"/>
      <c r="I376" s="233"/>
      <c r="J376" s="26"/>
      <c r="K376" s="233"/>
      <c r="L376" s="26"/>
      <c r="M376" s="224"/>
      <c r="N376" s="220"/>
      <c r="O376" s="147"/>
      <c r="P376" s="147"/>
      <c r="Q376" s="10"/>
      <c r="R376" s="10"/>
      <c r="S376" s="10"/>
      <c r="T376" s="10"/>
      <c r="U376" s="10"/>
      <c r="V376" s="10"/>
      <c r="W376" s="10"/>
      <c r="X376" s="10"/>
    </row>
    <row r="377">
      <c r="A377" s="234">
        <v>45373.0</v>
      </c>
      <c r="B377" s="235">
        <v>12.0</v>
      </c>
      <c r="C377" s="238" t="s">
        <v>2441</v>
      </c>
      <c r="D377" s="232" t="s">
        <v>84</v>
      </c>
      <c r="E377" s="233"/>
      <c r="F377" s="26"/>
      <c r="G377" s="233">
        <v>13.0</v>
      </c>
      <c r="H377" s="26" t="s">
        <v>190</v>
      </c>
      <c r="I377" s="233"/>
      <c r="J377" s="26"/>
      <c r="K377" s="233"/>
      <c r="L377" s="26"/>
      <c r="M377" s="224"/>
      <c r="N377" s="220"/>
      <c r="O377" s="147"/>
      <c r="P377" s="147"/>
      <c r="Q377" s="10"/>
      <c r="R377" s="10"/>
      <c r="S377" s="10"/>
      <c r="T377" s="10"/>
      <c r="U377" s="10"/>
      <c r="V377" s="10"/>
      <c r="W377" s="10"/>
      <c r="X377" s="10"/>
    </row>
    <row r="378">
      <c r="A378" s="234">
        <v>45373.0</v>
      </c>
      <c r="B378" s="235">
        <v>12.0</v>
      </c>
      <c r="C378" s="238" t="s">
        <v>2442</v>
      </c>
      <c r="D378" s="232" t="s">
        <v>1226</v>
      </c>
      <c r="E378" s="233">
        <v>1.0</v>
      </c>
      <c r="F378" s="26" t="s">
        <v>190</v>
      </c>
      <c r="G378" s="233"/>
      <c r="H378" s="26"/>
      <c r="I378" s="233"/>
      <c r="J378" s="26"/>
      <c r="K378" s="233"/>
      <c r="L378" s="26"/>
      <c r="M378" s="224"/>
      <c r="N378" s="220"/>
      <c r="O378" s="147"/>
      <c r="P378" s="147"/>
      <c r="Q378" s="10"/>
      <c r="R378" s="10"/>
      <c r="S378" s="10"/>
      <c r="T378" s="10"/>
      <c r="U378" s="10"/>
      <c r="V378" s="10"/>
      <c r="W378" s="10"/>
      <c r="X378" s="10"/>
    </row>
    <row r="379">
      <c r="A379" s="216">
        <v>45373.0</v>
      </c>
      <c r="B379" s="221">
        <v>12.0</v>
      </c>
      <c r="C379" s="247" t="s">
        <v>2443</v>
      </c>
      <c r="D379" s="222" t="s">
        <v>38</v>
      </c>
      <c r="E379" s="223"/>
      <c r="F379" s="26"/>
      <c r="G379" s="223">
        <v>5.0</v>
      </c>
      <c r="H379" s="26" t="s">
        <v>190</v>
      </c>
      <c r="I379" s="223"/>
      <c r="J379" s="26"/>
      <c r="K379" s="223"/>
      <c r="L379" s="26"/>
      <c r="M379" s="224"/>
      <c r="N379" s="220"/>
      <c r="O379" s="147"/>
      <c r="P379" s="147"/>
      <c r="Q379" s="10"/>
      <c r="R379" s="10"/>
      <c r="S379" s="10"/>
      <c r="T379" s="10"/>
      <c r="U379" s="10"/>
      <c r="V379" s="10"/>
      <c r="W379" s="10"/>
      <c r="X379" s="10"/>
    </row>
    <row r="380">
      <c r="A380" s="234">
        <v>45373.0</v>
      </c>
      <c r="B380" s="235">
        <v>12.0</v>
      </c>
      <c r="C380" s="238" t="s">
        <v>2444</v>
      </c>
      <c r="D380" s="232" t="s">
        <v>175</v>
      </c>
      <c r="E380" s="233">
        <v>1.0</v>
      </c>
      <c r="F380" s="26" t="s">
        <v>190</v>
      </c>
      <c r="G380" s="233"/>
      <c r="H380" s="26"/>
      <c r="I380" s="233"/>
      <c r="J380" s="26"/>
      <c r="K380" s="233"/>
      <c r="L380" s="26"/>
      <c r="M380" s="224"/>
      <c r="N380" s="220"/>
      <c r="O380" s="147"/>
      <c r="P380" s="147"/>
      <c r="Q380" s="10"/>
      <c r="R380" s="10"/>
      <c r="S380" s="10"/>
      <c r="T380" s="10"/>
      <c r="U380" s="10"/>
      <c r="V380" s="10"/>
      <c r="W380" s="10"/>
      <c r="X380" s="10"/>
    </row>
    <row r="381">
      <c r="A381" s="234">
        <v>45373.0</v>
      </c>
      <c r="B381" s="235">
        <v>12.0</v>
      </c>
      <c r="C381" s="238" t="s">
        <v>2445</v>
      </c>
      <c r="D381" s="232" t="s">
        <v>2104</v>
      </c>
      <c r="E381" s="233"/>
      <c r="F381" s="26"/>
      <c r="G381" s="233">
        <v>3.0</v>
      </c>
      <c r="H381" s="26" t="s">
        <v>190</v>
      </c>
      <c r="I381" s="233">
        <v>5.0</v>
      </c>
      <c r="J381" s="26" t="s">
        <v>190</v>
      </c>
      <c r="K381" s="233"/>
      <c r="L381" s="26"/>
      <c r="M381" s="224"/>
      <c r="N381" s="220"/>
      <c r="O381" s="147"/>
      <c r="P381" s="147"/>
      <c r="Q381" s="10"/>
      <c r="R381" s="10"/>
      <c r="S381" s="10"/>
      <c r="T381" s="10"/>
      <c r="U381" s="10"/>
      <c r="V381" s="10"/>
      <c r="W381" s="10"/>
      <c r="X381" s="10"/>
    </row>
    <row r="382">
      <c r="A382" s="234">
        <v>45373.0</v>
      </c>
      <c r="B382" s="235">
        <v>12.0</v>
      </c>
      <c r="C382" s="238" t="s">
        <v>2446</v>
      </c>
      <c r="D382" s="232" t="s">
        <v>54</v>
      </c>
      <c r="E382" s="233"/>
      <c r="F382" s="26"/>
      <c r="G382" s="233">
        <v>10.0</v>
      </c>
      <c r="H382" s="26" t="s">
        <v>190</v>
      </c>
      <c r="I382" s="233">
        <v>20.0</v>
      </c>
      <c r="J382" s="26" t="s">
        <v>190</v>
      </c>
      <c r="K382" s="233"/>
      <c r="L382" s="26"/>
      <c r="M382" s="224"/>
      <c r="N382" s="220"/>
      <c r="O382" s="147"/>
      <c r="P382" s="147"/>
      <c r="Q382" s="10"/>
      <c r="R382" s="10"/>
      <c r="S382" s="10"/>
      <c r="T382" s="10"/>
      <c r="U382" s="10"/>
      <c r="V382" s="10"/>
      <c r="W382" s="10"/>
      <c r="X382" s="10"/>
    </row>
    <row r="383">
      <c r="A383" s="234">
        <v>45366.0</v>
      </c>
      <c r="B383" s="235">
        <v>11.0</v>
      </c>
      <c r="C383" s="238" t="s">
        <v>2447</v>
      </c>
      <c r="D383" s="232" t="s">
        <v>44</v>
      </c>
      <c r="E383" s="233">
        <v>11.0</v>
      </c>
      <c r="F383" s="26" t="s">
        <v>190</v>
      </c>
      <c r="G383" s="233"/>
      <c r="H383" s="26"/>
      <c r="I383" s="233"/>
      <c r="J383" s="26"/>
      <c r="K383" s="233"/>
      <c r="L383" s="26"/>
      <c r="M383" s="224"/>
      <c r="N383" s="220"/>
      <c r="O383" s="147"/>
      <c r="P383" s="147"/>
      <c r="Q383" s="10"/>
      <c r="R383" s="10"/>
      <c r="S383" s="10"/>
      <c r="T383" s="10"/>
      <c r="U383" s="10"/>
      <c r="V383" s="10"/>
      <c r="W383" s="10"/>
      <c r="X383" s="10"/>
    </row>
    <row r="384">
      <c r="A384" s="234">
        <v>45366.0</v>
      </c>
      <c r="B384" s="235">
        <v>11.0</v>
      </c>
      <c r="C384" s="238" t="s">
        <v>2448</v>
      </c>
      <c r="D384" s="232" t="s">
        <v>84</v>
      </c>
      <c r="E384" s="233"/>
      <c r="F384" s="26"/>
      <c r="G384" s="233">
        <v>12.0</v>
      </c>
      <c r="H384" s="26" t="s">
        <v>190</v>
      </c>
      <c r="I384" s="233"/>
      <c r="J384" s="26"/>
      <c r="K384" s="233"/>
      <c r="L384" s="26"/>
      <c r="M384" s="224"/>
      <c r="N384" s="220"/>
      <c r="O384" s="147"/>
      <c r="P384" s="147"/>
      <c r="Q384" s="10"/>
      <c r="R384" s="10"/>
      <c r="S384" s="10"/>
      <c r="T384" s="10"/>
      <c r="U384" s="10"/>
      <c r="V384" s="10"/>
      <c r="W384" s="10"/>
      <c r="X384" s="10"/>
    </row>
    <row r="385">
      <c r="A385" s="234">
        <v>45366.0</v>
      </c>
      <c r="B385" s="235">
        <v>11.0</v>
      </c>
      <c r="C385" s="238" t="s">
        <v>2449</v>
      </c>
      <c r="D385" s="232" t="s">
        <v>1226</v>
      </c>
      <c r="E385" s="233">
        <v>5.0</v>
      </c>
      <c r="F385" s="26" t="s">
        <v>190</v>
      </c>
      <c r="G385" s="233"/>
      <c r="H385" s="26"/>
      <c r="I385" s="233"/>
      <c r="J385" s="26"/>
      <c r="K385" s="233"/>
      <c r="L385" s="26"/>
      <c r="M385" s="224"/>
      <c r="N385" s="220"/>
      <c r="O385" s="147"/>
      <c r="P385" s="147"/>
      <c r="Q385" s="10"/>
      <c r="R385" s="10"/>
      <c r="S385" s="10"/>
      <c r="T385" s="10"/>
      <c r="U385" s="10"/>
      <c r="V385" s="10"/>
      <c r="W385" s="10"/>
      <c r="X385" s="10"/>
    </row>
    <row r="386">
      <c r="A386" s="234">
        <v>45366.0</v>
      </c>
      <c r="B386" s="235">
        <v>11.0</v>
      </c>
      <c r="C386" s="238" t="s">
        <v>2450</v>
      </c>
      <c r="D386" s="232" t="s">
        <v>175</v>
      </c>
      <c r="E386" s="233">
        <v>1.0</v>
      </c>
      <c r="F386" s="26" t="s">
        <v>190</v>
      </c>
      <c r="G386" s="233"/>
      <c r="H386" s="26"/>
      <c r="I386" s="233"/>
      <c r="J386" s="26"/>
      <c r="K386" s="233"/>
      <c r="L386" s="26"/>
      <c r="M386" s="224"/>
      <c r="N386" s="220"/>
      <c r="O386" s="147"/>
      <c r="P386" s="147"/>
      <c r="Q386" s="10"/>
      <c r="R386" s="10"/>
      <c r="S386" s="10"/>
      <c r="T386" s="10"/>
      <c r="U386" s="10"/>
      <c r="V386" s="10"/>
      <c r="W386" s="10"/>
      <c r="X386" s="10"/>
    </row>
    <row r="387">
      <c r="A387" s="234">
        <v>45366.0</v>
      </c>
      <c r="B387" s="235">
        <v>11.0</v>
      </c>
      <c r="C387" s="238" t="s">
        <v>2451</v>
      </c>
      <c r="D387" s="232" t="s">
        <v>2104</v>
      </c>
      <c r="E387" s="233"/>
      <c r="F387" s="26"/>
      <c r="G387" s="233">
        <v>4.0</v>
      </c>
      <c r="H387" s="26" t="s">
        <v>190</v>
      </c>
      <c r="I387" s="233">
        <v>3.0</v>
      </c>
      <c r="J387" s="26" t="s">
        <v>190</v>
      </c>
      <c r="K387" s="233"/>
      <c r="L387" s="26"/>
      <c r="M387" s="224"/>
      <c r="N387" s="220"/>
      <c r="O387" s="147"/>
      <c r="P387" s="147"/>
      <c r="Q387" s="10"/>
      <c r="R387" s="10"/>
      <c r="S387" s="10"/>
      <c r="T387" s="10"/>
      <c r="U387" s="10"/>
      <c r="V387" s="10"/>
      <c r="W387" s="10"/>
      <c r="X387" s="10"/>
    </row>
    <row r="388">
      <c r="A388" s="234">
        <v>45366.0</v>
      </c>
      <c r="B388" s="235">
        <v>11.0</v>
      </c>
      <c r="C388" s="238" t="s">
        <v>2452</v>
      </c>
      <c r="D388" s="232" t="s">
        <v>54</v>
      </c>
      <c r="E388" s="233"/>
      <c r="F388" s="26"/>
      <c r="G388" s="233">
        <v>5.0</v>
      </c>
      <c r="H388" s="26" t="s">
        <v>190</v>
      </c>
      <c r="I388" s="233">
        <v>5.0</v>
      </c>
      <c r="J388" s="26" t="s">
        <v>190</v>
      </c>
      <c r="K388" s="233"/>
      <c r="L388" s="26"/>
      <c r="M388" s="224"/>
      <c r="N388" s="220"/>
      <c r="O388" s="147"/>
      <c r="P388" s="147"/>
      <c r="Q388" s="10"/>
      <c r="R388" s="10"/>
      <c r="S388" s="10"/>
      <c r="T388" s="10"/>
      <c r="U388" s="10"/>
      <c r="V388" s="10"/>
      <c r="W388" s="10"/>
      <c r="X388" s="10"/>
    </row>
    <row r="389">
      <c r="A389" s="234">
        <v>45359.0</v>
      </c>
      <c r="B389" s="235">
        <v>10.0</v>
      </c>
      <c r="C389" s="235" t="s">
        <v>2453</v>
      </c>
      <c r="D389" s="232" t="s">
        <v>44</v>
      </c>
      <c r="E389" s="233">
        <v>12.0</v>
      </c>
      <c r="F389" s="26" t="s">
        <v>190</v>
      </c>
      <c r="G389" s="233"/>
      <c r="H389" s="26"/>
      <c r="I389" s="233"/>
      <c r="J389" s="26"/>
      <c r="K389" s="233"/>
      <c r="L389" s="26"/>
      <c r="M389" s="224"/>
      <c r="N389" s="220"/>
      <c r="O389" s="147"/>
      <c r="P389" s="147"/>
      <c r="Q389" s="10"/>
      <c r="R389" s="10"/>
      <c r="S389" s="10"/>
      <c r="T389" s="10"/>
      <c r="U389" s="10"/>
      <c r="V389" s="10"/>
      <c r="W389" s="10"/>
      <c r="X389" s="10"/>
    </row>
    <row r="390">
      <c r="A390" s="234">
        <v>45359.0</v>
      </c>
      <c r="B390" s="235">
        <v>10.0</v>
      </c>
      <c r="C390" s="238" t="s">
        <v>2454</v>
      </c>
      <c r="D390" s="232" t="s">
        <v>84</v>
      </c>
      <c r="E390" s="233"/>
      <c r="F390" s="26"/>
      <c r="G390" s="233">
        <v>9.0</v>
      </c>
      <c r="H390" s="26" t="s">
        <v>190</v>
      </c>
      <c r="I390" s="233"/>
      <c r="J390" s="26"/>
      <c r="K390" s="233"/>
      <c r="L390" s="26"/>
      <c r="M390" s="224"/>
      <c r="N390" s="220"/>
      <c r="O390" s="147"/>
      <c r="P390" s="147"/>
      <c r="Q390" s="10"/>
      <c r="R390" s="10"/>
      <c r="S390" s="10"/>
      <c r="T390" s="10"/>
      <c r="U390" s="10"/>
      <c r="V390" s="10"/>
      <c r="W390" s="10"/>
      <c r="X390" s="10"/>
    </row>
    <row r="391">
      <c r="A391" s="234">
        <v>45359.0</v>
      </c>
      <c r="B391" s="235">
        <v>10.0</v>
      </c>
      <c r="C391" s="238" t="s">
        <v>2455</v>
      </c>
      <c r="D391" s="232" t="s">
        <v>1226</v>
      </c>
      <c r="E391" s="233">
        <v>6.0</v>
      </c>
      <c r="F391" s="26" t="s">
        <v>190</v>
      </c>
      <c r="G391" s="233"/>
      <c r="H391" s="26"/>
      <c r="I391" s="233"/>
      <c r="J391" s="26"/>
      <c r="K391" s="233"/>
      <c r="L391" s="26"/>
      <c r="M391" s="224"/>
      <c r="N391" s="220"/>
      <c r="O391" s="147"/>
      <c r="P391" s="147"/>
      <c r="Q391" s="10"/>
      <c r="R391" s="10"/>
      <c r="S391" s="10"/>
      <c r="T391" s="10"/>
      <c r="U391" s="10"/>
      <c r="V391" s="10"/>
      <c r="W391" s="10"/>
      <c r="X391" s="10"/>
    </row>
    <row r="392">
      <c r="A392" s="234">
        <v>45359.0</v>
      </c>
      <c r="B392" s="235">
        <v>10.0</v>
      </c>
      <c r="C392" s="238" t="s">
        <v>2456</v>
      </c>
      <c r="D392" s="232" t="s">
        <v>38</v>
      </c>
      <c r="E392" s="233"/>
      <c r="F392" s="26"/>
      <c r="G392" s="233">
        <v>4.0</v>
      </c>
      <c r="H392" s="26" t="s">
        <v>190</v>
      </c>
      <c r="I392" s="233"/>
      <c r="J392" s="26"/>
      <c r="K392" s="233"/>
      <c r="L392" s="26"/>
      <c r="M392" s="224"/>
      <c r="N392" s="220"/>
      <c r="O392" s="147"/>
      <c r="P392" s="147"/>
      <c r="Q392" s="10"/>
      <c r="R392" s="10"/>
      <c r="S392" s="10"/>
      <c r="T392" s="10"/>
      <c r="U392" s="10"/>
      <c r="V392" s="10"/>
      <c r="W392" s="10"/>
      <c r="X392" s="10"/>
    </row>
    <row r="393">
      <c r="A393" s="234">
        <v>45359.0</v>
      </c>
      <c r="B393" s="235">
        <v>10.0</v>
      </c>
      <c r="C393" s="238" t="s">
        <v>2457</v>
      </c>
      <c r="D393" s="232" t="s">
        <v>175</v>
      </c>
      <c r="E393" s="233">
        <v>2.0</v>
      </c>
      <c r="F393" s="26" t="s">
        <v>190</v>
      </c>
      <c r="G393" s="233"/>
      <c r="H393" s="26"/>
      <c r="I393" s="233"/>
      <c r="J393" s="26"/>
      <c r="K393" s="233"/>
      <c r="L393" s="26"/>
      <c r="M393" s="224"/>
      <c r="N393" s="220"/>
      <c r="O393" s="147"/>
      <c r="P393" s="147"/>
      <c r="Q393" s="10"/>
      <c r="R393" s="10"/>
      <c r="S393" s="10"/>
      <c r="T393" s="10"/>
      <c r="U393" s="10"/>
      <c r="V393" s="10"/>
      <c r="W393" s="10"/>
      <c r="X393" s="10"/>
    </row>
    <row r="394">
      <c r="A394" s="234">
        <v>45359.0</v>
      </c>
      <c r="B394" s="235">
        <v>10.0</v>
      </c>
      <c r="C394" s="238" t="s">
        <v>2458</v>
      </c>
      <c r="D394" s="232" t="s">
        <v>2104</v>
      </c>
      <c r="E394" s="233"/>
      <c r="F394" s="26"/>
      <c r="G394" s="233">
        <v>2.0</v>
      </c>
      <c r="H394" s="26" t="s">
        <v>190</v>
      </c>
      <c r="I394" s="233">
        <v>7.0</v>
      </c>
      <c r="J394" s="26" t="s">
        <v>190</v>
      </c>
      <c r="K394" s="233"/>
      <c r="L394" s="26"/>
      <c r="M394" s="224"/>
      <c r="N394" s="220"/>
      <c r="O394" s="147"/>
      <c r="P394" s="147"/>
      <c r="Q394" s="10"/>
      <c r="R394" s="10"/>
      <c r="S394" s="10"/>
      <c r="T394" s="10"/>
      <c r="U394" s="10"/>
      <c r="V394" s="10"/>
      <c r="W394" s="10"/>
      <c r="X394" s="10"/>
    </row>
    <row r="395">
      <c r="A395" s="234">
        <v>45359.0</v>
      </c>
      <c r="B395" s="235">
        <v>10.0</v>
      </c>
      <c r="C395" s="238" t="s">
        <v>2459</v>
      </c>
      <c r="D395" s="232" t="s">
        <v>54</v>
      </c>
      <c r="E395" s="233"/>
      <c r="F395" s="26"/>
      <c r="G395" s="233">
        <v>6.0</v>
      </c>
      <c r="H395" s="26" t="s">
        <v>190</v>
      </c>
      <c r="I395" s="233">
        <v>11.0</v>
      </c>
      <c r="J395" s="26" t="s">
        <v>190</v>
      </c>
      <c r="K395" s="233"/>
      <c r="L395" s="26"/>
      <c r="M395" s="224"/>
      <c r="N395" s="220"/>
      <c r="O395" s="147"/>
      <c r="P395" s="147"/>
      <c r="Q395" s="10"/>
      <c r="R395" s="10"/>
      <c r="S395" s="10"/>
      <c r="T395" s="10"/>
      <c r="U395" s="10"/>
      <c r="V395" s="10"/>
      <c r="W395" s="10"/>
      <c r="X395" s="10"/>
    </row>
    <row r="396">
      <c r="A396" s="234">
        <v>45352.0</v>
      </c>
      <c r="B396" s="235">
        <v>9.0</v>
      </c>
      <c r="C396" s="235" t="s">
        <v>2460</v>
      </c>
      <c r="D396" s="232" t="s">
        <v>44</v>
      </c>
      <c r="E396" s="233">
        <v>3.0</v>
      </c>
      <c r="F396" s="26" t="s">
        <v>190</v>
      </c>
      <c r="G396" s="233"/>
      <c r="H396" s="26"/>
      <c r="I396" s="233"/>
      <c r="J396" s="26"/>
      <c r="K396" s="233"/>
      <c r="L396" s="26"/>
      <c r="M396" s="224"/>
      <c r="N396" s="220"/>
      <c r="O396" s="147"/>
      <c r="P396" s="147"/>
      <c r="Q396" s="10"/>
      <c r="R396" s="10"/>
      <c r="S396" s="10"/>
      <c r="T396" s="10"/>
      <c r="U396" s="10"/>
      <c r="V396" s="10"/>
      <c r="W396" s="10"/>
      <c r="X396" s="10"/>
    </row>
    <row r="397">
      <c r="A397" s="251">
        <v>45352.0</v>
      </c>
      <c r="B397" s="238">
        <v>9.0</v>
      </c>
      <c r="C397" s="238" t="s">
        <v>2461</v>
      </c>
      <c r="D397" s="238" t="s">
        <v>84</v>
      </c>
      <c r="E397" s="252"/>
      <c r="F397" s="26"/>
      <c r="G397" s="238">
        <v>2.0</v>
      </c>
      <c r="H397" s="26" t="s">
        <v>190</v>
      </c>
      <c r="I397" s="252"/>
      <c r="J397" s="26"/>
      <c r="K397" s="252"/>
      <c r="L397" s="26"/>
      <c r="M397" s="224"/>
      <c r="N397" s="220"/>
      <c r="O397" s="147"/>
      <c r="P397" s="147"/>
      <c r="Q397" s="10"/>
      <c r="R397" s="10"/>
      <c r="S397" s="10"/>
      <c r="T397" s="10"/>
      <c r="U397" s="10"/>
      <c r="V397" s="10"/>
      <c r="W397" s="10"/>
      <c r="X397" s="10"/>
    </row>
    <row r="398">
      <c r="A398" s="234">
        <v>45352.0</v>
      </c>
      <c r="B398" s="235">
        <v>9.0</v>
      </c>
      <c r="C398" s="238" t="s">
        <v>2462</v>
      </c>
      <c r="D398" s="232" t="s">
        <v>1226</v>
      </c>
      <c r="E398" s="233">
        <v>5.0</v>
      </c>
      <c r="F398" s="26" t="s">
        <v>190</v>
      </c>
      <c r="G398" s="233"/>
      <c r="H398" s="26"/>
      <c r="I398" s="233"/>
      <c r="J398" s="26"/>
      <c r="K398" s="233"/>
      <c r="L398" s="26"/>
      <c r="M398" s="224"/>
      <c r="N398" s="220"/>
      <c r="O398" s="147"/>
      <c r="P398" s="147"/>
      <c r="Q398" s="10"/>
      <c r="R398" s="10"/>
      <c r="S398" s="10"/>
      <c r="T398" s="10"/>
      <c r="U398" s="10"/>
      <c r="V398" s="10"/>
      <c r="W398" s="10"/>
      <c r="X398" s="10"/>
    </row>
    <row r="399">
      <c r="A399" s="251">
        <v>45352.0</v>
      </c>
      <c r="B399" s="238">
        <v>9.0</v>
      </c>
      <c r="C399" s="238" t="s">
        <v>2463</v>
      </c>
      <c r="D399" s="238" t="s">
        <v>175</v>
      </c>
      <c r="E399" s="238">
        <v>2.0</v>
      </c>
      <c r="F399" s="26" t="s">
        <v>190</v>
      </c>
      <c r="G399" s="252"/>
      <c r="H399" s="26"/>
      <c r="I399" s="252"/>
      <c r="J399" s="26"/>
      <c r="K399" s="252"/>
      <c r="L399" s="26"/>
      <c r="M399" s="224"/>
      <c r="N399" s="220"/>
      <c r="O399" s="147"/>
      <c r="P399" s="147"/>
      <c r="Q399" s="10"/>
      <c r="R399" s="10"/>
      <c r="S399" s="10"/>
      <c r="T399" s="10"/>
      <c r="U399" s="10"/>
      <c r="V399" s="10"/>
      <c r="W399" s="10"/>
      <c r="X399" s="10"/>
    </row>
    <row r="400">
      <c r="A400" s="251">
        <v>45352.0</v>
      </c>
      <c r="B400" s="238">
        <v>9.0</v>
      </c>
      <c r="C400" s="238" t="s">
        <v>2464</v>
      </c>
      <c r="D400" s="238" t="s">
        <v>2104</v>
      </c>
      <c r="E400" s="252"/>
      <c r="F400" s="26"/>
      <c r="G400" s="238">
        <v>7.0</v>
      </c>
      <c r="H400" s="26" t="s">
        <v>190</v>
      </c>
      <c r="I400" s="238">
        <v>7.0</v>
      </c>
      <c r="J400" s="26" t="s">
        <v>190</v>
      </c>
      <c r="K400" s="238"/>
      <c r="L400" s="26"/>
      <c r="M400" s="224"/>
      <c r="N400" s="220"/>
      <c r="O400" s="147"/>
      <c r="P400" s="147"/>
      <c r="Q400" s="10"/>
      <c r="R400" s="10"/>
      <c r="S400" s="10"/>
      <c r="T400" s="10"/>
      <c r="U400" s="10"/>
      <c r="V400" s="10"/>
      <c r="W400" s="10"/>
      <c r="X400" s="10"/>
    </row>
    <row r="401">
      <c r="A401" s="251">
        <v>45352.0</v>
      </c>
      <c r="B401" s="238">
        <v>9.0</v>
      </c>
      <c r="C401" s="238" t="s">
        <v>2465</v>
      </c>
      <c r="D401" s="232" t="s">
        <v>54</v>
      </c>
      <c r="E401" s="233"/>
      <c r="F401" s="26"/>
      <c r="G401" s="233">
        <v>6.0</v>
      </c>
      <c r="H401" s="26" t="s">
        <v>190</v>
      </c>
      <c r="I401" s="233">
        <v>12.0</v>
      </c>
      <c r="J401" s="26" t="s">
        <v>190</v>
      </c>
      <c r="K401" s="233"/>
      <c r="L401" s="26"/>
      <c r="M401" s="224"/>
      <c r="N401" s="220"/>
      <c r="O401" s="147"/>
      <c r="P401" s="147"/>
      <c r="Q401" s="10"/>
      <c r="R401" s="10"/>
      <c r="S401" s="10"/>
      <c r="T401" s="10"/>
      <c r="U401" s="10"/>
      <c r="V401" s="10"/>
      <c r="W401" s="10"/>
      <c r="X401" s="10"/>
    </row>
    <row r="402">
      <c r="A402" s="251">
        <v>45345.0</v>
      </c>
      <c r="B402" s="238">
        <v>8.0</v>
      </c>
      <c r="C402" s="238" t="s">
        <v>2466</v>
      </c>
      <c r="D402" s="238" t="s">
        <v>44</v>
      </c>
      <c r="E402" s="238">
        <v>7.0</v>
      </c>
      <c r="F402" s="26" t="s">
        <v>190</v>
      </c>
      <c r="G402" s="252"/>
      <c r="H402" s="26"/>
      <c r="I402" s="252"/>
      <c r="J402" s="26"/>
      <c r="K402" s="252"/>
      <c r="L402" s="26"/>
      <c r="M402" s="224"/>
      <c r="N402" s="220"/>
      <c r="O402" s="147"/>
      <c r="P402" s="147"/>
      <c r="Q402" s="10"/>
      <c r="R402" s="10"/>
      <c r="S402" s="10"/>
      <c r="T402" s="10"/>
      <c r="U402" s="10"/>
      <c r="V402" s="10"/>
      <c r="W402" s="10"/>
      <c r="X402" s="10"/>
    </row>
    <row r="403">
      <c r="A403" s="251">
        <v>45345.0</v>
      </c>
      <c r="B403" s="238">
        <v>8.0</v>
      </c>
      <c r="C403" s="238" t="s">
        <v>2467</v>
      </c>
      <c r="D403" s="238" t="s">
        <v>84</v>
      </c>
      <c r="E403" s="252"/>
      <c r="F403" s="26"/>
      <c r="G403" s="238">
        <v>10.0</v>
      </c>
      <c r="H403" s="26" t="s">
        <v>190</v>
      </c>
      <c r="I403" s="252"/>
      <c r="J403" s="26"/>
      <c r="K403" s="252"/>
      <c r="L403" s="26"/>
      <c r="M403" s="224"/>
      <c r="N403" s="220"/>
      <c r="O403" s="147"/>
      <c r="P403" s="147"/>
      <c r="Q403" s="10"/>
      <c r="R403" s="10"/>
      <c r="S403" s="10"/>
      <c r="T403" s="10"/>
      <c r="U403" s="10"/>
      <c r="V403" s="10"/>
      <c r="W403" s="10"/>
      <c r="X403" s="10"/>
    </row>
    <row r="404">
      <c r="A404" s="251">
        <v>45345.0</v>
      </c>
      <c r="B404" s="238">
        <v>8.0</v>
      </c>
      <c r="C404" s="238" t="s">
        <v>2468</v>
      </c>
      <c r="D404" s="238" t="s">
        <v>1226</v>
      </c>
      <c r="E404" s="238">
        <v>8.0</v>
      </c>
      <c r="F404" s="26" t="s">
        <v>190</v>
      </c>
      <c r="G404" s="252"/>
      <c r="H404" s="26"/>
      <c r="I404" s="252"/>
      <c r="J404" s="26"/>
      <c r="K404" s="252"/>
      <c r="L404" s="26"/>
      <c r="M404" s="224"/>
      <c r="N404" s="220"/>
      <c r="O404" s="147"/>
      <c r="P404" s="147"/>
      <c r="Q404" s="10"/>
      <c r="R404" s="10"/>
      <c r="S404" s="10"/>
      <c r="T404" s="10"/>
      <c r="U404" s="10"/>
      <c r="V404" s="10"/>
      <c r="W404" s="10"/>
      <c r="X404" s="10"/>
    </row>
    <row r="405">
      <c r="A405" s="251">
        <v>45345.0</v>
      </c>
      <c r="B405" s="238">
        <v>8.0</v>
      </c>
      <c r="C405" s="238" t="s">
        <v>2469</v>
      </c>
      <c r="D405" s="238" t="s">
        <v>38</v>
      </c>
      <c r="E405" s="252"/>
      <c r="F405" s="26"/>
      <c r="G405" s="238">
        <v>2.0</v>
      </c>
      <c r="H405" s="26" t="s">
        <v>190</v>
      </c>
      <c r="I405" s="252"/>
      <c r="J405" s="26"/>
      <c r="K405" s="252"/>
      <c r="L405" s="26"/>
      <c r="M405" s="224"/>
      <c r="N405" s="220"/>
      <c r="O405" s="147"/>
      <c r="P405" s="147"/>
      <c r="Q405" s="10"/>
      <c r="R405" s="10"/>
      <c r="S405" s="10"/>
      <c r="T405" s="10"/>
      <c r="U405" s="10"/>
      <c r="V405" s="10"/>
      <c r="W405" s="10"/>
      <c r="X405" s="10"/>
    </row>
    <row r="406">
      <c r="A406" s="251">
        <v>45345.0</v>
      </c>
      <c r="B406" s="238">
        <v>8.0</v>
      </c>
      <c r="C406" s="238" t="s">
        <v>2470</v>
      </c>
      <c r="D406" s="238" t="s">
        <v>2104</v>
      </c>
      <c r="E406" s="252"/>
      <c r="F406" s="26"/>
      <c r="G406" s="238">
        <v>10.0</v>
      </c>
      <c r="H406" s="26" t="s">
        <v>190</v>
      </c>
      <c r="I406" s="238">
        <v>11.0</v>
      </c>
      <c r="J406" s="26" t="s">
        <v>190</v>
      </c>
      <c r="K406" s="238"/>
      <c r="L406" s="26"/>
      <c r="M406" s="224"/>
      <c r="N406" s="220"/>
      <c r="O406" s="147"/>
      <c r="P406" s="147"/>
      <c r="Q406" s="10"/>
      <c r="R406" s="10"/>
      <c r="S406" s="10"/>
      <c r="T406" s="10"/>
      <c r="U406" s="10"/>
      <c r="V406" s="10"/>
      <c r="W406" s="10"/>
      <c r="X406" s="10"/>
    </row>
    <row r="407">
      <c r="A407" s="251">
        <v>45345.0</v>
      </c>
      <c r="B407" s="238">
        <v>8.0</v>
      </c>
      <c r="C407" s="238" t="s">
        <v>2471</v>
      </c>
      <c r="D407" s="238" t="s">
        <v>54</v>
      </c>
      <c r="E407" s="252"/>
      <c r="F407" s="26"/>
      <c r="G407" s="238">
        <v>5.0</v>
      </c>
      <c r="H407" s="26" t="s">
        <v>190</v>
      </c>
      <c r="I407" s="238">
        <v>21.0</v>
      </c>
      <c r="J407" s="26" t="s">
        <v>190</v>
      </c>
      <c r="K407" s="238"/>
      <c r="L407" s="26"/>
      <c r="M407" s="224"/>
      <c r="N407" s="220"/>
      <c r="O407" s="147"/>
      <c r="P407" s="147"/>
      <c r="Q407" s="10"/>
      <c r="R407" s="10"/>
      <c r="S407" s="10"/>
      <c r="T407" s="10"/>
      <c r="U407" s="10"/>
      <c r="V407" s="10"/>
      <c r="W407" s="10"/>
      <c r="X407" s="10"/>
    </row>
    <row r="408">
      <c r="A408" s="251">
        <v>45338.0</v>
      </c>
      <c r="B408" s="238">
        <v>7.0</v>
      </c>
      <c r="C408" s="238" t="s">
        <v>2472</v>
      </c>
      <c r="D408" s="238" t="s">
        <v>1226</v>
      </c>
      <c r="E408" s="238">
        <v>6.0</v>
      </c>
      <c r="F408" s="26" t="s">
        <v>190</v>
      </c>
      <c r="G408" s="252"/>
      <c r="H408" s="26"/>
      <c r="I408" s="252"/>
      <c r="J408" s="26"/>
      <c r="K408" s="252"/>
      <c r="L408" s="26"/>
      <c r="M408" s="224"/>
      <c r="N408" s="220"/>
      <c r="O408" s="147"/>
      <c r="P408" s="147"/>
      <c r="Q408" s="10"/>
      <c r="R408" s="10"/>
      <c r="S408" s="10"/>
      <c r="T408" s="10"/>
      <c r="U408" s="10"/>
      <c r="V408" s="10"/>
      <c r="W408" s="10"/>
      <c r="X408" s="10"/>
    </row>
    <row r="409">
      <c r="A409" s="251">
        <v>45338.0</v>
      </c>
      <c r="B409" s="238">
        <v>7.0</v>
      </c>
      <c r="C409" s="238" t="s">
        <v>2472</v>
      </c>
      <c r="D409" s="238" t="s">
        <v>1226</v>
      </c>
      <c r="E409" s="238">
        <v>9.0</v>
      </c>
      <c r="F409" s="26" t="s">
        <v>190</v>
      </c>
      <c r="G409" s="252"/>
      <c r="H409" s="26"/>
      <c r="I409" s="252"/>
      <c r="J409" s="26"/>
      <c r="K409" s="252"/>
      <c r="L409" s="26"/>
      <c r="M409" s="224"/>
      <c r="N409" s="220"/>
      <c r="O409" s="32"/>
      <c r="P409" s="32"/>
      <c r="Q409" s="10"/>
      <c r="R409" s="10"/>
      <c r="S409" s="10"/>
      <c r="T409" s="10"/>
      <c r="U409" s="10"/>
      <c r="V409" s="10"/>
      <c r="W409" s="10"/>
      <c r="X409" s="10"/>
    </row>
    <row r="410">
      <c r="A410" s="251">
        <v>45338.0</v>
      </c>
      <c r="B410" s="238">
        <v>7.0</v>
      </c>
      <c r="C410" s="238" t="s">
        <v>2473</v>
      </c>
      <c r="D410" s="238" t="s">
        <v>2104</v>
      </c>
      <c r="E410" s="252"/>
      <c r="F410" s="26"/>
      <c r="G410" s="238">
        <v>6.0</v>
      </c>
      <c r="H410" s="26" t="s">
        <v>190</v>
      </c>
      <c r="I410" s="238">
        <v>9.0</v>
      </c>
      <c r="J410" s="26" t="s">
        <v>190</v>
      </c>
      <c r="K410" s="238"/>
      <c r="L410" s="26"/>
      <c r="M410" s="224"/>
      <c r="N410" s="220"/>
      <c r="O410" s="147"/>
      <c r="P410" s="147"/>
      <c r="Q410" s="10"/>
      <c r="R410" s="10"/>
      <c r="S410" s="10"/>
      <c r="T410" s="10"/>
      <c r="U410" s="10"/>
      <c r="V410" s="10"/>
      <c r="W410" s="10"/>
      <c r="X410" s="10"/>
    </row>
    <row r="411">
      <c r="A411" s="251">
        <v>45338.0</v>
      </c>
      <c r="B411" s="238">
        <v>7.0</v>
      </c>
      <c r="C411" s="238" t="s">
        <v>2474</v>
      </c>
      <c r="D411" s="238" t="s">
        <v>54</v>
      </c>
      <c r="E411" s="252"/>
      <c r="F411" s="26"/>
      <c r="G411" s="238">
        <v>5.0</v>
      </c>
      <c r="H411" s="26" t="s">
        <v>190</v>
      </c>
      <c r="I411" s="238">
        <v>26.0</v>
      </c>
      <c r="J411" s="26" t="s">
        <v>190</v>
      </c>
      <c r="K411" s="238"/>
      <c r="L411" s="26"/>
      <c r="M411" s="224"/>
      <c r="N411" s="220"/>
      <c r="O411" s="147"/>
      <c r="P411" s="147"/>
      <c r="Q411" s="10"/>
      <c r="R411" s="10"/>
      <c r="S411" s="10"/>
      <c r="T411" s="10"/>
      <c r="U411" s="10"/>
      <c r="V411" s="10"/>
      <c r="W411" s="10"/>
      <c r="X411" s="10"/>
    </row>
    <row r="412">
      <c r="A412" s="253">
        <v>45331.0</v>
      </c>
      <c r="B412" s="238">
        <v>6.0</v>
      </c>
      <c r="C412" s="238" t="s">
        <v>2475</v>
      </c>
      <c r="D412" s="238" t="s">
        <v>84</v>
      </c>
      <c r="E412" s="252"/>
      <c r="F412" s="26"/>
      <c r="G412" s="238">
        <v>3.0</v>
      </c>
      <c r="H412" s="26" t="s">
        <v>190</v>
      </c>
      <c r="I412" s="252"/>
      <c r="J412" s="26"/>
      <c r="K412" s="252"/>
      <c r="L412" s="26"/>
      <c r="M412" s="224"/>
      <c r="N412" s="220"/>
      <c r="O412" s="32"/>
      <c r="P412" s="32"/>
      <c r="Q412" s="10"/>
      <c r="R412" s="10"/>
      <c r="S412" s="10"/>
      <c r="T412" s="10"/>
      <c r="U412" s="10"/>
      <c r="V412" s="10"/>
      <c r="W412" s="10"/>
      <c r="X412" s="10"/>
    </row>
    <row r="413">
      <c r="A413" s="253">
        <v>45331.0</v>
      </c>
      <c r="B413" s="238">
        <v>6.0</v>
      </c>
      <c r="C413" s="252" t="s">
        <v>2476</v>
      </c>
      <c r="D413" s="252" t="s">
        <v>1226</v>
      </c>
      <c r="E413" s="254">
        <v>10.0</v>
      </c>
      <c r="F413" s="26" t="s">
        <v>190</v>
      </c>
      <c r="G413" s="252"/>
      <c r="H413" s="26"/>
      <c r="I413" s="252"/>
      <c r="J413" s="26"/>
      <c r="K413" s="252"/>
      <c r="L413" s="26"/>
      <c r="M413" s="224"/>
      <c r="N413" s="220"/>
      <c r="O413" s="32"/>
      <c r="P413" s="32"/>
      <c r="Q413" s="10"/>
      <c r="R413" s="10"/>
      <c r="S413" s="10"/>
      <c r="T413" s="10"/>
      <c r="U413" s="10"/>
      <c r="V413" s="10"/>
      <c r="W413" s="10"/>
      <c r="X413" s="10"/>
    </row>
    <row r="414">
      <c r="A414" s="253">
        <v>45331.0</v>
      </c>
      <c r="B414" s="238">
        <v>6.0</v>
      </c>
      <c r="C414" s="252" t="s">
        <v>2103</v>
      </c>
      <c r="D414" s="252" t="s">
        <v>2104</v>
      </c>
      <c r="E414" s="252"/>
      <c r="F414" s="26"/>
      <c r="G414" s="255">
        <v>5.0</v>
      </c>
      <c r="H414" s="26" t="s">
        <v>190</v>
      </c>
      <c r="I414" s="238">
        <v>4.0</v>
      </c>
      <c r="J414" s="26" t="s">
        <v>190</v>
      </c>
      <c r="K414" s="238"/>
      <c r="L414" s="26"/>
      <c r="M414" s="224"/>
      <c r="N414" s="220"/>
      <c r="O414" s="32"/>
      <c r="P414" s="32"/>
      <c r="Q414" s="10"/>
      <c r="R414" s="10"/>
      <c r="S414" s="10"/>
      <c r="T414" s="10"/>
      <c r="U414" s="10"/>
      <c r="V414" s="10"/>
      <c r="W414" s="10"/>
      <c r="X414" s="10"/>
    </row>
    <row r="415">
      <c r="A415" s="253">
        <v>45331.0</v>
      </c>
      <c r="B415" s="238">
        <v>6.0</v>
      </c>
      <c r="C415" s="252" t="s">
        <v>2477</v>
      </c>
      <c r="D415" s="252" t="s">
        <v>54</v>
      </c>
      <c r="E415" s="252"/>
      <c r="F415" s="26"/>
      <c r="G415" s="255">
        <v>12.0</v>
      </c>
      <c r="H415" s="26" t="s">
        <v>190</v>
      </c>
      <c r="I415" s="255">
        <v>33.0</v>
      </c>
      <c r="J415" s="26" t="s">
        <v>190</v>
      </c>
      <c r="K415" s="255"/>
      <c r="L415" s="26"/>
      <c r="M415" s="224"/>
      <c r="N415" s="220"/>
      <c r="O415" s="32"/>
      <c r="P415" s="32"/>
      <c r="Q415" s="10"/>
      <c r="R415" s="10"/>
      <c r="S415" s="10"/>
      <c r="T415" s="10"/>
      <c r="U415" s="10"/>
      <c r="V415" s="10"/>
      <c r="W415" s="10"/>
      <c r="X415" s="10"/>
    </row>
    <row r="416">
      <c r="A416" s="253">
        <v>45331.0</v>
      </c>
      <c r="B416" s="238">
        <v>6.0</v>
      </c>
      <c r="C416" s="252" t="s">
        <v>2101</v>
      </c>
      <c r="D416" s="252" t="s">
        <v>44</v>
      </c>
      <c r="E416" s="255">
        <v>5.0</v>
      </c>
      <c r="F416" s="26" t="s">
        <v>190</v>
      </c>
      <c r="G416" s="252"/>
      <c r="H416" s="26"/>
      <c r="I416" s="252"/>
      <c r="J416" s="26"/>
      <c r="K416" s="252"/>
      <c r="L416" s="26"/>
      <c r="M416" s="224"/>
      <c r="N416" s="220"/>
      <c r="O416" s="32"/>
      <c r="P416" s="32"/>
      <c r="Q416" s="10"/>
      <c r="R416" s="10"/>
      <c r="S416" s="10"/>
      <c r="T416" s="10"/>
      <c r="U416" s="10"/>
      <c r="V416" s="10"/>
      <c r="W416" s="10"/>
      <c r="X416" s="10"/>
    </row>
    <row r="417">
      <c r="A417" s="253">
        <v>45324.0</v>
      </c>
      <c r="B417" s="238">
        <v>5.0</v>
      </c>
      <c r="C417" s="252" t="s">
        <v>2478</v>
      </c>
      <c r="D417" s="252" t="s">
        <v>1226</v>
      </c>
      <c r="E417" s="255">
        <v>12.0</v>
      </c>
      <c r="F417" s="26" t="s">
        <v>190</v>
      </c>
      <c r="G417" s="252"/>
      <c r="H417" s="26"/>
      <c r="I417" s="252"/>
      <c r="J417" s="26"/>
      <c r="K417" s="252"/>
      <c r="L417" s="26"/>
      <c r="M417" s="224"/>
      <c r="N417" s="220"/>
      <c r="O417" s="32"/>
      <c r="P417" s="32"/>
      <c r="Q417" s="10"/>
      <c r="R417" s="10"/>
      <c r="S417" s="10"/>
      <c r="T417" s="10"/>
      <c r="U417" s="10"/>
      <c r="V417" s="10"/>
      <c r="W417" s="10"/>
      <c r="X417" s="10"/>
    </row>
    <row r="418">
      <c r="A418" s="253">
        <v>45324.0</v>
      </c>
      <c r="B418" s="238">
        <v>5.0</v>
      </c>
      <c r="C418" s="252" t="s">
        <v>2479</v>
      </c>
      <c r="D418" s="252" t="s">
        <v>2104</v>
      </c>
      <c r="E418" s="252"/>
      <c r="F418" s="26"/>
      <c r="G418" s="255">
        <v>9.0</v>
      </c>
      <c r="H418" s="26" t="s">
        <v>190</v>
      </c>
      <c r="I418" s="255">
        <v>9.0</v>
      </c>
      <c r="J418" s="26" t="s">
        <v>190</v>
      </c>
      <c r="K418" s="255"/>
      <c r="L418" s="26"/>
      <c r="M418" s="224"/>
      <c r="N418" s="220"/>
      <c r="O418" s="32"/>
      <c r="P418" s="32"/>
      <c r="Q418" s="10"/>
      <c r="R418" s="10"/>
      <c r="S418" s="10"/>
      <c r="T418" s="10"/>
      <c r="U418" s="10"/>
      <c r="V418" s="10"/>
      <c r="W418" s="10"/>
      <c r="X418" s="10"/>
    </row>
    <row r="419">
      <c r="A419" s="253">
        <v>45324.0</v>
      </c>
      <c r="B419" s="238">
        <v>5.0</v>
      </c>
      <c r="C419" s="252" t="s">
        <v>2480</v>
      </c>
      <c r="D419" s="252" t="s">
        <v>54</v>
      </c>
      <c r="E419" s="252"/>
      <c r="F419" s="26"/>
      <c r="G419" s="255">
        <v>5.0</v>
      </c>
      <c r="H419" s="26" t="s">
        <v>190</v>
      </c>
      <c r="I419" s="252"/>
      <c r="J419" s="26"/>
      <c r="K419" s="252"/>
      <c r="L419" s="26"/>
      <c r="M419" s="224"/>
      <c r="N419" s="220"/>
      <c r="O419" s="32"/>
      <c r="P419" s="32"/>
      <c r="Q419" s="10"/>
      <c r="R419" s="10"/>
      <c r="S419" s="10"/>
      <c r="T419" s="10"/>
      <c r="U419" s="10"/>
      <c r="V419" s="10"/>
      <c r="W419" s="10"/>
      <c r="X419" s="10"/>
    </row>
    <row r="420">
      <c r="A420" s="253">
        <v>45324.0</v>
      </c>
      <c r="B420" s="238">
        <v>5.0</v>
      </c>
      <c r="C420" s="252" t="s">
        <v>2481</v>
      </c>
      <c r="D420" s="252" t="s">
        <v>84</v>
      </c>
      <c r="E420" s="252"/>
      <c r="F420" s="26"/>
      <c r="G420" s="255">
        <v>4.0</v>
      </c>
      <c r="H420" s="26" t="s">
        <v>190</v>
      </c>
      <c r="I420" s="252"/>
      <c r="J420" s="26"/>
      <c r="K420" s="252"/>
      <c r="L420" s="26"/>
      <c r="M420" s="224"/>
      <c r="N420" s="220"/>
      <c r="O420" s="32"/>
      <c r="P420" s="32"/>
      <c r="Q420" s="10"/>
      <c r="R420" s="10"/>
      <c r="S420" s="10"/>
      <c r="T420" s="10"/>
      <c r="U420" s="10"/>
      <c r="V420" s="10"/>
      <c r="W420" s="10"/>
      <c r="X420" s="10"/>
    </row>
    <row r="421">
      <c r="A421" s="253">
        <v>45324.0</v>
      </c>
      <c r="B421" s="238">
        <v>5.0</v>
      </c>
      <c r="C421" s="252" t="s">
        <v>2482</v>
      </c>
      <c r="D421" s="252" t="s">
        <v>44</v>
      </c>
      <c r="E421" s="255">
        <v>6.0</v>
      </c>
      <c r="F421" s="26" t="s">
        <v>190</v>
      </c>
      <c r="G421" s="252"/>
      <c r="H421" s="26"/>
      <c r="I421" s="252"/>
      <c r="J421" s="26"/>
      <c r="K421" s="252"/>
      <c r="L421" s="26"/>
      <c r="M421" s="224"/>
      <c r="N421" s="220"/>
      <c r="O421" s="32"/>
      <c r="P421" s="32"/>
      <c r="Q421" s="10"/>
      <c r="R421" s="10"/>
      <c r="S421" s="10"/>
      <c r="T421" s="10"/>
      <c r="U421" s="10"/>
      <c r="V421" s="10"/>
      <c r="W421" s="10"/>
      <c r="X421" s="10"/>
    </row>
    <row r="422">
      <c r="A422" s="253">
        <v>45317.0</v>
      </c>
      <c r="B422" s="252">
        <v>4.0</v>
      </c>
      <c r="C422" s="252" t="s">
        <v>2483</v>
      </c>
      <c r="D422" s="252" t="s">
        <v>1226</v>
      </c>
      <c r="E422" s="255">
        <v>16.0</v>
      </c>
      <c r="F422" s="26" t="s">
        <v>190</v>
      </c>
      <c r="G422" s="252"/>
      <c r="H422" s="26"/>
      <c r="I422" s="252"/>
      <c r="J422" s="26"/>
      <c r="K422" s="252"/>
      <c r="L422" s="26"/>
      <c r="M422" s="224"/>
      <c r="N422" s="220"/>
      <c r="O422" s="32"/>
      <c r="P422" s="32"/>
      <c r="Q422" s="10"/>
      <c r="R422" s="10"/>
      <c r="S422" s="10"/>
      <c r="T422" s="10"/>
      <c r="U422" s="10"/>
      <c r="V422" s="10"/>
      <c r="W422" s="10"/>
      <c r="X422" s="10"/>
    </row>
    <row r="423">
      <c r="A423" s="253">
        <v>45317.0</v>
      </c>
      <c r="B423" s="252">
        <v>4.0</v>
      </c>
      <c r="C423" s="252" t="s">
        <v>2484</v>
      </c>
      <c r="D423" s="252" t="s">
        <v>175</v>
      </c>
      <c r="E423" s="255">
        <v>1.0</v>
      </c>
      <c r="F423" s="26" t="s">
        <v>190</v>
      </c>
      <c r="G423" s="252"/>
      <c r="H423" s="26"/>
      <c r="I423" s="252"/>
      <c r="J423" s="26"/>
      <c r="K423" s="252"/>
      <c r="L423" s="26"/>
      <c r="M423" s="224"/>
      <c r="N423" s="220"/>
      <c r="O423" s="32"/>
      <c r="P423" s="32"/>
      <c r="Q423" s="10"/>
      <c r="R423" s="10"/>
      <c r="S423" s="10"/>
      <c r="T423" s="10"/>
      <c r="U423" s="10"/>
      <c r="V423" s="10"/>
      <c r="W423" s="10"/>
      <c r="X423" s="10"/>
    </row>
    <row r="424">
      <c r="A424" s="253">
        <v>45317.0</v>
      </c>
      <c r="B424" s="252">
        <v>4.0</v>
      </c>
      <c r="C424" s="252" t="s">
        <v>2485</v>
      </c>
      <c r="D424" s="252" t="s">
        <v>2104</v>
      </c>
      <c r="E424" s="252"/>
      <c r="F424" s="26"/>
      <c r="G424" s="255">
        <v>8.0</v>
      </c>
      <c r="H424" s="26" t="s">
        <v>190</v>
      </c>
      <c r="I424" s="255">
        <v>5.0</v>
      </c>
      <c r="J424" s="26" t="s">
        <v>190</v>
      </c>
      <c r="K424" s="255"/>
      <c r="L424" s="26"/>
      <c r="M424" s="224"/>
      <c r="N424" s="220"/>
      <c r="O424" s="32"/>
      <c r="P424" s="32"/>
      <c r="Q424" s="10"/>
      <c r="R424" s="10"/>
      <c r="S424" s="10"/>
      <c r="T424" s="10"/>
      <c r="U424" s="10"/>
      <c r="V424" s="10"/>
      <c r="W424" s="10"/>
      <c r="X424" s="10"/>
    </row>
    <row r="425">
      <c r="A425" s="253">
        <v>45317.0</v>
      </c>
      <c r="B425" s="252">
        <v>4.0</v>
      </c>
      <c r="C425" s="252" t="s">
        <v>2486</v>
      </c>
      <c r="D425" s="252" t="s">
        <v>54</v>
      </c>
      <c r="E425" s="252"/>
      <c r="F425" s="26"/>
      <c r="G425" s="255">
        <v>4.0</v>
      </c>
      <c r="H425" s="26" t="s">
        <v>190</v>
      </c>
      <c r="I425" s="255">
        <v>19.0</v>
      </c>
      <c r="J425" s="26" t="s">
        <v>190</v>
      </c>
      <c r="K425" s="255"/>
      <c r="L425" s="26"/>
      <c r="M425" s="224"/>
      <c r="N425" s="220"/>
      <c r="O425" s="32"/>
      <c r="P425" s="32"/>
      <c r="Q425" s="10"/>
      <c r="R425" s="10"/>
      <c r="S425" s="10"/>
      <c r="T425" s="10"/>
      <c r="U425" s="10"/>
      <c r="V425" s="10"/>
      <c r="W425" s="10"/>
      <c r="X425" s="10"/>
    </row>
    <row r="426">
      <c r="A426" s="253">
        <v>45317.0</v>
      </c>
      <c r="B426" s="252">
        <v>4.0</v>
      </c>
      <c r="C426" s="252" t="s">
        <v>2487</v>
      </c>
      <c r="D426" s="252" t="s">
        <v>84</v>
      </c>
      <c r="E426" s="252"/>
      <c r="F426" s="26"/>
      <c r="G426" s="255">
        <v>1.0</v>
      </c>
      <c r="H426" s="26" t="s">
        <v>190</v>
      </c>
      <c r="I426" s="252"/>
      <c r="J426" s="26"/>
      <c r="K426" s="252"/>
      <c r="L426" s="26"/>
      <c r="M426" s="224"/>
      <c r="N426" s="220"/>
      <c r="O426" s="32"/>
      <c r="P426" s="32"/>
      <c r="Q426" s="10"/>
      <c r="R426" s="10"/>
      <c r="S426" s="10"/>
      <c r="T426" s="10"/>
      <c r="U426" s="10"/>
      <c r="V426" s="10"/>
      <c r="W426" s="10"/>
      <c r="X426" s="10"/>
    </row>
    <row r="427">
      <c r="A427" s="253">
        <v>45310.0</v>
      </c>
      <c r="B427" s="252">
        <v>3.0</v>
      </c>
      <c r="C427" s="252" t="s">
        <v>2488</v>
      </c>
      <c r="D427" s="252" t="s">
        <v>1226</v>
      </c>
      <c r="E427" s="255">
        <v>6.0</v>
      </c>
      <c r="F427" s="26" t="s">
        <v>190</v>
      </c>
      <c r="G427" s="252"/>
      <c r="H427" s="26"/>
      <c r="I427" s="252"/>
      <c r="J427" s="26"/>
      <c r="K427" s="252"/>
      <c r="L427" s="26"/>
      <c r="M427" s="224"/>
      <c r="N427" s="220"/>
      <c r="O427" s="32"/>
      <c r="P427" s="32"/>
      <c r="Q427" s="10"/>
      <c r="R427" s="10"/>
      <c r="S427" s="10"/>
      <c r="T427" s="10"/>
      <c r="U427" s="10"/>
      <c r="V427" s="10"/>
      <c r="W427" s="10"/>
      <c r="X427" s="10"/>
    </row>
    <row r="428">
      <c r="A428" s="253">
        <v>45310.0</v>
      </c>
      <c r="B428" s="252">
        <v>3.0</v>
      </c>
      <c r="C428" s="252" t="s">
        <v>2489</v>
      </c>
      <c r="D428" s="252" t="s">
        <v>2104</v>
      </c>
      <c r="E428" s="252"/>
      <c r="F428" s="26"/>
      <c r="G428" s="255">
        <v>9.0</v>
      </c>
      <c r="H428" s="26" t="s">
        <v>190</v>
      </c>
      <c r="I428" s="255">
        <v>7.0</v>
      </c>
      <c r="J428" s="26" t="s">
        <v>190</v>
      </c>
      <c r="K428" s="255"/>
      <c r="L428" s="26"/>
      <c r="M428" s="224"/>
      <c r="N428" s="220"/>
      <c r="O428" s="32"/>
      <c r="P428" s="32"/>
      <c r="Q428" s="10"/>
      <c r="R428" s="10"/>
      <c r="S428" s="10"/>
      <c r="T428" s="10"/>
      <c r="U428" s="10"/>
      <c r="V428" s="10"/>
      <c r="W428" s="10"/>
      <c r="X428" s="10"/>
    </row>
    <row r="429">
      <c r="A429" s="253">
        <v>45310.0</v>
      </c>
      <c r="B429" s="252">
        <v>3.0</v>
      </c>
      <c r="C429" s="252" t="s">
        <v>2490</v>
      </c>
      <c r="D429" s="252" t="s">
        <v>54</v>
      </c>
      <c r="E429" s="252"/>
      <c r="F429" s="26"/>
      <c r="G429" s="255">
        <v>5.0</v>
      </c>
      <c r="H429" s="26" t="s">
        <v>190</v>
      </c>
      <c r="I429" s="255">
        <v>27.0</v>
      </c>
      <c r="J429" s="26" t="s">
        <v>190</v>
      </c>
      <c r="K429" s="255"/>
      <c r="L429" s="26"/>
      <c r="M429" s="224"/>
      <c r="N429" s="220"/>
      <c r="O429" s="32"/>
      <c r="P429" s="32"/>
      <c r="Q429" s="10"/>
      <c r="R429" s="10"/>
      <c r="S429" s="10"/>
      <c r="T429" s="10"/>
      <c r="U429" s="10"/>
      <c r="V429" s="10"/>
      <c r="W429" s="10"/>
      <c r="X429" s="10"/>
    </row>
    <row r="430">
      <c r="A430" s="253">
        <v>45310.0</v>
      </c>
      <c r="B430" s="252">
        <v>3.0</v>
      </c>
      <c r="C430" s="252" t="s">
        <v>2491</v>
      </c>
      <c r="D430" s="252" t="s">
        <v>44</v>
      </c>
      <c r="E430" s="255">
        <v>8.0</v>
      </c>
      <c r="F430" s="26" t="s">
        <v>190</v>
      </c>
      <c r="G430" s="252"/>
      <c r="H430" s="26"/>
      <c r="I430" s="252"/>
      <c r="J430" s="26"/>
      <c r="K430" s="252"/>
      <c r="L430" s="26"/>
      <c r="M430" s="224"/>
      <c r="N430" s="220"/>
      <c r="O430" s="32"/>
      <c r="P430" s="32"/>
      <c r="Q430" s="10"/>
      <c r="R430" s="10"/>
      <c r="S430" s="10"/>
      <c r="T430" s="10"/>
      <c r="U430" s="10"/>
      <c r="V430" s="10"/>
      <c r="W430" s="10"/>
      <c r="X430" s="10"/>
    </row>
    <row r="431">
      <c r="A431" s="253">
        <v>45303.0</v>
      </c>
      <c r="B431" s="252">
        <v>2.0</v>
      </c>
      <c r="C431" s="252" t="s">
        <v>2492</v>
      </c>
      <c r="D431" s="252" t="s">
        <v>1226</v>
      </c>
      <c r="E431" s="255">
        <v>1.0</v>
      </c>
      <c r="F431" s="26" t="s">
        <v>190</v>
      </c>
      <c r="G431" s="252"/>
      <c r="H431" s="26"/>
      <c r="I431" s="252"/>
      <c r="J431" s="26"/>
      <c r="K431" s="252"/>
      <c r="L431" s="26"/>
      <c r="M431" s="224"/>
      <c r="N431" s="220"/>
      <c r="O431" s="32"/>
      <c r="P431" s="32"/>
      <c r="Q431" s="10"/>
      <c r="R431" s="10"/>
      <c r="S431" s="10"/>
      <c r="T431" s="10"/>
      <c r="U431" s="10"/>
      <c r="V431" s="10"/>
      <c r="W431" s="10"/>
      <c r="X431" s="10"/>
    </row>
    <row r="432">
      <c r="A432" s="253">
        <v>45303.0</v>
      </c>
      <c r="B432" s="252">
        <v>2.0</v>
      </c>
      <c r="C432" s="252" t="s">
        <v>2493</v>
      </c>
      <c r="D432" s="252" t="s">
        <v>38</v>
      </c>
      <c r="E432" s="255"/>
      <c r="F432" s="26"/>
      <c r="G432" s="238">
        <v>2.0</v>
      </c>
      <c r="H432" s="26" t="s">
        <v>190</v>
      </c>
      <c r="I432" s="252"/>
      <c r="J432" s="26"/>
      <c r="K432" s="252"/>
      <c r="L432" s="26"/>
      <c r="M432" s="224"/>
      <c r="N432" s="220"/>
      <c r="O432" s="32"/>
      <c r="P432" s="32"/>
      <c r="Q432" s="10"/>
      <c r="R432" s="10"/>
      <c r="S432" s="10"/>
      <c r="T432" s="10"/>
      <c r="U432" s="10"/>
      <c r="V432" s="10"/>
      <c r="W432" s="10"/>
      <c r="X432" s="10"/>
    </row>
    <row r="433">
      <c r="A433" s="253">
        <v>45303.0</v>
      </c>
      <c r="B433" s="252">
        <v>2.0</v>
      </c>
      <c r="C433" s="252" t="s">
        <v>2494</v>
      </c>
      <c r="D433" s="252" t="s">
        <v>54</v>
      </c>
      <c r="E433" s="252"/>
      <c r="F433" s="26"/>
      <c r="G433" s="252"/>
      <c r="H433" s="26"/>
      <c r="I433" s="255">
        <v>5.0</v>
      </c>
      <c r="J433" s="26" t="s">
        <v>190</v>
      </c>
      <c r="K433" s="255"/>
      <c r="L433" s="26"/>
      <c r="M433" s="224"/>
      <c r="N433" s="220"/>
      <c r="O433" s="32"/>
      <c r="P433" s="32"/>
      <c r="Q433" s="10"/>
      <c r="R433" s="10"/>
      <c r="S433" s="10"/>
      <c r="T433" s="10"/>
      <c r="U433" s="10"/>
      <c r="V433" s="10"/>
      <c r="W433" s="10"/>
      <c r="X433" s="10"/>
    </row>
    <row r="434">
      <c r="A434" s="253">
        <v>45303.0</v>
      </c>
      <c r="B434" s="252">
        <v>2.0</v>
      </c>
      <c r="C434" s="252" t="s">
        <v>2495</v>
      </c>
      <c r="D434" s="252" t="s">
        <v>44</v>
      </c>
      <c r="E434" s="255">
        <v>1.0</v>
      </c>
      <c r="F434" s="26" t="s">
        <v>190</v>
      </c>
      <c r="G434" s="252"/>
      <c r="H434" s="26"/>
      <c r="I434" s="252"/>
      <c r="J434" s="26"/>
      <c r="K434" s="252"/>
      <c r="L434" s="26"/>
      <c r="M434" s="224"/>
      <c r="N434" s="220"/>
      <c r="O434" s="32"/>
      <c r="P434" s="32"/>
      <c r="Q434" s="10"/>
      <c r="R434" s="10"/>
      <c r="S434" s="10"/>
      <c r="T434" s="10"/>
      <c r="U434" s="10"/>
      <c r="V434" s="10"/>
      <c r="W434" s="10"/>
      <c r="X434" s="10"/>
    </row>
    <row r="435">
      <c r="A435" s="234"/>
      <c r="B435" s="234"/>
      <c r="C435" s="235"/>
      <c r="D435" s="232"/>
      <c r="E435" s="233"/>
      <c r="F435" s="26"/>
      <c r="G435" s="233"/>
      <c r="H435" s="26"/>
      <c r="I435" s="233"/>
      <c r="J435" s="26"/>
      <c r="K435" s="233"/>
      <c r="L435" s="26"/>
      <c r="M435" s="220"/>
      <c r="N435" s="220"/>
      <c r="O435" s="32"/>
      <c r="P435" s="32"/>
      <c r="Q435" s="10"/>
      <c r="R435" s="10"/>
      <c r="S435" s="10"/>
      <c r="T435" s="10"/>
      <c r="U435" s="10"/>
      <c r="V435" s="10"/>
      <c r="W435" s="10"/>
      <c r="X435" s="10"/>
    </row>
    <row r="436">
      <c r="A436" s="234"/>
      <c r="B436" s="234"/>
      <c r="C436" s="235"/>
      <c r="D436" s="232"/>
      <c r="E436" s="233"/>
      <c r="F436" s="26"/>
      <c r="G436" s="233"/>
      <c r="H436" s="26"/>
      <c r="I436" s="233"/>
      <c r="J436" s="26"/>
      <c r="K436" s="233"/>
      <c r="L436" s="26"/>
      <c r="M436" s="220"/>
      <c r="N436" s="220"/>
      <c r="O436" s="32"/>
      <c r="P436" s="32"/>
      <c r="Q436" s="10"/>
      <c r="R436" s="10"/>
      <c r="S436" s="10"/>
      <c r="T436" s="10"/>
      <c r="U436" s="10"/>
      <c r="V436" s="10"/>
      <c r="W436" s="10"/>
      <c r="X436" s="10"/>
    </row>
    <row r="437">
      <c r="A437" s="234"/>
      <c r="B437" s="234"/>
      <c r="C437" s="235"/>
      <c r="D437" s="232"/>
      <c r="E437" s="233"/>
      <c r="F437" s="26"/>
      <c r="G437" s="233"/>
      <c r="H437" s="26"/>
      <c r="I437" s="233"/>
      <c r="J437" s="26"/>
      <c r="K437" s="233"/>
      <c r="L437" s="26"/>
      <c r="M437" s="220"/>
      <c r="N437" s="220"/>
      <c r="O437" s="32"/>
      <c r="P437" s="32"/>
      <c r="Q437" s="10"/>
      <c r="R437" s="10"/>
      <c r="S437" s="10"/>
      <c r="T437" s="10"/>
      <c r="U437" s="10"/>
      <c r="V437" s="10"/>
      <c r="W437" s="10"/>
      <c r="X437" s="10"/>
    </row>
    <row r="438">
      <c r="A438" s="234"/>
      <c r="B438" s="234"/>
      <c r="C438" s="235"/>
      <c r="D438" s="232"/>
      <c r="E438" s="233"/>
      <c r="F438" s="26"/>
      <c r="G438" s="233"/>
      <c r="H438" s="26"/>
      <c r="I438" s="233"/>
      <c r="J438" s="26"/>
      <c r="K438" s="233"/>
      <c r="L438" s="26"/>
      <c r="M438" s="220"/>
      <c r="N438" s="220"/>
      <c r="O438" s="32"/>
      <c r="P438" s="32"/>
      <c r="Q438" s="10"/>
      <c r="R438" s="10"/>
      <c r="S438" s="10"/>
      <c r="T438" s="10"/>
      <c r="U438" s="10"/>
      <c r="V438" s="10"/>
      <c r="W438" s="10"/>
      <c r="X438" s="10"/>
    </row>
    <row r="439">
      <c r="A439" s="234"/>
      <c r="B439" s="234"/>
      <c r="C439" s="235"/>
      <c r="D439" s="232"/>
      <c r="E439" s="233"/>
      <c r="F439" s="26"/>
      <c r="G439" s="233"/>
      <c r="H439" s="26"/>
      <c r="I439" s="233"/>
      <c r="J439" s="26"/>
      <c r="K439" s="233"/>
      <c r="L439" s="26"/>
      <c r="M439" s="220"/>
      <c r="N439" s="220"/>
      <c r="O439" s="32"/>
      <c r="P439" s="32"/>
      <c r="Q439" s="10"/>
      <c r="R439" s="10"/>
      <c r="S439" s="10"/>
      <c r="T439" s="10"/>
      <c r="U439" s="10"/>
      <c r="V439" s="10"/>
      <c r="W439" s="10"/>
      <c r="X439" s="10"/>
    </row>
    <row r="440">
      <c r="A440" s="234"/>
      <c r="B440" s="234"/>
      <c r="C440" s="235"/>
      <c r="D440" s="232"/>
      <c r="E440" s="233"/>
      <c r="F440" s="26"/>
      <c r="G440" s="233"/>
      <c r="H440" s="26"/>
      <c r="I440" s="233"/>
      <c r="J440" s="26"/>
      <c r="K440" s="233"/>
      <c r="L440" s="26"/>
      <c r="M440" s="220"/>
      <c r="N440" s="220"/>
      <c r="O440" s="32"/>
      <c r="P440" s="32"/>
      <c r="Q440" s="10"/>
      <c r="R440" s="10"/>
      <c r="S440" s="10"/>
      <c r="T440" s="10"/>
      <c r="U440" s="10"/>
      <c r="V440" s="10"/>
      <c r="W440" s="10"/>
      <c r="X440" s="10"/>
    </row>
    <row r="441">
      <c r="A441" s="234"/>
      <c r="B441" s="234"/>
      <c r="C441" s="235"/>
      <c r="D441" s="232"/>
      <c r="E441" s="233"/>
      <c r="F441" s="26"/>
      <c r="G441" s="233"/>
      <c r="H441" s="26"/>
      <c r="I441" s="233"/>
      <c r="J441" s="26"/>
      <c r="K441" s="233"/>
      <c r="L441" s="26"/>
      <c r="M441" s="220"/>
      <c r="N441" s="220"/>
      <c r="O441" s="32"/>
      <c r="P441" s="32"/>
      <c r="Q441" s="10"/>
      <c r="R441" s="10"/>
      <c r="S441" s="10"/>
      <c r="T441" s="10"/>
      <c r="U441" s="10"/>
      <c r="V441" s="10"/>
      <c r="W441" s="10"/>
      <c r="X441" s="10"/>
    </row>
    <row r="442">
      <c r="A442" s="234"/>
      <c r="B442" s="234"/>
      <c r="C442" s="235"/>
      <c r="D442" s="232"/>
      <c r="E442" s="233"/>
      <c r="F442" s="26"/>
      <c r="G442" s="233"/>
      <c r="H442" s="26"/>
      <c r="I442" s="233"/>
      <c r="J442" s="26"/>
      <c r="K442" s="233"/>
      <c r="L442" s="26"/>
      <c r="M442" s="220"/>
      <c r="N442" s="220"/>
      <c r="O442" s="32"/>
      <c r="P442" s="32"/>
      <c r="Q442" s="10"/>
      <c r="R442" s="10"/>
      <c r="S442" s="10"/>
      <c r="T442" s="10"/>
      <c r="U442" s="10"/>
      <c r="V442" s="10"/>
      <c r="W442" s="10"/>
      <c r="X442" s="10"/>
    </row>
    <row r="443">
      <c r="A443" s="234"/>
      <c r="B443" s="234"/>
      <c r="C443" s="235"/>
      <c r="D443" s="232"/>
      <c r="E443" s="233"/>
      <c r="F443" s="26"/>
      <c r="G443" s="233"/>
      <c r="H443" s="26"/>
      <c r="I443" s="233"/>
      <c r="J443" s="26"/>
      <c r="K443" s="233"/>
      <c r="L443" s="26"/>
      <c r="M443" s="220"/>
      <c r="N443" s="220"/>
      <c r="O443" s="32"/>
      <c r="P443" s="32"/>
      <c r="Q443" s="10"/>
      <c r="R443" s="10"/>
      <c r="S443" s="10"/>
      <c r="T443" s="10"/>
      <c r="U443" s="10"/>
      <c r="V443" s="10"/>
      <c r="W443" s="10"/>
      <c r="X443" s="10"/>
    </row>
    <row r="444">
      <c r="A444" s="234"/>
      <c r="B444" s="234"/>
      <c r="C444" s="235"/>
      <c r="D444" s="232"/>
      <c r="E444" s="233"/>
      <c r="F444" s="26"/>
      <c r="G444" s="233"/>
      <c r="H444" s="26"/>
      <c r="I444" s="233"/>
      <c r="J444" s="26"/>
      <c r="K444" s="233"/>
      <c r="L444" s="26"/>
      <c r="M444" s="220"/>
      <c r="N444" s="220"/>
      <c r="O444" s="32"/>
      <c r="P444" s="32"/>
      <c r="Q444" s="10"/>
      <c r="R444" s="10"/>
      <c r="S444" s="10"/>
      <c r="T444" s="10"/>
      <c r="U444" s="10"/>
      <c r="V444" s="10"/>
      <c r="W444" s="10"/>
      <c r="X444" s="10"/>
    </row>
    <row r="445">
      <c r="A445" s="234"/>
      <c r="B445" s="234"/>
      <c r="C445" s="235"/>
      <c r="D445" s="232"/>
      <c r="E445" s="233"/>
      <c r="F445" s="26"/>
      <c r="G445" s="233"/>
      <c r="H445" s="26"/>
      <c r="I445" s="233"/>
      <c r="J445" s="26"/>
      <c r="K445" s="233"/>
      <c r="L445" s="26"/>
      <c r="M445" s="220"/>
      <c r="N445" s="220"/>
      <c r="O445" s="32"/>
      <c r="P445" s="32"/>
      <c r="Q445" s="10"/>
      <c r="R445" s="10"/>
      <c r="S445" s="10"/>
      <c r="T445" s="10"/>
      <c r="U445" s="10"/>
      <c r="V445" s="10"/>
      <c r="W445" s="10"/>
      <c r="X445" s="10"/>
    </row>
    <row r="446">
      <c r="A446" s="234"/>
      <c r="B446" s="234"/>
      <c r="C446" s="235"/>
      <c r="D446" s="232"/>
      <c r="E446" s="233"/>
      <c r="F446" s="26"/>
      <c r="G446" s="233"/>
      <c r="H446" s="26"/>
      <c r="I446" s="233"/>
      <c r="J446" s="26"/>
      <c r="K446" s="233"/>
      <c r="L446" s="26"/>
      <c r="M446" s="220"/>
      <c r="N446" s="220"/>
      <c r="O446" s="32"/>
      <c r="P446" s="32"/>
      <c r="Q446" s="10"/>
      <c r="R446" s="10"/>
      <c r="S446" s="10"/>
      <c r="T446" s="10"/>
      <c r="U446" s="10"/>
      <c r="V446" s="10"/>
      <c r="W446" s="10"/>
      <c r="X446" s="10"/>
    </row>
    <row r="447">
      <c r="A447" s="234"/>
      <c r="B447" s="234"/>
      <c r="C447" s="235"/>
      <c r="D447" s="232"/>
      <c r="E447" s="233"/>
      <c r="F447" s="26"/>
      <c r="G447" s="233"/>
      <c r="H447" s="26"/>
      <c r="I447" s="233"/>
      <c r="J447" s="26"/>
      <c r="K447" s="233"/>
      <c r="L447" s="26"/>
      <c r="M447" s="220"/>
      <c r="N447" s="220"/>
      <c r="O447" s="32"/>
      <c r="P447" s="32"/>
      <c r="Q447" s="10"/>
      <c r="R447" s="10"/>
      <c r="S447" s="10"/>
      <c r="T447" s="10"/>
      <c r="U447" s="10"/>
      <c r="V447" s="10"/>
      <c r="W447" s="10"/>
      <c r="X447" s="10"/>
    </row>
    <row r="448">
      <c r="A448" s="234"/>
      <c r="B448" s="234"/>
      <c r="C448" s="235"/>
      <c r="D448" s="232"/>
      <c r="E448" s="233"/>
      <c r="F448" s="26"/>
      <c r="G448" s="233"/>
      <c r="H448" s="26"/>
      <c r="I448" s="233"/>
      <c r="J448" s="26"/>
      <c r="K448" s="233"/>
      <c r="L448" s="26"/>
      <c r="M448" s="220"/>
      <c r="N448" s="220"/>
      <c r="O448" s="32"/>
      <c r="P448" s="32"/>
      <c r="Q448" s="10"/>
      <c r="R448" s="10"/>
      <c r="S448" s="10"/>
      <c r="T448" s="10"/>
      <c r="U448" s="10"/>
      <c r="V448" s="10"/>
      <c r="W448" s="10"/>
      <c r="X448" s="10"/>
    </row>
    <row r="449">
      <c r="A449" s="234"/>
      <c r="B449" s="234"/>
      <c r="C449" s="235"/>
      <c r="D449" s="232"/>
      <c r="E449" s="233"/>
      <c r="F449" s="26"/>
      <c r="G449" s="233"/>
      <c r="H449" s="26"/>
      <c r="I449" s="233"/>
      <c r="J449" s="26"/>
      <c r="K449" s="233"/>
      <c r="L449" s="26"/>
      <c r="M449" s="220"/>
      <c r="N449" s="220"/>
      <c r="O449" s="32"/>
      <c r="P449" s="32"/>
      <c r="Q449" s="10"/>
      <c r="R449" s="10"/>
      <c r="S449" s="10"/>
      <c r="T449" s="10"/>
      <c r="U449" s="10"/>
      <c r="V449" s="10"/>
      <c r="W449" s="10"/>
      <c r="X449" s="10"/>
    </row>
    <row r="450">
      <c r="A450" s="234"/>
      <c r="B450" s="234"/>
      <c r="C450" s="235"/>
      <c r="D450" s="232"/>
      <c r="E450" s="233"/>
      <c r="F450" s="26"/>
      <c r="G450" s="233"/>
      <c r="H450" s="26"/>
      <c r="I450" s="233"/>
      <c r="J450" s="26"/>
      <c r="K450" s="233"/>
      <c r="L450" s="26"/>
      <c r="M450" s="220"/>
      <c r="N450" s="220"/>
      <c r="O450" s="32"/>
      <c r="P450" s="32"/>
      <c r="Q450" s="10"/>
      <c r="R450" s="10"/>
      <c r="S450" s="10"/>
      <c r="T450" s="10"/>
      <c r="U450" s="10"/>
      <c r="V450" s="10"/>
      <c r="W450" s="10"/>
      <c r="X450" s="10"/>
    </row>
    <row r="451">
      <c r="A451" s="234"/>
      <c r="B451" s="234"/>
      <c r="C451" s="235"/>
      <c r="D451" s="232"/>
      <c r="E451" s="233"/>
      <c r="F451" s="26"/>
      <c r="G451" s="233"/>
      <c r="H451" s="26"/>
      <c r="I451" s="233"/>
      <c r="J451" s="26"/>
      <c r="K451" s="233"/>
      <c r="L451" s="26"/>
      <c r="M451" s="220"/>
      <c r="N451" s="220"/>
      <c r="O451" s="32"/>
      <c r="P451" s="32"/>
      <c r="Q451" s="10"/>
      <c r="R451" s="10"/>
      <c r="S451" s="10"/>
      <c r="T451" s="10"/>
      <c r="U451" s="10"/>
      <c r="V451" s="10"/>
      <c r="W451" s="10"/>
      <c r="X451" s="10"/>
    </row>
    <row r="452">
      <c r="A452" s="234"/>
      <c r="B452" s="234"/>
      <c r="C452" s="235"/>
      <c r="D452" s="232"/>
      <c r="E452" s="233"/>
      <c r="F452" s="26"/>
      <c r="G452" s="233"/>
      <c r="H452" s="26"/>
      <c r="I452" s="233"/>
      <c r="J452" s="26"/>
      <c r="K452" s="233"/>
      <c r="L452" s="26"/>
      <c r="M452" s="220"/>
      <c r="N452" s="220"/>
      <c r="O452" s="32"/>
      <c r="P452" s="32"/>
      <c r="Q452" s="10"/>
      <c r="R452" s="10"/>
      <c r="S452" s="10"/>
      <c r="T452" s="10"/>
      <c r="U452" s="10"/>
      <c r="V452" s="10"/>
      <c r="W452" s="10"/>
      <c r="X452" s="10"/>
    </row>
    <row r="453">
      <c r="A453" s="234"/>
      <c r="B453" s="234"/>
      <c r="C453" s="235"/>
      <c r="D453" s="232"/>
      <c r="E453" s="233"/>
      <c r="F453" s="26"/>
      <c r="G453" s="233"/>
      <c r="H453" s="26"/>
      <c r="I453" s="233"/>
      <c r="J453" s="26"/>
      <c r="K453" s="233"/>
      <c r="L453" s="26"/>
      <c r="M453" s="220"/>
      <c r="N453" s="220"/>
      <c r="O453" s="32"/>
      <c r="P453" s="32"/>
      <c r="Q453" s="10"/>
      <c r="R453" s="10"/>
      <c r="S453" s="10"/>
      <c r="T453" s="10"/>
      <c r="U453" s="10"/>
      <c r="V453" s="10"/>
      <c r="W453" s="10"/>
      <c r="X453" s="10"/>
    </row>
    <row r="454">
      <c r="A454" s="234"/>
      <c r="B454" s="234"/>
      <c r="C454" s="235"/>
      <c r="D454" s="232"/>
      <c r="E454" s="233"/>
      <c r="F454" s="26"/>
      <c r="G454" s="233"/>
      <c r="H454" s="26"/>
      <c r="I454" s="233"/>
      <c r="J454" s="26"/>
      <c r="K454" s="233"/>
      <c r="L454" s="26"/>
      <c r="M454" s="220"/>
      <c r="N454" s="220"/>
      <c r="O454" s="32"/>
      <c r="P454" s="32"/>
      <c r="Q454" s="10"/>
      <c r="R454" s="10"/>
      <c r="S454" s="10"/>
      <c r="T454" s="10"/>
      <c r="U454" s="10"/>
      <c r="V454" s="10"/>
      <c r="W454" s="10"/>
      <c r="X454" s="10"/>
    </row>
    <row r="455">
      <c r="A455" s="234"/>
      <c r="B455" s="234"/>
      <c r="C455" s="235"/>
      <c r="D455" s="232"/>
      <c r="E455" s="233"/>
      <c r="F455" s="26"/>
      <c r="G455" s="233"/>
      <c r="H455" s="26"/>
      <c r="I455" s="233"/>
      <c r="J455" s="26"/>
      <c r="K455" s="233"/>
      <c r="L455" s="26"/>
      <c r="M455" s="220"/>
      <c r="N455" s="220"/>
      <c r="O455" s="32"/>
      <c r="P455" s="32"/>
      <c r="Q455" s="10"/>
      <c r="R455" s="10"/>
      <c r="S455" s="10"/>
      <c r="T455" s="10"/>
      <c r="U455" s="10"/>
      <c r="V455" s="10"/>
      <c r="W455" s="10"/>
      <c r="X455" s="10"/>
    </row>
    <row r="456">
      <c r="A456" s="234"/>
      <c r="B456" s="234"/>
      <c r="C456" s="235"/>
      <c r="D456" s="232"/>
      <c r="E456" s="233"/>
      <c r="F456" s="26"/>
      <c r="G456" s="233"/>
      <c r="H456" s="26"/>
      <c r="I456" s="233"/>
      <c r="J456" s="26"/>
      <c r="K456" s="233"/>
      <c r="L456" s="26"/>
      <c r="M456" s="220"/>
      <c r="N456" s="220"/>
      <c r="O456" s="32"/>
      <c r="P456" s="32"/>
      <c r="Q456" s="10"/>
      <c r="R456" s="10"/>
      <c r="S456" s="10"/>
      <c r="T456" s="10"/>
      <c r="U456" s="10"/>
      <c r="V456" s="10"/>
      <c r="W456" s="10"/>
      <c r="X456" s="10"/>
    </row>
    <row r="457">
      <c r="A457" s="234"/>
      <c r="B457" s="234"/>
      <c r="C457" s="235"/>
      <c r="D457" s="232"/>
      <c r="E457" s="233"/>
      <c r="F457" s="26"/>
      <c r="G457" s="233"/>
      <c r="H457" s="26"/>
      <c r="I457" s="233"/>
      <c r="J457" s="26"/>
      <c r="K457" s="233"/>
      <c r="L457" s="26"/>
      <c r="M457" s="220"/>
      <c r="N457" s="220"/>
      <c r="O457" s="32"/>
      <c r="P457" s="32"/>
      <c r="Q457" s="10"/>
      <c r="R457" s="10"/>
      <c r="S457" s="10"/>
      <c r="T457" s="10"/>
      <c r="U457" s="10"/>
      <c r="V457" s="10"/>
      <c r="W457" s="10"/>
      <c r="X457" s="10"/>
    </row>
    <row r="458">
      <c r="A458" s="234"/>
      <c r="B458" s="234"/>
      <c r="C458" s="235"/>
      <c r="D458" s="232"/>
      <c r="E458" s="233"/>
      <c r="F458" s="26"/>
      <c r="G458" s="233"/>
      <c r="H458" s="26"/>
      <c r="I458" s="233"/>
      <c r="J458" s="26"/>
      <c r="K458" s="233"/>
      <c r="L458" s="26"/>
      <c r="M458" s="220"/>
      <c r="N458" s="220"/>
      <c r="O458" s="32"/>
      <c r="P458" s="32"/>
      <c r="Q458" s="10"/>
      <c r="R458" s="10"/>
      <c r="S458" s="10"/>
      <c r="T458" s="10"/>
      <c r="U458" s="10"/>
      <c r="V458" s="10"/>
      <c r="W458" s="10"/>
      <c r="X458" s="10"/>
    </row>
    <row r="459">
      <c r="A459" s="234"/>
      <c r="B459" s="234"/>
      <c r="C459" s="235"/>
      <c r="D459" s="232"/>
      <c r="E459" s="233"/>
      <c r="F459" s="26"/>
      <c r="G459" s="233"/>
      <c r="H459" s="26"/>
      <c r="I459" s="233"/>
      <c r="J459" s="26"/>
      <c r="K459" s="233"/>
      <c r="L459" s="26"/>
      <c r="M459" s="220"/>
      <c r="N459" s="220"/>
      <c r="O459" s="32"/>
      <c r="P459" s="32"/>
      <c r="Q459" s="10"/>
      <c r="R459" s="10"/>
      <c r="S459" s="10"/>
      <c r="T459" s="10"/>
      <c r="U459" s="10"/>
      <c r="V459" s="10"/>
      <c r="W459" s="10"/>
      <c r="X459" s="10"/>
    </row>
    <row r="460">
      <c r="A460" s="234"/>
      <c r="B460" s="234"/>
      <c r="C460" s="235"/>
      <c r="D460" s="232"/>
      <c r="E460" s="233"/>
      <c r="F460" s="26"/>
      <c r="G460" s="233"/>
      <c r="H460" s="26"/>
      <c r="I460" s="233"/>
      <c r="J460" s="26"/>
      <c r="K460" s="233"/>
      <c r="L460" s="26"/>
      <c r="M460" s="220"/>
      <c r="N460" s="220"/>
      <c r="O460" s="32"/>
      <c r="P460" s="32"/>
      <c r="Q460" s="10"/>
      <c r="R460" s="10"/>
      <c r="S460" s="10"/>
      <c r="T460" s="10"/>
      <c r="U460" s="10"/>
      <c r="V460" s="10"/>
      <c r="W460" s="10"/>
      <c r="X460" s="10"/>
    </row>
    <row r="461">
      <c r="A461" s="234"/>
      <c r="B461" s="234"/>
      <c r="C461" s="235"/>
      <c r="D461" s="232"/>
      <c r="E461" s="233"/>
      <c r="F461" s="26"/>
      <c r="G461" s="233"/>
      <c r="H461" s="26"/>
      <c r="I461" s="233"/>
      <c r="J461" s="26"/>
      <c r="K461" s="233"/>
      <c r="L461" s="26"/>
      <c r="M461" s="220"/>
      <c r="N461" s="220"/>
      <c r="O461" s="32"/>
      <c r="P461" s="32"/>
      <c r="Q461" s="10"/>
      <c r="R461" s="10"/>
      <c r="S461" s="10"/>
      <c r="T461" s="10"/>
      <c r="U461" s="10"/>
      <c r="V461" s="10"/>
      <c r="W461" s="10"/>
      <c r="X461" s="10"/>
    </row>
    <row r="462">
      <c r="A462" s="234"/>
      <c r="B462" s="234"/>
      <c r="C462" s="235"/>
      <c r="D462" s="232"/>
      <c r="E462" s="233"/>
      <c r="F462" s="26"/>
      <c r="G462" s="233"/>
      <c r="H462" s="26"/>
      <c r="I462" s="233"/>
      <c r="J462" s="26"/>
      <c r="K462" s="233"/>
      <c r="L462" s="26"/>
      <c r="M462" s="220"/>
      <c r="N462" s="220"/>
      <c r="O462" s="32"/>
      <c r="P462" s="32"/>
      <c r="Q462" s="10"/>
      <c r="R462" s="10"/>
      <c r="S462" s="10"/>
      <c r="T462" s="10"/>
      <c r="U462" s="10"/>
      <c r="V462" s="10"/>
      <c r="W462" s="10"/>
      <c r="X462" s="10"/>
    </row>
    <row r="463">
      <c r="A463" s="234"/>
      <c r="B463" s="234"/>
      <c r="C463" s="235"/>
      <c r="D463" s="232"/>
      <c r="E463" s="233"/>
      <c r="F463" s="26"/>
      <c r="G463" s="233"/>
      <c r="H463" s="26"/>
      <c r="I463" s="233"/>
      <c r="J463" s="26"/>
      <c r="K463" s="233"/>
      <c r="L463" s="26"/>
      <c r="M463" s="220"/>
      <c r="N463" s="220"/>
      <c r="O463" s="32"/>
      <c r="P463" s="32"/>
      <c r="Q463" s="10"/>
      <c r="R463" s="10"/>
      <c r="S463" s="10"/>
      <c r="T463" s="10"/>
      <c r="U463" s="10"/>
      <c r="V463" s="10"/>
      <c r="W463" s="10"/>
      <c r="X463" s="10"/>
    </row>
    <row r="464">
      <c r="A464" s="234"/>
      <c r="B464" s="234"/>
      <c r="C464" s="235"/>
      <c r="D464" s="232"/>
      <c r="E464" s="233"/>
      <c r="F464" s="26"/>
      <c r="G464" s="233"/>
      <c r="H464" s="26"/>
      <c r="I464" s="233"/>
      <c r="J464" s="26"/>
      <c r="K464" s="233"/>
      <c r="L464" s="26"/>
      <c r="M464" s="220"/>
      <c r="N464" s="220"/>
      <c r="O464" s="32"/>
      <c r="P464" s="32"/>
      <c r="Q464" s="10"/>
      <c r="R464" s="10"/>
      <c r="S464" s="10"/>
      <c r="T464" s="10"/>
      <c r="U464" s="10"/>
      <c r="V464" s="10"/>
      <c r="W464" s="10"/>
      <c r="X464" s="10"/>
    </row>
    <row r="465">
      <c r="A465" s="234"/>
      <c r="B465" s="234"/>
      <c r="C465" s="235"/>
      <c r="D465" s="232"/>
      <c r="E465" s="233"/>
      <c r="F465" s="26"/>
      <c r="G465" s="233"/>
      <c r="H465" s="26"/>
      <c r="I465" s="233"/>
      <c r="J465" s="26"/>
      <c r="K465" s="233"/>
      <c r="L465" s="26"/>
      <c r="M465" s="220"/>
      <c r="N465" s="220"/>
      <c r="O465" s="32"/>
      <c r="P465" s="32"/>
      <c r="Q465" s="10"/>
      <c r="R465" s="10"/>
      <c r="S465" s="10"/>
      <c r="T465" s="10"/>
      <c r="U465" s="10"/>
      <c r="V465" s="10"/>
      <c r="W465" s="10"/>
      <c r="X465" s="10"/>
    </row>
    <row r="466">
      <c r="A466" s="234"/>
      <c r="B466" s="234"/>
      <c r="C466" s="235"/>
      <c r="D466" s="232"/>
      <c r="E466" s="233"/>
      <c r="F466" s="26"/>
      <c r="G466" s="233"/>
      <c r="H466" s="26"/>
      <c r="I466" s="233"/>
      <c r="J466" s="26"/>
      <c r="K466" s="233"/>
      <c r="L466" s="26"/>
      <c r="M466" s="220"/>
      <c r="N466" s="220"/>
      <c r="O466" s="32"/>
      <c r="P466" s="32"/>
      <c r="Q466" s="10"/>
      <c r="R466" s="10"/>
      <c r="S466" s="10"/>
      <c r="T466" s="10"/>
      <c r="U466" s="10"/>
      <c r="V466" s="10"/>
      <c r="W466" s="10"/>
      <c r="X466" s="10"/>
    </row>
    <row r="467">
      <c r="A467" s="234"/>
      <c r="B467" s="234"/>
      <c r="C467" s="235"/>
      <c r="D467" s="232"/>
      <c r="E467" s="233"/>
      <c r="F467" s="26"/>
      <c r="G467" s="233"/>
      <c r="H467" s="26"/>
      <c r="I467" s="233"/>
      <c r="J467" s="26"/>
      <c r="K467" s="233"/>
      <c r="L467" s="26"/>
      <c r="M467" s="220"/>
      <c r="N467" s="220"/>
      <c r="O467" s="32"/>
      <c r="P467" s="32"/>
      <c r="Q467" s="10"/>
      <c r="R467" s="10"/>
      <c r="S467" s="10"/>
      <c r="T467" s="10"/>
      <c r="U467" s="10"/>
      <c r="V467" s="10"/>
      <c r="W467" s="10"/>
      <c r="X467" s="10"/>
    </row>
    <row r="468">
      <c r="A468" s="234"/>
      <c r="B468" s="234"/>
      <c r="C468" s="235"/>
      <c r="D468" s="232"/>
      <c r="E468" s="233"/>
      <c r="F468" s="26"/>
      <c r="G468" s="233"/>
      <c r="H468" s="26"/>
      <c r="I468" s="233"/>
      <c r="J468" s="26"/>
      <c r="K468" s="233"/>
      <c r="L468" s="26"/>
      <c r="M468" s="220"/>
      <c r="N468" s="220"/>
      <c r="O468" s="32"/>
      <c r="P468" s="32"/>
      <c r="Q468" s="10"/>
      <c r="R468" s="10"/>
      <c r="S468" s="10"/>
      <c r="T468" s="10"/>
      <c r="U468" s="10"/>
      <c r="V468" s="10"/>
      <c r="W468" s="10"/>
      <c r="X468" s="10"/>
    </row>
    <row r="469">
      <c r="A469" s="234"/>
      <c r="B469" s="234"/>
      <c r="C469" s="235"/>
      <c r="D469" s="232"/>
      <c r="E469" s="233"/>
      <c r="F469" s="26"/>
      <c r="G469" s="233"/>
      <c r="H469" s="26"/>
      <c r="I469" s="233"/>
      <c r="J469" s="26"/>
      <c r="K469" s="233"/>
      <c r="L469" s="26"/>
      <c r="M469" s="220"/>
      <c r="N469" s="220"/>
      <c r="O469" s="32"/>
      <c r="P469" s="32"/>
      <c r="Q469" s="10"/>
      <c r="R469" s="10"/>
      <c r="S469" s="10"/>
      <c r="T469" s="10"/>
      <c r="U469" s="10"/>
      <c r="V469" s="10"/>
      <c r="W469" s="10"/>
      <c r="X469" s="10"/>
    </row>
    <row r="470">
      <c r="A470" s="234"/>
      <c r="B470" s="234"/>
      <c r="C470" s="235"/>
      <c r="D470" s="232"/>
      <c r="E470" s="233"/>
      <c r="F470" s="26"/>
      <c r="G470" s="233"/>
      <c r="H470" s="26"/>
      <c r="I470" s="233"/>
      <c r="J470" s="26"/>
      <c r="K470" s="233"/>
      <c r="L470" s="26"/>
      <c r="M470" s="220"/>
      <c r="N470" s="220"/>
      <c r="O470" s="32"/>
      <c r="P470" s="32"/>
      <c r="Q470" s="10"/>
      <c r="R470" s="10"/>
      <c r="S470" s="10"/>
      <c r="T470" s="10"/>
      <c r="U470" s="10"/>
      <c r="V470" s="10"/>
      <c r="W470" s="10"/>
      <c r="X470" s="10"/>
    </row>
    <row r="471">
      <c r="A471" s="234"/>
      <c r="B471" s="234"/>
      <c r="C471" s="235"/>
      <c r="D471" s="232"/>
      <c r="E471" s="233"/>
      <c r="F471" s="26"/>
      <c r="G471" s="233"/>
      <c r="H471" s="26"/>
      <c r="I471" s="233"/>
      <c r="J471" s="26"/>
      <c r="K471" s="233"/>
      <c r="L471" s="26"/>
      <c r="M471" s="220"/>
      <c r="N471" s="220"/>
      <c r="O471" s="32"/>
      <c r="P471" s="32"/>
      <c r="Q471" s="10"/>
      <c r="R471" s="10"/>
      <c r="S471" s="10"/>
      <c r="T471" s="10"/>
      <c r="U471" s="10"/>
      <c r="V471" s="10"/>
      <c r="W471" s="10"/>
      <c r="X471" s="10"/>
    </row>
    <row r="472">
      <c r="A472" s="234"/>
      <c r="B472" s="234"/>
      <c r="C472" s="235"/>
      <c r="D472" s="232"/>
      <c r="E472" s="233"/>
      <c r="F472" s="26"/>
      <c r="G472" s="233"/>
      <c r="H472" s="26"/>
      <c r="I472" s="233"/>
      <c r="J472" s="26"/>
      <c r="K472" s="233"/>
      <c r="L472" s="26"/>
      <c r="M472" s="220"/>
      <c r="N472" s="220"/>
      <c r="O472" s="32"/>
      <c r="P472" s="32"/>
      <c r="Q472" s="10"/>
      <c r="R472" s="10"/>
      <c r="S472" s="10"/>
      <c r="T472" s="10"/>
      <c r="U472" s="10"/>
      <c r="V472" s="10"/>
      <c r="W472" s="10"/>
      <c r="X472" s="10"/>
    </row>
    <row r="473">
      <c r="A473" s="234"/>
      <c r="B473" s="234"/>
      <c r="C473" s="235"/>
      <c r="D473" s="232"/>
      <c r="E473" s="233"/>
      <c r="F473" s="26"/>
      <c r="G473" s="233"/>
      <c r="H473" s="26"/>
      <c r="I473" s="233"/>
      <c r="J473" s="26"/>
      <c r="K473" s="233"/>
      <c r="L473" s="26"/>
      <c r="M473" s="220"/>
      <c r="N473" s="220"/>
      <c r="O473" s="32"/>
      <c r="P473" s="32"/>
      <c r="Q473" s="10"/>
      <c r="R473" s="10"/>
      <c r="S473" s="10"/>
      <c r="T473" s="10"/>
      <c r="U473" s="10"/>
      <c r="V473" s="10"/>
      <c r="W473" s="10"/>
      <c r="X473" s="10"/>
    </row>
    <row r="474">
      <c r="A474" s="234"/>
      <c r="B474" s="234"/>
      <c r="C474" s="235"/>
      <c r="D474" s="232"/>
      <c r="E474" s="233"/>
      <c r="F474" s="26"/>
      <c r="G474" s="233"/>
      <c r="H474" s="26"/>
      <c r="I474" s="233"/>
      <c r="J474" s="26"/>
      <c r="K474" s="233"/>
      <c r="L474" s="26"/>
      <c r="M474" s="220"/>
      <c r="N474" s="220"/>
      <c r="O474" s="32"/>
      <c r="P474" s="32"/>
      <c r="Q474" s="10"/>
      <c r="R474" s="10"/>
      <c r="S474" s="10"/>
      <c r="T474" s="10"/>
      <c r="U474" s="10"/>
      <c r="V474" s="10"/>
      <c r="W474" s="10"/>
      <c r="X474" s="10"/>
    </row>
    <row r="475">
      <c r="A475" s="234"/>
      <c r="B475" s="234"/>
      <c r="C475" s="235"/>
      <c r="D475" s="232"/>
      <c r="E475" s="233"/>
      <c r="F475" s="26"/>
      <c r="G475" s="233"/>
      <c r="H475" s="26"/>
      <c r="I475" s="233"/>
      <c r="J475" s="26"/>
      <c r="K475" s="233"/>
      <c r="L475" s="26"/>
      <c r="M475" s="220"/>
      <c r="N475" s="220"/>
      <c r="O475" s="32"/>
      <c r="P475" s="32"/>
      <c r="Q475" s="10"/>
      <c r="R475" s="10"/>
      <c r="S475" s="10"/>
      <c r="T475" s="10"/>
      <c r="U475" s="10"/>
      <c r="V475" s="10"/>
      <c r="W475" s="10"/>
      <c r="X475" s="10"/>
    </row>
    <row r="476">
      <c r="A476" s="234"/>
      <c r="B476" s="234"/>
      <c r="C476" s="235"/>
      <c r="D476" s="232"/>
      <c r="E476" s="233"/>
      <c r="F476" s="26"/>
      <c r="G476" s="233"/>
      <c r="H476" s="26"/>
      <c r="I476" s="233"/>
      <c r="J476" s="26"/>
      <c r="K476" s="233"/>
      <c r="L476" s="26"/>
      <c r="M476" s="220"/>
      <c r="N476" s="220"/>
      <c r="O476" s="32"/>
      <c r="P476" s="32"/>
      <c r="Q476" s="10"/>
      <c r="R476" s="10"/>
      <c r="S476" s="10"/>
      <c r="T476" s="10"/>
      <c r="U476" s="10"/>
      <c r="V476" s="10"/>
      <c r="W476" s="10"/>
      <c r="X476" s="10"/>
    </row>
    <row r="477">
      <c r="A477" s="234"/>
      <c r="B477" s="234"/>
      <c r="C477" s="235"/>
      <c r="D477" s="232"/>
      <c r="E477" s="233"/>
      <c r="F477" s="26"/>
      <c r="G477" s="233"/>
      <c r="H477" s="26"/>
      <c r="I477" s="233"/>
      <c r="J477" s="26"/>
      <c r="K477" s="233"/>
      <c r="L477" s="26"/>
      <c r="M477" s="220"/>
      <c r="N477" s="220"/>
      <c r="O477" s="32"/>
      <c r="P477" s="32"/>
      <c r="Q477" s="10"/>
      <c r="R477" s="10"/>
      <c r="S477" s="10"/>
      <c r="T477" s="10"/>
      <c r="U477" s="10"/>
      <c r="V477" s="10"/>
      <c r="W477" s="10"/>
      <c r="X477" s="10"/>
    </row>
    <row r="478">
      <c r="A478" s="234"/>
      <c r="B478" s="234"/>
      <c r="C478" s="235"/>
      <c r="D478" s="232"/>
      <c r="E478" s="233"/>
      <c r="F478" s="26"/>
      <c r="G478" s="233"/>
      <c r="H478" s="26"/>
      <c r="I478" s="233"/>
      <c r="J478" s="26"/>
      <c r="K478" s="233"/>
      <c r="L478" s="26"/>
      <c r="M478" s="220"/>
      <c r="N478" s="220"/>
      <c r="O478" s="32"/>
      <c r="P478" s="32"/>
      <c r="Q478" s="10"/>
      <c r="R478" s="10"/>
      <c r="S478" s="10"/>
      <c r="T478" s="10"/>
      <c r="U478" s="10"/>
      <c r="V478" s="10"/>
      <c r="W478" s="10"/>
      <c r="X478" s="10"/>
    </row>
    <row r="479">
      <c r="A479" s="234"/>
      <c r="B479" s="234"/>
      <c r="C479" s="235"/>
      <c r="D479" s="232"/>
      <c r="E479" s="233"/>
      <c r="F479" s="26"/>
      <c r="G479" s="233"/>
      <c r="H479" s="26"/>
      <c r="I479" s="233"/>
      <c r="J479" s="26"/>
      <c r="K479" s="233"/>
      <c r="L479" s="26"/>
      <c r="M479" s="220"/>
      <c r="N479" s="220"/>
      <c r="O479" s="32"/>
      <c r="P479" s="32"/>
      <c r="Q479" s="10"/>
      <c r="R479" s="10"/>
      <c r="S479" s="10"/>
      <c r="T479" s="10"/>
      <c r="U479" s="10"/>
      <c r="V479" s="10"/>
      <c r="W479" s="10"/>
      <c r="X479" s="10"/>
    </row>
    <row r="480">
      <c r="A480" s="234"/>
      <c r="B480" s="234"/>
      <c r="C480" s="235"/>
      <c r="D480" s="232"/>
      <c r="E480" s="233"/>
      <c r="F480" s="26"/>
      <c r="G480" s="233"/>
      <c r="H480" s="26"/>
      <c r="I480" s="233"/>
      <c r="J480" s="26"/>
      <c r="K480" s="233"/>
      <c r="L480" s="26"/>
      <c r="M480" s="220"/>
      <c r="N480" s="220"/>
      <c r="O480" s="32"/>
      <c r="P480" s="32"/>
      <c r="Q480" s="10"/>
      <c r="R480" s="10"/>
      <c r="S480" s="10"/>
      <c r="T480" s="10"/>
      <c r="U480" s="10"/>
      <c r="V480" s="10"/>
      <c r="W480" s="10"/>
      <c r="X480" s="10"/>
    </row>
    <row r="481">
      <c r="A481" s="234"/>
      <c r="B481" s="234"/>
      <c r="C481" s="235"/>
      <c r="D481" s="232"/>
      <c r="E481" s="233"/>
      <c r="F481" s="26"/>
      <c r="G481" s="233"/>
      <c r="H481" s="26"/>
      <c r="I481" s="233"/>
      <c r="J481" s="26"/>
      <c r="K481" s="233"/>
      <c r="L481" s="26"/>
      <c r="M481" s="220"/>
      <c r="N481" s="220"/>
      <c r="O481" s="32"/>
      <c r="P481" s="32"/>
      <c r="Q481" s="10"/>
      <c r="R481" s="10"/>
      <c r="S481" s="10"/>
      <c r="T481" s="10"/>
      <c r="U481" s="10"/>
      <c r="V481" s="10"/>
      <c r="W481" s="10"/>
      <c r="X481" s="10"/>
    </row>
    <row r="482">
      <c r="A482" s="234"/>
      <c r="B482" s="234"/>
      <c r="C482" s="235"/>
      <c r="D482" s="232"/>
      <c r="E482" s="233"/>
      <c r="F482" s="26"/>
      <c r="G482" s="233"/>
      <c r="H482" s="26"/>
      <c r="I482" s="233"/>
      <c r="J482" s="26"/>
      <c r="K482" s="233"/>
      <c r="L482" s="26"/>
      <c r="M482" s="220"/>
      <c r="N482" s="220"/>
      <c r="O482" s="32"/>
      <c r="P482" s="32"/>
      <c r="Q482" s="10"/>
      <c r="R482" s="10"/>
      <c r="S482" s="10"/>
      <c r="T482" s="10"/>
      <c r="U482" s="10"/>
      <c r="V482" s="10"/>
      <c r="W482" s="10"/>
      <c r="X482" s="10"/>
    </row>
    <row r="483">
      <c r="A483" s="234"/>
      <c r="B483" s="234"/>
      <c r="C483" s="235"/>
      <c r="D483" s="232"/>
      <c r="E483" s="233"/>
      <c r="F483" s="26"/>
      <c r="G483" s="233"/>
      <c r="H483" s="26"/>
      <c r="I483" s="233"/>
      <c r="J483" s="26"/>
      <c r="K483" s="233"/>
      <c r="L483" s="26"/>
      <c r="M483" s="220"/>
      <c r="N483" s="220"/>
      <c r="O483" s="32"/>
      <c r="P483" s="32"/>
      <c r="Q483" s="10"/>
      <c r="R483" s="10"/>
      <c r="S483" s="10"/>
      <c r="T483" s="10"/>
      <c r="U483" s="10"/>
      <c r="V483" s="10"/>
      <c r="W483" s="10"/>
      <c r="X483" s="10"/>
    </row>
    <row r="484">
      <c r="A484" s="234"/>
      <c r="B484" s="234"/>
      <c r="C484" s="235"/>
      <c r="D484" s="232"/>
      <c r="E484" s="233"/>
      <c r="F484" s="26"/>
      <c r="G484" s="233"/>
      <c r="H484" s="26"/>
      <c r="I484" s="233"/>
      <c r="J484" s="26"/>
      <c r="K484" s="233"/>
      <c r="L484" s="26"/>
      <c r="M484" s="220"/>
      <c r="N484" s="220"/>
      <c r="O484" s="32"/>
      <c r="P484" s="32"/>
      <c r="Q484" s="10"/>
      <c r="R484" s="10"/>
      <c r="S484" s="10"/>
      <c r="T484" s="10"/>
      <c r="U484" s="10"/>
      <c r="V484" s="10"/>
      <c r="W484" s="10"/>
      <c r="X484" s="10"/>
    </row>
    <row r="485">
      <c r="A485" s="234"/>
      <c r="B485" s="234"/>
      <c r="C485" s="235"/>
      <c r="D485" s="232"/>
      <c r="E485" s="233"/>
      <c r="F485" s="26"/>
      <c r="G485" s="233"/>
      <c r="H485" s="26"/>
      <c r="I485" s="233"/>
      <c r="J485" s="26"/>
      <c r="K485" s="233"/>
      <c r="L485" s="26"/>
      <c r="M485" s="220"/>
      <c r="N485" s="220"/>
      <c r="O485" s="32"/>
      <c r="P485" s="32"/>
      <c r="Q485" s="10"/>
      <c r="R485" s="10"/>
      <c r="S485" s="10"/>
      <c r="T485" s="10"/>
      <c r="U485" s="10"/>
      <c r="V485" s="10"/>
      <c r="W485" s="10"/>
      <c r="X485" s="10"/>
    </row>
    <row r="486">
      <c r="A486" s="234"/>
      <c r="B486" s="234"/>
      <c r="C486" s="235"/>
      <c r="D486" s="232"/>
      <c r="E486" s="233"/>
      <c r="F486" s="26"/>
      <c r="G486" s="233"/>
      <c r="H486" s="26"/>
      <c r="I486" s="233"/>
      <c r="J486" s="26"/>
      <c r="K486" s="233"/>
      <c r="L486" s="26"/>
      <c r="M486" s="220"/>
      <c r="N486" s="220"/>
      <c r="O486" s="32"/>
      <c r="P486" s="32"/>
      <c r="Q486" s="10"/>
      <c r="R486" s="10"/>
      <c r="S486" s="10"/>
      <c r="T486" s="10"/>
      <c r="U486" s="10"/>
      <c r="V486" s="10"/>
      <c r="W486" s="10"/>
      <c r="X486" s="10"/>
    </row>
    <row r="487">
      <c r="A487" s="234"/>
      <c r="B487" s="234"/>
      <c r="C487" s="235"/>
      <c r="D487" s="232"/>
      <c r="E487" s="233"/>
      <c r="F487" s="26"/>
      <c r="G487" s="233"/>
      <c r="H487" s="26"/>
      <c r="I487" s="233"/>
      <c r="J487" s="26"/>
      <c r="K487" s="233"/>
      <c r="L487" s="26"/>
      <c r="M487" s="220"/>
      <c r="N487" s="220"/>
      <c r="O487" s="32"/>
      <c r="P487" s="32"/>
      <c r="Q487" s="10"/>
      <c r="R487" s="10"/>
      <c r="S487" s="10"/>
      <c r="T487" s="10"/>
      <c r="U487" s="10"/>
      <c r="V487" s="10"/>
      <c r="W487" s="10"/>
      <c r="X487" s="10"/>
    </row>
    <row r="488">
      <c r="A488" s="234"/>
      <c r="B488" s="234"/>
      <c r="C488" s="235"/>
      <c r="D488" s="232"/>
      <c r="E488" s="233"/>
      <c r="F488" s="26"/>
      <c r="G488" s="233"/>
      <c r="H488" s="26"/>
      <c r="I488" s="233"/>
      <c r="J488" s="26"/>
      <c r="K488" s="233"/>
      <c r="L488" s="26"/>
      <c r="M488" s="220"/>
      <c r="N488" s="220"/>
      <c r="O488" s="32"/>
      <c r="P488" s="32"/>
      <c r="Q488" s="10"/>
      <c r="R488" s="10"/>
      <c r="S488" s="10"/>
      <c r="T488" s="10"/>
      <c r="U488" s="10"/>
      <c r="V488" s="10"/>
      <c r="W488" s="10"/>
      <c r="X488" s="10"/>
    </row>
    <row r="489">
      <c r="A489" s="245"/>
      <c r="B489" s="245"/>
      <c r="C489" s="252"/>
      <c r="D489" s="232"/>
      <c r="E489" s="233"/>
      <c r="F489" s="26"/>
      <c r="G489" s="233"/>
      <c r="H489" s="26"/>
      <c r="I489" s="233"/>
      <c r="J489" s="26"/>
      <c r="K489" s="233"/>
      <c r="L489" s="26"/>
      <c r="M489" s="220"/>
      <c r="N489" s="220"/>
      <c r="O489" s="32"/>
      <c r="P489" s="32"/>
      <c r="Q489" s="10"/>
      <c r="R489" s="10"/>
      <c r="S489" s="10"/>
      <c r="T489" s="10"/>
      <c r="U489" s="10"/>
      <c r="V489" s="10"/>
      <c r="W489" s="10"/>
      <c r="X489" s="10"/>
    </row>
    <row r="490">
      <c r="A490" s="234"/>
      <c r="B490" s="234"/>
      <c r="C490" s="252"/>
      <c r="D490" s="232"/>
      <c r="E490" s="233"/>
      <c r="F490" s="26"/>
      <c r="G490" s="233"/>
      <c r="H490" s="26"/>
      <c r="I490" s="233"/>
      <c r="J490" s="26"/>
      <c r="K490" s="233"/>
      <c r="L490" s="26"/>
      <c r="M490" s="220"/>
      <c r="N490" s="220"/>
      <c r="O490" s="32"/>
      <c r="P490" s="32"/>
      <c r="Q490" s="10"/>
      <c r="R490" s="10"/>
      <c r="S490" s="10"/>
      <c r="T490" s="10"/>
      <c r="U490" s="10"/>
      <c r="V490" s="10"/>
      <c r="W490" s="10"/>
      <c r="X490" s="10"/>
    </row>
    <row r="491">
      <c r="A491" s="234"/>
      <c r="B491" s="234"/>
      <c r="C491" s="235"/>
      <c r="D491" s="232"/>
      <c r="E491" s="233"/>
      <c r="F491" s="26"/>
      <c r="G491" s="233"/>
      <c r="H491" s="26"/>
      <c r="I491" s="233"/>
      <c r="J491" s="26"/>
      <c r="K491" s="233"/>
      <c r="L491" s="26"/>
      <c r="M491" s="220"/>
      <c r="N491" s="220"/>
      <c r="O491" s="32"/>
      <c r="P491" s="32"/>
      <c r="Q491" s="10"/>
      <c r="R491" s="10"/>
      <c r="S491" s="10"/>
      <c r="T491" s="10"/>
      <c r="U491" s="10"/>
      <c r="V491" s="10"/>
      <c r="W491" s="10"/>
      <c r="X491" s="10"/>
    </row>
    <row r="492">
      <c r="A492" s="234"/>
      <c r="B492" s="234"/>
      <c r="C492" s="235"/>
      <c r="D492" s="232"/>
      <c r="E492" s="233"/>
      <c r="F492" s="26"/>
      <c r="G492" s="233"/>
      <c r="H492" s="26"/>
      <c r="I492" s="233"/>
      <c r="J492" s="26"/>
      <c r="K492" s="233"/>
      <c r="L492" s="26"/>
      <c r="M492" s="220"/>
      <c r="N492" s="220"/>
      <c r="O492" s="32"/>
      <c r="P492" s="32"/>
      <c r="Q492" s="10"/>
      <c r="R492" s="10"/>
      <c r="S492" s="10"/>
      <c r="T492" s="10"/>
      <c r="U492" s="10"/>
      <c r="V492" s="10"/>
      <c r="W492" s="10"/>
      <c r="X492" s="10"/>
    </row>
    <row r="493">
      <c r="A493" s="234"/>
      <c r="B493" s="234"/>
      <c r="C493" s="235"/>
      <c r="D493" s="232"/>
      <c r="E493" s="233"/>
      <c r="F493" s="26"/>
      <c r="G493" s="233"/>
      <c r="H493" s="26"/>
      <c r="I493" s="233"/>
      <c r="J493" s="26"/>
      <c r="K493" s="233"/>
      <c r="L493" s="26"/>
      <c r="M493" s="220"/>
      <c r="N493" s="220"/>
      <c r="O493" s="32"/>
      <c r="P493" s="32"/>
      <c r="Q493" s="10"/>
      <c r="R493" s="10"/>
      <c r="S493" s="10"/>
      <c r="T493" s="10"/>
      <c r="U493" s="10"/>
      <c r="V493" s="10"/>
      <c r="W493" s="10"/>
      <c r="X493" s="10"/>
    </row>
    <row r="494">
      <c r="A494" s="234"/>
      <c r="B494" s="234"/>
      <c r="C494" s="235"/>
      <c r="D494" s="232"/>
      <c r="E494" s="233"/>
      <c r="F494" s="26"/>
      <c r="G494" s="233"/>
      <c r="H494" s="26"/>
      <c r="I494" s="233"/>
      <c r="J494" s="26"/>
      <c r="K494" s="233"/>
      <c r="L494" s="26"/>
      <c r="M494" s="220"/>
      <c r="N494" s="220"/>
      <c r="O494" s="32"/>
      <c r="P494" s="32"/>
      <c r="Q494" s="10"/>
      <c r="R494" s="10"/>
      <c r="S494" s="10"/>
      <c r="T494" s="10"/>
      <c r="U494" s="10"/>
      <c r="V494" s="10"/>
      <c r="W494" s="10"/>
      <c r="X494" s="10"/>
    </row>
    <row r="495">
      <c r="A495" s="234"/>
      <c r="B495" s="234"/>
      <c r="C495" s="235"/>
      <c r="D495" s="232"/>
      <c r="E495" s="233"/>
      <c r="F495" s="26"/>
      <c r="G495" s="233"/>
      <c r="H495" s="26"/>
      <c r="I495" s="233"/>
      <c r="J495" s="26"/>
      <c r="K495" s="233"/>
      <c r="L495" s="26"/>
      <c r="M495" s="220"/>
      <c r="N495" s="220"/>
      <c r="O495" s="32"/>
      <c r="P495" s="32"/>
      <c r="Q495" s="10"/>
      <c r="R495" s="10"/>
      <c r="S495" s="10"/>
      <c r="T495" s="10"/>
      <c r="U495" s="10"/>
      <c r="V495" s="10"/>
      <c r="W495" s="10"/>
      <c r="X495" s="10"/>
    </row>
    <row r="496">
      <c r="A496" s="234"/>
      <c r="B496" s="234"/>
      <c r="C496" s="235"/>
      <c r="D496" s="232"/>
      <c r="E496" s="233"/>
      <c r="F496" s="26"/>
      <c r="G496" s="233"/>
      <c r="H496" s="26"/>
      <c r="I496" s="233"/>
      <c r="J496" s="26"/>
      <c r="K496" s="233"/>
      <c r="L496" s="26"/>
      <c r="M496" s="220"/>
      <c r="N496" s="220"/>
      <c r="O496" s="32"/>
      <c r="P496" s="32"/>
      <c r="Q496" s="10"/>
      <c r="R496" s="10"/>
      <c r="S496" s="10"/>
      <c r="T496" s="10"/>
      <c r="U496" s="10"/>
      <c r="V496" s="10"/>
      <c r="W496" s="10"/>
      <c r="X496" s="10"/>
    </row>
    <row r="497">
      <c r="A497" s="234"/>
      <c r="B497" s="234"/>
      <c r="C497" s="235"/>
      <c r="D497" s="232"/>
      <c r="E497" s="233"/>
      <c r="F497" s="26"/>
      <c r="G497" s="233"/>
      <c r="H497" s="26"/>
      <c r="I497" s="233"/>
      <c r="J497" s="26"/>
      <c r="K497" s="233"/>
      <c r="L497" s="26"/>
      <c r="M497" s="220"/>
      <c r="N497" s="220"/>
      <c r="O497" s="32"/>
      <c r="P497" s="32"/>
      <c r="Q497" s="10"/>
      <c r="R497" s="10"/>
      <c r="S497" s="10"/>
      <c r="T497" s="10"/>
      <c r="U497" s="10"/>
      <c r="V497" s="10"/>
      <c r="W497" s="10"/>
      <c r="X497" s="10"/>
    </row>
    <row r="498">
      <c r="A498" s="234"/>
      <c r="B498" s="234"/>
      <c r="C498" s="235"/>
      <c r="D498" s="232"/>
      <c r="E498" s="233"/>
      <c r="F498" s="26"/>
      <c r="G498" s="233"/>
      <c r="H498" s="26"/>
      <c r="I498" s="233"/>
      <c r="J498" s="26"/>
      <c r="K498" s="233"/>
      <c r="L498" s="26"/>
      <c r="M498" s="220"/>
      <c r="N498" s="220"/>
      <c r="O498" s="32"/>
      <c r="P498" s="32"/>
      <c r="Q498" s="10"/>
      <c r="R498" s="10"/>
      <c r="S498" s="10"/>
      <c r="T498" s="10"/>
      <c r="U498" s="10"/>
      <c r="V498" s="10"/>
      <c r="W498" s="10"/>
      <c r="X498" s="10"/>
    </row>
    <row r="499">
      <c r="A499" s="256"/>
      <c r="B499" s="256"/>
      <c r="C499" s="235"/>
      <c r="D499" s="232"/>
      <c r="E499" s="233"/>
      <c r="F499" s="26"/>
      <c r="G499" s="233"/>
      <c r="H499" s="26"/>
      <c r="I499" s="233"/>
      <c r="J499" s="26"/>
      <c r="K499" s="233"/>
      <c r="L499" s="26"/>
      <c r="M499" s="220"/>
      <c r="N499" s="220"/>
      <c r="O499" s="32"/>
      <c r="P499" s="32"/>
      <c r="Q499" s="10"/>
      <c r="R499" s="10"/>
      <c r="S499" s="10"/>
      <c r="T499" s="10"/>
      <c r="U499" s="10"/>
      <c r="V499" s="10"/>
      <c r="W499" s="10"/>
      <c r="X499" s="10"/>
    </row>
    <row r="500">
      <c r="A500" s="256"/>
      <c r="B500" s="256"/>
      <c r="C500" s="256"/>
      <c r="D500" s="232"/>
      <c r="E500" s="233"/>
      <c r="F500" s="26"/>
      <c r="G500" s="233"/>
      <c r="H500" s="26"/>
      <c r="I500" s="233"/>
      <c r="J500" s="26"/>
      <c r="K500" s="233"/>
      <c r="L500" s="26"/>
      <c r="M500" s="220"/>
      <c r="N500" s="220"/>
      <c r="O500" s="32"/>
      <c r="P500" s="32"/>
      <c r="Q500" s="10"/>
      <c r="R500" s="10"/>
      <c r="S500" s="10"/>
      <c r="T500" s="10"/>
      <c r="U500" s="10"/>
      <c r="V500" s="10"/>
      <c r="W500" s="10"/>
      <c r="X500" s="10"/>
    </row>
    <row r="501">
      <c r="A501" s="257"/>
      <c r="B501" s="257"/>
      <c r="C501" s="258"/>
      <c r="D501" s="257"/>
      <c r="E501" s="257"/>
      <c r="F501" s="257"/>
      <c r="G501" s="257"/>
      <c r="H501" s="257"/>
      <c r="I501" s="257"/>
      <c r="J501" s="257"/>
      <c r="K501" s="257"/>
      <c r="L501" s="257"/>
      <c r="M501" s="259"/>
      <c r="N501" s="10"/>
      <c r="O501" s="133"/>
      <c r="P501" s="133"/>
      <c r="Q501" s="10"/>
      <c r="R501" s="10"/>
      <c r="S501" s="10"/>
      <c r="T501" s="10"/>
      <c r="U501" s="10"/>
      <c r="V501" s="10"/>
      <c r="W501" s="10"/>
      <c r="X501" s="10"/>
    </row>
    <row r="502">
      <c r="A502" s="257"/>
      <c r="B502" s="257"/>
      <c r="C502" s="258"/>
      <c r="D502" s="257"/>
      <c r="E502" s="257">
        <f>SUBTOTAL(9,E3:E500)</f>
        <v>1131</v>
      </c>
      <c r="F502" s="257"/>
      <c r="G502" s="257">
        <f>SUBTOTAL(9,G3:G500)</f>
        <v>1851</v>
      </c>
      <c r="H502" s="257"/>
      <c r="I502" s="257">
        <f>SUBTOTAL(9,I3:I500)</f>
        <v>918</v>
      </c>
      <c r="J502" s="257"/>
      <c r="K502" s="257"/>
      <c r="L502" s="257"/>
      <c r="M502" s="259"/>
      <c r="N502" s="10"/>
      <c r="O502" s="133"/>
      <c r="P502" s="133"/>
      <c r="Q502" s="10"/>
      <c r="R502" s="10"/>
      <c r="S502" s="10"/>
      <c r="T502" s="10"/>
      <c r="U502" s="10"/>
      <c r="V502" s="10"/>
      <c r="W502" s="10"/>
      <c r="X502" s="10"/>
    </row>
    <row r="503">
      <c r="A503" s="257"/>
      <c r="B503" s="257"/>
      <c r="C503" s="258"/>
      <c r="D503" s="257"/>
      <c r="E503" s="257"/>
      <c r="F503" s="257"/>
      <c r="G503" s="257">
        <f>E502+G502</f>
        <v>2982</v>
      </c>
      <c r="H503" s="257"/>
      <c r="I503" s="257"/>
      <c r="J503" s="257"/>
      <c r="K503" s="257"/>
      <c r="L503" s="257"/>
      <c r="M503" s="259"/>
      <c r="N503" s="10"/>
      <c r="O503" s="133"/>
      <c r="P503" s="133"/>
      <c r="Q503" s="10"/>
      <c r="R503" s="10"/>
      <c r="S503" s="10"/>
      <c r="T503" s="10"/>
      <c r="U503" s="10"/>
      <c r="V503" s="10"/>
      <c r="W503" s="10"/>
      <c r="X503" s="10"/>
    </row>
    <row r="504">
      <c r="A504" s="257"/>
      <c r="B504" s="257"/>
      <c r="C504" s="258"/>
      <c r="D504" s="257"/>
      <c r="E504" s="257"/>
      <c r="F504" s="257"/>
      <c r="G504" s="257"/>
      <c r="H504" s="257"/>
      <c r="I504" s="257"/>
      <c r="J504" s="257"/>
      <c r="K504" s="257"/>
      <c r="L504" s="257"/>
      <c r="M504" s="259"/>
      <c r="N504" s="10"/>
      <c r="O504" s="133"/>
      <c r="P504" s="133"/>
      <c r="Q504" s="10"/>
      <c r="R504" s="10"/>
      <c r="S504" s="10"/>
      <c r="T504" s="10"/>
      <c r="U504" s="10"/>
      <c r="V504" s="10"/>
      <c r="W504" s="10"/>
      <c r="X504" s="10"/>
    </row>
    <row r="505">
      <c r="A505" s="257"/>
      <c r="B505" s="257"/>
      <c r="C505" s="258"/>
      <c r="D505" s="257"/>
      <c r="E505" s="257"/>
      <c r="F505" s="257"/>
      <c r="G505" s="257"/>
      <c r="H505" s="257"/>
      <c r="I505" s="257"/>
      <c r="J505" s="257"/>
      <c r="K505" s="257"/>
      <c r="L505" s="257"/>
      <c r="M505" s="259"/>
      <c r="N505" s="10"/>
      <c r="O505" s="133"/>
      <c r="P505" s="133"/>
      <c r="Q505" s="10"/>
      <c r="R505" s="10"/>
      <c r="S505" s="10"/>
      <c r="T505" s="10"/>
      <c r="U505" s="10"/>
      <c r="V505" s="10"/>
      <c r="W505" s="10"/>
      <c r="X505" s="10"/>
    </row>
    <row r="506">
      <c r="A506" s="257"/>
      <c r="B506" s="257"/>
      <c r="C506" s="258"/>
      <c r="D506" s="257"/>
      <c r="E506" s="257"/>
      <c r="F506" s="257"/>
      <c r="G506" s="257"/>
      <c r="H506" s="257"/>
      <c r="I506" s="257"/>
      <c r="J506" s="257"/>
      <c r="K506" s="257"/>
      <c r="L506" s="257"/>
      <c r="M506" s="259"/>
      <c r="N506" s="10"/>
      <c r="O506" s="133"/>
      <c r="P506" s="133"/>
      <c r="Q506" s="10"/>
      <c r="R506" s="10"/>
      <c r="S506" s="10"/>
      <c r="T506" s="10"/>
      <c r="U506" s="10"/>
      <c r="V506" s="10"/>
      <c r="W506" s="10"/>
      <c r="X506" s="10"/>
    </row>
    <row r="507">
      <c r="A507" s="257"/>
      <c r="B507" s="257"/>
      <c r="C507" s="258"/>
      <c r="D507" s="257"/>
      <c r="E507" s="257"/>
      <c r="F507" s="257"/>
      <c r="G507" s="257"/>
      <c r="H507" s="257"/>
      <c r="I507" s="257"/>
      <c r="J507" s="257"/>
      <c r="K507" s="257"/>
      <c r="L507" s="257"/>
      <c r="M507" s="259"/>
      <c r="N507" s="10"/>
      <c r="O507" s="133"/>
      <c r="P507" s="133"/>
      <c r="Q507" s="10"/>
      <c r="R507" s="10"/>
      <c r="S507" s="10"/>
      <c r="T507" s="10"/>
      <c r="U507" s="10"/>
      <c r="V507" s="10"/>
      <c r="W507" s="10"/>
      <c r="X507" s="10"/>
    </row>
    <row r="508">
      <c r="A508" s="257"/>
      <c r="B508" s="257"/>
      <c r="C508" s="258"/>
      <c r="D508" s="257"/>
      <c r="E508" s="257"/>
      <c r="F508" s="257"/>
      <c r="G508" s="257"/>
      <c r="H508" s="257"/>
      <c r="I508" s="257"/>
      <c r="J508" s="257"/>
      <c r="K508" s="257"/>
      <c r="L508" s="257"/>
      <c r="M508" s="259"/>
      <c r="N508" s="10"/>
      <c r="O508" s="133"/>
      <c r="P508" s="133"/>
      <c r="Q508" s="10"/>
      <c r="R508" s="10"/>
      <c r="S508" s="10"/>
      <c r="T508" s="10"/>
      <c r="U508" s="10"/>
      <c r="V508" s="10"/>
      <c r="W508" s="10"/>
      <c r="X508" s="10"/>
    </row>
    <row r="509">
      <c r="A509" s="257"/>
      <c r="B509" s="257"/>
      <c r="C509" s="258"/>
      <c r="D509" s="257"/>
      <c r="E509" s="257"/>
      <c r="F509" s="257"/>
      <c r="G509" s="257"/>
      <c r="H509" s="257"/>
      <c r="I509" s="257"/>
      <c r="J509" s="257"/>
      <c r="K509" s="257"/>
      <c r="L509" s="257"/>
      <c r="M509" s="259"/>
      <c r="N509" s="10"/>
      <c r="O509" s="133"/>
      <c r="P509" s="133"/>
      <c r="Q509" s="10"/>
      <c r="R509" s="10"/>
      <c r="S509" s="10"/>
      <c r="T509" s="10"/>
      <c r="U509" s="10"/>
      <c r="V509" s="10"/>
      <c r="W509" s="10"/>
      <c r="X509" s="10"/>
    </row>
    <row r="510">
      <c r="A510" s="257"/>
      <c r="B510" s="257"/>
      <c r="C510" s="258"/>
      <c r="D510" s="257"/>
      <c r="E510" s="257"/>
      <c r="F510" s="257"/>
      <c r="G510" s="257"/>
      <c r="H510" s="257"/>
      <c r="I510" s="257"/>
      <c r="J510" s="257"/>
      <c r="K510" s="257"/>
      <c r="L510" s="257"/>
      <c r="M510" s="259"/>
      <c r="N510" s="10"/>
      <c r="O510" s="133"/>
      <c r="P510" s="133"/>
      <c r="Q510" s="10"/>
      <c r="R510" s="10"/>
      <c r="S510" s="10"/>
      <c r="T510" s="10"/>
      <c r="U510" s="10"/>
      <c r="V510" s="10"/>
      <c r="W510" s="10"/>
      <c r="X510" s="10"/>
    </row>
    <row r="511">
      <c r="A511" s="257"/>
      <c r="B511" s="257"/>
      <c r="C511" s="258"/>
      <c r="D511" s="257"/>
      <c r="E511" s="257"/>
      <c r="F511" s="257"/>
      <c r="G511" s="257"/>
      <c r="H511" s="257"/>
      <c r="I511" s="257"/>
      <c r="J511" s="257"/>
      <c r="K511" s="257"/>
      <c r="L511" s="257"/>
      <c r="M511" s="259"/>
      <c r="N511" s="10"/>
      <c r="O511" s="133"/>
      <c r="P511" s="133"/>
      <c r="Q511" s="10"/>
      <c r="R511" s="10"/>
      <c r="S511" s="10"/>
      <c r="T511" s="10"/>
      <c r="U511" s="10"/>
      <c r="V511" s="10"/>
      <c r="W511" s="10"/>
      <c r="X511" s="10"/>
    </row>
    <row r="512">
      <c r="A512" s="257"/>
      <c r="B512" s="257"/>
      <c r="C512" s="258"/>
      <c r="D512" s="257"/>
      <c r="E512" s="257"/>
      <c r="F512" s="257"/>
      <c r="G512" s="257"/>
      <c r="H512" s="257"/>
      <c r="I512" s="257"/>
      <c r="J512" s="257"/>
      <c r="K512" s="257"/>
      <c r="L512" s="257"/>
      <c r="M512" s="259"/>
      <c r="N512" s="10"/>
      <c r="O512" s="133"/>
      <c r="P512" s="133"/>
      <c r="Q512" s="10"/>
      <c r="R512" s="10"/>
      <c r="S512" s="10"/>
      <c r="T512" s="10"/>
      <c r="U512" s="10"/>
      <c r="V512" s="10"/>
      <c r="W512" s="10"/>
      <c r="X512" s="10"/>
    </row>
    <row r="513">
      <c r="A513" s="257"/>
      <c r="B513" s="257"/>
      <c r="C513" s="258"/>
      <c r="D513" s="257"/>
      <c r="E513" s="257"/>
      <c r="F513" s="257"/>
      <c r="G513" s="257"/>
      <c r="H513" s="257"/>
      <c r="I513" s="257"/>
      <c r="J513" s="257"/>
      <c r="K513" s="257"/>
      <c r="L513" s="257"/>
      <c r="M513" s="259"/>
      <c r="N513" s="10"/>
      <c r="O513" s="133"/>
      <c r="P513" s="133"/>
      <c r="Q513" s="10"/>
      <c r="R513" s="10"/>
      <c r="S513" s="10"/>
      <c r="T513" s="10"/>
      <c r="U513" s="10"/>
      <c r="V513" s="10"/>
      <c r="W513" s="10"/>
      <c r="X513" s="10"/>
    </row>
    <row r="514">
      <c r="A514" s="257"/>
      <c r="B514" s="257"/>
      <c r="C514" s="258"/>
      <c r="D514" s="257"/>
      <c r="E514" s="257"/>
      <c r="F514" s="257"/>
      <c r="G514" s="257"/>
      <c r="H514" s="257"/>
      <c r="I514" s="257"/>
      <c r="J514" s="257"/>
      <c r="K514" s="257"/>
      <c r="L514" s="257"/>
      <c r="M514" s="259"/>
      <c r="N514" s="10"/>
      <c r="O514" s="133"/>
      <c r="P514" s="133"/>
      <c r="Q514" s="10"/>
      <c r="R514" s="10"/>
      <c r="S514" s="10"/>
      <c r="T514" s="10"/>
      <c r="U514" s="10"/>
      <c r="V514" s="10"/>
      <c r="W514" s="10"/>
      <c r="X514" s="10"/>
    </row>
    <row r="515">
      <c r="A515" s="257"/>
      <c r="B515" s="257"/>
      <c r="C515" s="258"/>
      <c r="D515" s="257"/>
      <c r="E515" s="257"/>
      <c r="F515" s="257"/>
      <c r="G515" s="257"/>
      <c r="H515" s="257"/>
      <c r="I515" s="257"/>
      <c r="J515" s="257"/>
      <c r="K515" s="257"/>
      <c r="L515" s="257"/>
      <c r="M515" s="259"/>
      <c r="N515" s="10"/>
      <c r="O515" s="133"/>
      <c r="P515" s="133"/>
      <c r="Q515" s="10"/>
      <c r="R515" s="10"/>
      <c r="S515" s="10"/>
      <c r="T515" s="10"/>
      <c r="U515" s="10"/>
      <c r="V515" s="10"/>
      <c r="W515" s="10"/>
      <c r="X515" s="10"/>
    </row>
    <row r="516">
      <c r="A516" s="257"/>
      <c r="B516" s="257"/>
      <c r="C516" s="258"/>
      <c r="D516" s="257"/>
      <c r="E516" s="257"/>
      <c r="F516" s="257"/>
      <c r="G516" s="257"/>
      <c r="H516" s="257"/>
      <c r="I516" s="257"/>
      <c r="J516" s="257"/>
      <c r="K516" s="257"/>
      <c r="L516" s="257"/>
      <c r="M516" s="259"/>
      <c r="N516" s="10"/>
      <c r="O516" s="133"/>
      <c r="P516" s="133"/>
      <c r="Q516" s="10"/>
      <c r="R516" s="10"/>
      <c r="S516" s="10"/>
      <c r="T516" s="10"/>
      <c r="U516" s="10"/>
      <c r="V516" s="10"/>
      <c r="W516" s="10"/>
      <c r="X516" s="10"/>
    </row>
    <row r="517">
      <c r="A517" s="257"/>
      <c r="B517" s="257"/>
      <c r="C517" s="258"/>
      <c r="D517" s="257"/>
      <c r="E517" s="257"/>
      <c r="F517" s="257"/>
      <c r="G517" s="257"/>
      <c r="H517" s="257"/>
      <c r="I517" s="257"/>
      <c r="J517" s="257"/>
      <c r="K517" s="257"/>
      <c r="L517" s="257"/>
      <c r="M517" s="259"/>
      <c r="N517" s="10"/>
      <c r="O517" s="133"/>
      <c r="P517" s="133"/>
      <c r="Q517" s="10"/>
      <c r="R517" s="10"/>
      <c r="S517" s="10"/>
      <c r="T517" s="10"/>
      <c r="U517" s="10"/>
      <c r="V517" s="10"/>
      <c r="W517" s="10"/>
      <c r="X517" s="10"/>
    </row>
    <row r="518">
      <c r="A518" s="257"/>
      <c r="B518" s="257"/>
      <c r="C518" s="258"/>
      <c r="D518" s="257"/>
      <c r="E518" s="257"/>
      <c r="F518" s="257"/>
      <c r="G518" s="257"/>
      <c r="H518" s="257"/>
      <c r="I518" s="257"/>
      <c r="J518" s="257"/>
      <c r="K518" s="257"/>
      <c r="L518" s="257"/>
      <c r="M518" s="259"/>
      <c r="N518" s="10"/>
      <c r="O518" s="133"/>
      <c r="P518" s="133"/>
      <c r="Q518" s="10"/>
      <c r="R518" s="10"/>
      <c r="S518" s="10"/>
      <c r="T518" s="10"/>
      <c r="U518" s="10"/>
      <c r="V518" s="10"/>
      <c r="W518" s="10"/>
      <c r="X518" s="10"/>
    </row>
    <row r="519">
      <c r="A519" s="257"/>
      <c r="B519" s="257"/>
      <c r="C519" s="258"/>
      <c r="D519" s="257"/>
      <c r="E519" s="257"/>
      <c r="F519" s="257"/>
      <c r="G519" s="257"/>
      <c r="H519" s="257"/>
      <c r="I519" s="257"/>
      <c r="J519" s="257"/>
      <c r="K519" s="257"/>
      <c r="L519" s="257"/>
      <c r="M519" s="259"/>
      <c r="N519" s="10"/>
      <c r="O519" s="133"/>
      <c r="P519" s="133"/>
      <c r="Q519" s="10"/>
      <c r="R519" s="10"/>
      <c r="S519" s="10"/>
      <c r="T519" s="10"/>
      <c r="U519" s="10"/>
      <c r="V519" s="10"/>
      <c r="W519" s="10"/>
      <c r="X519" s="10"/>
    </row>
    <row r="520">
      <c r="A520" s="257"/>
      <c r="B520" s="257"/>
      <c r="C520" s="258"/>
      <c r="D520" s="257"/>
      <c r="E520" s="257"/>
      <c r="F520" s="257"/>
      <c r="G520" s="257"/>
      <c r="H520" s="257"/>
      <c r="I520" s="257"/>
      <c r="J520" s="257"/>
      <c r="K520" s="257"/>
      <c r="L520" s="257"/>
      <c r="M520" s="259"/>
      <c r="N520" s="10"/>
      <c r="O520" s="133"/>
      <c r="P520" s="133"/>
      <c r="Q520" s="10"/>
      <c r="R520" s="10"/>
      <c r="S520" s="10"/>
      <c r="T520" s="10"/>
      <c r="U520" s="10"/>
      <c r="V520" s="10"/>
      <c r="W520" s="10"/>
      <c r="X520" s="10"/>
    </row>
    <row r="521">
      <c r="A521" s="257"/>
      <c r="B521" s="257"/>
      <c r="C521" s="258"/>
      <c r="D521" s="257"/>
      <c r="E521" s="257"/>
      <c r="F521" s="257"/>
      <c r="G521" s="257"/>
      <c r="H521" s="257"/>
      <c r="I521" s="257"/>
      <c r="J521" s="257"/>
      <c r="K521" s="257"/>
      <c r="L521" s="257"/>
      <c r="M521" s="259"/>
      <c r="N521" s="10"/>
      <c r="O521" s="133"/>
      <c r="P521" s="133"/>
      <c r="Q521" s="10"/>
      <c r="R521" s="10"/>
      <c r="S521" s="10"/>
      <c r="T521" s="10"/>
      <c r="U521" s="10"/>
      <c r="V521" s="10"/>
      <c r="W521" s="10"/>
      <c r="X521" s="10"/>
    </row>
    <row r="522">
      <c r="A522" s="257"/>
      <c r="B522" s="257"/>
      <c r="C522" s="258"/>
      <c r="D522" s="257"/>
      <c r="E522" s="257"/>
      <c r="F522" s="257"/>
      <c r="G522" s="257"/>
      <c r="H522" s="257"/>
      <c r="I522" s="257"/>
      <c r="J522" s="257"/>
      <c r="K522" s="257"/>
      <c r="L522" s="257"/>
      <c r="M522" s="259"/>
      <c r="N522" s="10"/>
      <c r="O522" s="133"/>
      <c r="P522" s="133"/>
      <c r="Q522" s="10"/>
      <c r="R522" s="10"/>
      <c r="S522" s="10"/>
      <c r="T522" s="10"/>
      <c r="U522" s="10"/>
      <c r="V522" s="10"/>
      <c r="W522" s="10"/>
      <c r="X522" s="10"/>
    </row>
    <row r="523">
      <c r="A523" s="257"/>
      <c r="B523" s="257"/>
      <c r="C523" s="258"/>
      <c r="D523" s="257"/>
      <c r="E523" s="257"/>
      <c r="F523" s="257"/>
      <c r="G523" s="257"/>
      <c r="H523" s="257"/>
      <c r="I523" s="257"/>
      <c r="J523" s="257"/>
      <c r="K523" s="257"/>
      <c r="L523" s="257"/>
      <c r="M523" s="259"/>
      <c r="N523" s="10"/>
      <c r="O523" s="133"/>
      <c r="P523" s="133"/>
      <c r="Q523" s="10"/>
      <c r="R523" s="10"/>
      <c r="S523" s="10"/>
      <c r="T523" s="10"/>
      <c r="U523" s="10"/>
      <c r="V523" s="10"/>
      <c r="W523" s="10"/>
      <c r="X523" s="10"/>
    </row>
    <row r="524">
      <c r="A524" s="257"/>
      <c r="B524" s="257"/>
      <c r="C524" s="258"/>
      <c r="D524" s="257"/>
      <c r="E524" s="257"/>
      <c r="F524" s="257"/>
      <c r="G524" s="257"/>
      <c r="H524" s="257"/>
      <c r="I524" s="257"/>
      <c r="J524" s="257"/>
      <c r="K524" s="257"/>
      <c r="L524" s="257"/>
      <c r="M524" s="259"/>
      <c r="N524" s="10"/>
      <c r="O524" s="133"/>
      <c r="P524" s="133"/>
      <c r="Q524" s="10"/>
      <c r="R524" s="10"/>
      <c r="S524" s="10"/>
      <c r="T524" s="10"/>
      <c r="U524" s="10"/>
      <c r="V524" s="10"/>
      <c r="W524" s="10"/>
      <c r="X524" s="10"/>
    </row>
    <row r="525">
      <c r="A525" s="257"/>
      <c r="B525" s="257"/>
      <c r="C525" s="258"/>
      <c r="D525" s="257"/>
      <c r="E525" s="257"/>
      <c r="F525" s="257"/>
      <c r="G525" s="257"/>
      <c r="H525" s="257"/>
      <c r="I525" s="257"/>
      <c r="J525" s="257"/>
      <c r="K525" s="257"/>
      <c r="L525" s="257"/>
      <c r="M525" s="259"/>
      <c r="N525" s="10"/>
      <c r="O525" s="133"/>
      <c r="P525" s="133"/>
      <c r="Q525" s="10"/>
      <c r="R525" s="10"/>
      <c r="S525" s="10"/>
      <c r="T525" s="10"/>
      <c r="U525" s="10"/>
      <c r="V525" s="10"/>
      <c r="W525" s="10"/>
      <c r="X525" s="10"/>
    </row>
    <row r="526">
      <c r="A526" s="257"/>
      <c r="B526" s="257"/>
      <c r="C526" s="258"/>
      <c r="D526" s="257"/>
      <c r="E526" s="257"/>
      <c r="F526" s="257"/>
      <c r="G526" s="257"/>
      <c r="H526" s="257"/>
      <c r="I526" s="257"/>
      <c r="J526" s="257"/>
      <c r="K526" s="257"/>
      <c r="L526" s="257"/>
      <c r="M526" s="259"/>
      <c r="N526" s="10"/>
      <c r="O526" s="133"/>
      <c r="P526" s="133"/>
      <c r="Q526" s="10"/>
      <c r="R526" s="10"/>
      <c r="S526" s="10"/>
      <c r="T526" s="10"/>
      <c r="U526" s="10"/>
      <c r="V526" s="10"/>
      <c r="W526" s="10"/>
      <c r="X526" s="10"/>
    </row>
    <row r="527">
      <c r="A527" s="257"/>
      <c r="B527" s="257"/>
      <c r="C527" s="258"/>
      <c r="D527" s="257"/>
      <c r="E527" s="257"/>
      <c r="F527" s="257"/>
      <c r="G527" s="257"/>
      <c r="H527" s="257"/>
      <c r="I527" s="257"/>
      <c r="J527" s="257"/>
      <c r="K527" s="257"/>
      <c r="L527" s="257"/>
      <c r="M527" s="259"/>
      <c r="N527" s="10"/>
      <c r="O527" s="133"/>
      <c r="P527" s="133"/>
      <c r="Q527" s="10"/>
      <c r="R527" s="10"/>
      <c r="S527" s="10"/>
      <c r="T527" s="10"/>
      <c r="U527" s="10"/>
      <c r="V527" s="10"/>
      <c r="W527" s="10"/>
      <c r="X527" s="10"/>
    </row>
    <row r="528">
      <c r="A528" s="257"/>
      <c r="B528" s="257"/>
      <c r="C528" s="258"/>
      <c r="D528" s="257"/>
      <c r="E528" s="257"/>
      <c r="F528" s="257"/>
      <c r="G528" s="257"/>
      <c r="H528" s="257"/>
      <c r="I528" s="257"/>
      <c r="J528" s="257"/>
      <c r="K528" s="257"/>
      <c r="L528" s="257"/>
      <c r="M528" s="259"/>
      <c r="N528" s="10"/>
      <c r="O528" s="133"/>
      <c r="P528" s="133"/>
      <c r="Q528" s="10"/>
      <c r="R528" s="10"/>
      <c r="S528" s="10"/>
      <c r="T528" s="10"/>
      <c r="U528" s="10"/>
      <c r="V528" s="10"/>
      <c r="W528" s="10"/>
      <c r="X528" s="10"/>
    </row>
    <row r="529">
      <c r="A529" s="257"/>
      <c r="B529" s="257"/>
      <c r="C529" s="258"/>
      <c r="D529" s="257"/>
      <c r="E529" s="257"/>
      <c r="F529" s="257"/>
      <c r="G529" s="257"/>
      <c r="H529" s="257"/>
      <c r="I529" s="257"/>
      <c r="J529" s="257"/>
      <c r="K529" s="257"/>
      <c r="L529" s="257"/>
      <c r="M529" s="259"/>
      <c r="N529" s="10"/>
      <c r="O529" s="133"/>
      <c r="P529" s="133"/>
      <c r="Q529" s="10"/>
      <c r="R529" s="10"/>
      <c r="S529" s="10"/>
      <c r="T529" s="10"/>
      <c r="U529" s="10"/>
      <c r="V529" s="10"/>
      <c r="W529" s="10"/>
      <c r="X529" s="10"/>
    </row>
    <row r="530">
      <c r="A530" s="257"/>
      <c r="B530" s="257"/>
      <c r="C530" s="258"/>
      <c r="D530" s="257"/>
      <c r="E530" s="257"/>
      <c r="F530" s="257"/>
      <c r="G530" s="257"/>
      <c r="H530" s="257"/>
      <c r="I530" s="257"/>
      <c r="J530" s="257"/>
      <c r="K530" s="257"/>
      <c r="L530" s="257"/>
      <c r="M530" s="259"/>
      <c r="N530" s="10"/>
      <c r="O530" s="133"/>
      <c r="P530" s="133"/>
      <c r="Q530" s="10"/>
      <c r="R530" s="10"/>
      <c r="S530" s="10"/>
      <c r="T530" s="10"/>
      <c r="U530" s="10"/>
      <c r="V530" s="10"/>
      <c r="W530" s="10"/>
      <c r="X530" s="10"/>
    </row>
    <row r="531">
      <c r="A531" s="257"/>
      <c r="B531" s="257"/>
      <c r="C531" s="258"/>
      <c r="D531" s="257"/>
      <c r="E531" s="257"/>
      <c r="F531" s="257"/>
      <c r="G531" s="257"/>
      <c r="H531" s="257"/>
      <c r="I531" s="257"/>
      <c r="J531" s="257"/>
      <c r="K531" s="257"/>
      <c r="L531" s="257"/>
      <c r="M531" s="259"/>
      <c r="N531" s="10"/>
      <c r="O531" s="133"/>
      <c r="P531" s="133"/>
      <c r="Q531" s="10"/>
      <c r="R531" s="10"/>
      <c r="S531" s="10"/>
      <c r="T531" s="10"/>
      <c r="U531" s="10"/>
      <c r="V531" s="10"/>
      <c r="W531" s="10"/>
      <c r="X531" s="10"/>
    </row>
    <row r="532">
      <c r="A532" s="257"/>
      <c r="B532" s="257"/>
      <c r="C532" s="258"/>
      <c r="D532" s="257"/>
      <c r="E532" s="257"/>
      <c r="F532" s="257"/>
      <c r="G532" s="257"/>
      <c r="H532" s="257"/>
      <c r="I532" s="257"/>
      <c r="J532" s="257"/>
      <c r="K532" s="257"/>
      <c r="L532" s="257"/>
      <c r="M532" s="259"/>
      <c r="N532" s="10"/>
      <c r="O532" s="133"/>
      <c r="P532" s="133"/>
      <c r="Q532" s="10"/>
      <c r="R532" s="10"/>
      <c r="S532" s="10"/>
      <c r="T532" s="10"/>
      <c r="U532" s="10"/>
      <c r="V532" s="10"/>
      <c r="W532" s="10"/>
      <c r="X532" s="10"/>
    </row>
    <row r="533">
      <c r="A533" s="257"/>
      <c r="B533" s="257"/>
      <c r="C533" s="258"/>
      <c r="D533" s="257"/>
      <c r="E533" s="257"/>
      <c r="F533" s="257"/>
      <c r="G533" s="257"/>
      <c r="H533" s="257"/>
      <c r="I533" s="257"/>
      <c r="J533" s="257"/>
      <c r="K533" s="257"/>
      <c r="L533" s="257"/>
      <c r="M533" s="259"/>
      <c r="N533" s="10"/>
      <c r="O533" s="133"/>
      <c r="P533" s="133"/>
      <c r="Q533" s="10"/>
      <c r="R533" s="10"/>
      <c r="S533" s="10"/>
      <c r="T533" s="10"/>
      <c r="U533" s="10"/>
      <c r="V533" s="10"/>
      <c r="W533" s="10"/>
      <c r="X533" s="10"/>
    </row>
    <row r="534">
      <c r="A534" s="257"/>
      <c r="B534" s="257"/>
      <c r="C534" s="258"/>
      <c r="D534" s="257"/>
      <c r="E534" s="257"/>
      <c r="F534" s="257"/>
      <c r="G534" s="257"/>
      <c r="H534" s="257"/>
      <c r="I534" s="257"/>
      <c r="J534" s="257"/>
      <c r="K534" s="257"/>
      <c r="L534" s="257"/>
      <c r="M534" s="259"/>
      <c r="N534" s="10"/>
      <c r="O534" s="133"/>
      <c r="P534" s="133"/>
      <c r="Q534" s="10"/>
      <c r="R534" s="10"/>
      <c r="S534" s="10"/>
      <c r="T534" s="10"/>
      <c r="U534" s="10"/>
      <c r="V534" s="10"/>
      <c r="W534" s="10"/>
      <c r="X534" s="10"/>
    </row>
    <row r="535">
      <c r="A535" s="257"/>
      <c r="B535" s="257"/>
      <c r="C535" s="258"/>
      <c r="D535" s="257"/>
      <c r="E535" s="257"/>
      <c r="F535" s="257"/>
      <c r="G535" s="257"/>
      <c r="H535" s="257"/>
      <c r="I535" s="257"/>
      <c r="J535" s="257"/>
      <c r="K535" s="257"/>
      <c r="L535" s="257"/>
      <c r="M535" s="259"/>
      <c r="N535" s="10"/>
      <c r="O535" s="133"/>
      <c r="P535" s="133"/>
      <c r="Q535" s="10"/>
      <c r="R535" s="10"/>
      <c r="S535" s="10"/>
      <c r="T535" s="10"/>
      <c r="U535" s="10"/>
      <c r="V535" s="10"/>
      <c r="W535" s="10"/>
      <c r="X535" s="10"/>
    </row>
    <row r="536">
      <c r="A536" s="257"/>
      <c r="B536" s="257"/>
      <c r="C536" s="258"/>
      <c r="D536" s="257"/>
      <c r="E536" s="257"/>
      <c r="F536" s="257"/>
      <c r="G536" s="257"/>
      <c r="H536" s="257"/>
      <c r="I536" s="257"/>
      <c r="J536" s="257"/>
      <c r="K536" s="257"/>
      <c r="L536" s="257"/>
      <c r="M536" s="259"/>
      <c r="N536" s="10"/>
      <c r="O536" s="133"/>
      <c r="P536" s="133"/>
      <c r="Q536" s="10"/>
      <c r="R536" s="10"/>
      <c r="S536" s="10"/>
      <c r="T536" s="10"/>
      <c r="U536" s="10"/>
      <c r="V536" s="10"/>
      <c r="W536" s="10"/>
      <c r="X536" s="10"/>
    </row>
    <row r="537">
      <c r="A537" s="257"/>
      <c r="B537" s="257"/>
      <c r="C537" s="258"/>
      <c r="D537" s="257"/>
      <c r="E537" s="257"/>
      <c r="F537" s="257"/>
      <c r="G537" s="257"/>
      <c r="H537" s="257"/>
      <c r="I537" s="257"/>
      <c r="J537" s="257"/>
      <c r="K537" s="257"/>
      <c r="L537" s="257"/>
      <c r="M537" s="259"/>
      <c r="N537" s="10"/>
      <c r="O537" s="133"/>
      <c r="P537" s="133"/>
      <c r="Q537" s="10"/>
      <c r="R537" s="10"/>
      <c r="S537" s="10"/>
      <c r="T537" s="10"/>
      <c r="U537" s="10"/>
      <c r="V537" s="10"/>
      <c r="W537" s="10"/>
      <c r="X537" s="10"/>
    </row>
    <row r="538">
      <c r="A538" s="257"/>
      <c r="B538" s="257"/>
      <c r="C538" s="258"/>
      <c r="D538" s="257"/>
      <c r="E538" s="257"/>
      <c r="F538" s="257"/>
      <c r="G538" s="257"/>
      <c r="H538" s="257"/>
      <c r="I538" s="257"/>
      <c r="J538" s="257"/>
      <c r="K538" s="257"/>
      <c r="L538" s="257"/>
      <c r="M538" s="259"/>
      <c r="N538" s="10"/>
      <c r="O538" s="133"/>
      <c r="P538" s="133"/>
      <c r="Q538" s="10"/>
      <c r="R538" s="10"/>
      <c r="S538" s="10"/>
      <c r="T538" s="10"/>
      <c r="U538" s="10"/>
      <c r="V538" s="10"/>
      <c r="W538" s="10"/>
      <c r="X538" s="10"/>
    </row>
    <row r="539">
      <c r="A539" s="257"/>
      <c r="B539" s="257"/>
      <c r="C539" s="258"/>
      <c r="D539" s="257"/>
      <c r="E539" s="257"/>
      <c r="F539" s="257"/>
      <c r="G539" s="257"/>
      <c r="H539" s="257"/>
      <c r="I539" s="257"/>
      <c r="J539" s="257"/>
      <c r="K539" s="257"/>
      <c r="L539" s="257"/>
      <c r="M539" s="259"/>
      <c r="N539" s="10"/>
      <c r="O539" s="133"/>
      <c r="P539" s="133"/>
      <c r="Q539" s="10"/>
      <c r="R539" s="10"/>
      <c r="S539" s="10"/>
      <c r="T539" s="10"/>
      <c r="U539" s="10"/>
      <c r="V539" s="10"/>
      <c r="W539" s="10"/>
      <c r="X539" s="10"/>
    </row>
    <row r="540">
      <c r="A540" s="257"/>
      <c r="B540" s="257"/>
      <c r="C540" s="258"/>
      <c r="D540" s="257"/>
      <c r="E540" s="257"/>
      <c r="F540" s="257"/>
      <c r="G540" s="257"/>
      <c r="H540" s="257"/>
      <c r="I540" s="257"/>
      <c r="J540" s="257"/>
      <c r="K540" s="257"/>
      <c r="L540" s="257"/>
      <c r="M540" s="259"/>
      <c r="N540" s="10"/>
      <c r="O540" s="133"/>
      <c r="P540" s="133"/>
      <c r="Q540" s="10"/>
      <c r="R540" s="10"/>
      <c r="S540" s="10"/>
      <c r="T540" s="10"/>
      <c r="U540" s="10"/>
      <c r="V540" s="10"/>
      <c r="W540" s="10"/>
      <c r="X540" s="10"/>
    </row>
    <row r="541">
      <c r="A541" s="257"/>
      <c r="B541" s="257"/>
      <c r="C541" s="258"/>
      <c r="D541" s="257"/>
      <c r="E541" s="257"/>
      <c r="F541" s="257"/>
      <c r="G541" s="257"/>
      <c r="H541" s="257"/>
      <c r="I541" s="257"/>
      <c r="J541" s="257"/>
      <c r="K541" s="257"/>
      <c r="L541" s="257"/>
      <c r="M541" s="259"/>
      <c r="N541" s="10"/>
      <c r="O541" s="133"/>
      <c r="P541" s="133"/>
      <c r="Q541" s="10"/>
      <c r="R541" s="10"/>
      <c r="S541" s="10"/>
      <c r="T541" s="10"/>
      <c r="U541" s="10"/>
      <c r="V541" s="10"/>
      <c r="W541" s="10"/>
      <c r="X541" s="10"/>
    </row>
    <row r="542">
      <c r="A542" s="257"/>
      <c r="B542" s="257"/>
      <c r="C542" s="258"/>
      <c r="D542" s="257"/>
      <c r="E542" s="257"/>
      <c r="F542" s="257"/>
      <c r="G542" s="257"/>
      <c r="H542" s="257"/>
      <c r="I542" s="257"/>
      <c r="J542" s="257"/>
      <c r="K542" s="257"/>
      <c r="L542" s="257"/>
      <c r="M542" s="259"/>
      <c r="N542" s="10"/>
      <c r="O542" s="133"/>
      <c r="P542" s="133"/>
      <c r="Q542" s="10"/>
      <c r="R542" s="10"/>
      <c r="S542" s="10"/>
      <c r="T542" s="10"/>
      <c r="U542" s="10"/>
      <c r="V542" s="10"/>
      <c r="W542" s="10"/>
      <c r="X542" s="10"/>
    </row>
    <row r="543">
      <c r="A543" s="257"/>
      <c r="B543" s="257"/>
      <c r="C543" s="258"/>
      <c r="D543" s="257"/>
      <c r="E543" s="257"/>
      <c r="F543" s="257"/>
      <c r="G543" s="257"/>
      <c r="H543" s="257"/>
      <c r="I543" s="257"/>
      <c r="J543" s="257"/>
      <c r="K543" s="257"/>
      <c r="L543" s="257"/>
      <c r="M543" s="259"/>
      <c r="N543" s="10"/>
      <c r="O543" s="133"/>
      <c r="P543" s="133"/>
      <c r="Q543" s="10"/>
      <c r="R543" s="10"/>
      <c r="S543" s="10"/>
      <c r="T543" s="10"/>
      <c r="U543" s="10"/>
      <c r="V543" s="10"/>
      <c r="W543" s="10"/>
      <c r="X543" s="10"/>
    </row>
    <row r="544">
      <c r="A544" s="257"/>
      <c r="B544" s="257"/>
      <c r="C544" s="258"/>
      <c r="D544" s="257"/>
      <c r="E544" s="257"/>
      <c r="F544" s="257"/>
      <c r="G544" s="257"/>
      <c r="H544" s="257"/>
      <c r="I544" s="257"/>
      <c r="J544" s="257"/>
      <c r="K544" s="257"/>
      <c r="L544" s="257"/>
      <c r="M544" s="259"/>
      <c r="N544" s="10"/>
      <c r="O544" s="133"/>
      <c r="P544" s="133"/>
      <c r="Q544" s="10"/>
      <c r="R544" s="10"/>
      <c r="S544" s="10"/>
      <c r="T544" s="10"/>
      <c r="U544" s="10"/>
      <c r="V544" s="10"/>
      <c r="W544" s="10"/>
      <c r="X544" s="10"/>
    </row>
    <row r="545">
      <c r="A545" s="257"/>
      <c r="B545" s="257"/>
      <c r="C545" s="258"/>
      <c r="D545" s="257"/>
      <c r="E545" s="257"/>
      <c r="F545" s="257"/>
      <c r="G545" s="257"/>
      <c r="H545" s="257"/>
      <c r="I545" s="257"/>
      <c r="J545" s="257"/>
      <c r="K545" s="257"/>
      <c r="L545" s="257"/>
      <c r="M545" s="259"/>
      <c r="N545" s="10"/>
      <c r="O545" s="133"/>
      <c r="P545" s="133"/>
      <c r="Q545" s="10"/>
      <c r="R545" s="10"/>
      <c r="S545" s="10"/>
      <c r="T545" s="10"/>
      <c r="U545" s="10"/>
      <c r="V545" s="10"/>
      <c r="W545" s="10"/>
      <c r="X545" s="10"/>
    </row>
    <row r="546">
      <c r="A546" s="257"/>
      <c r="B546" s="257"/>
      <c r="C546" s="258"/>
      <c r="D546" s="257"/>
      <c r="E546" s="257"/>
      <c r="F546" s="257"/>
      <c r="G546" s="257"/>
      <c r="H546" s="257"/>
      <c r="I546" s="257"/>
      <c r="J546" s="257"/>
      <c r="K546" s="257"/>
      <c r="L546" s="257"/>
      <c r="M546" s="259"/>
      <c r="N546" s="10"/>
      <c r="O546" s="133"/>
      <c r="P546" s="133"/>
      <c r="Q546" s="10"/>
      <c r="R546" s="10"/>
      <c r="S546" s="10"/>
      <c r="T546" s="10"/>
      <c r="U546" s="10"/>
      <c r="V546" s="10"/>
      <c r="W546" s="10"/>
      <c r="X546" s="10"/>
    </row>
    <row r="547">
      <c r="A547" s="257"/>
      <c r="B547" s="257"/>
      <c r="C547" s="258"/>
      <c r="D547" s="257"/>
      <c r="E547" s="257"/>
      <c r="F547" s="257"/>
      <c r="G547" s="257"/>
      <c r="H547" s="257"/>
      <c r="I547" s="257"/>
      <c r="J547" s="257"/>
      <c r="K547" s="257"/>
      <c r="L547" s="257"/>
      <c r="M547" s="259"/>
      <c r="N547" s="10"/>
      <c r="O547" s="133"/>
      <c r="P547" s="133"/>
      <c r="Q547" s="10"/>
      <c r="R547" s="10"/>
      <c r="S547" s="10"/>
      <c r="T547" s="10"/>
      <c r="U547" s="10"/>
      <c r="V547" s="10"/>
      <c r="W547" s="10"/>
      <c r="X547" s="10"/>
    </row>
    <row r="548">
      <c r="A548" s="257"/>
      <c r="B548" s="257"/>
      <c r="C548" s="258"/>
      <c r="D548" s="257"/>
      <c r="E548" s="257"/>
      <c r="F548" s="257"/>
      <c r="G548" s="257"/>
      <c r="H548" s="257"/>
      <c r="I548" s="257"/>
      <c r="J548" s="257"/>
      <c r="K548" s="257"/>
      <c r="L548" s="257"/>
      <c r="M548" s="259"/>
      <c r="N548" s="10"/>
      <c r="O548" s="133"/>
      <c r="P548" s="133"/>
      <c r="Q548" s="10"/>
      <c r="R548" s="10"/>
      <c r="S548" s="10"/>
      <c r="T548" s="10"/>
      <c r="U548" s="10"/>
      <c r="V548" s="10"/>
      <c r="W548" s="10"/>
      <c r="X548" s="10"/>
    </row>
    <row r="549">
      <c r="A549" s="257"/>
      <c r="B549" s="257"/>
      <c r="C549" s="258"/>
      <c r="D549" s="257"/>
      <c r="E549" s="257"/>
      <c r="F549" s="257"/>
      <c r="G549" s="257"/>
      <c r="H549" s="257"/>
      <c r="I549" s="257"/>
      <c r="J549" s="257"/>
      <c r="K549" s="257"/>
      <c r="L549" s="257"/>
      <c r="M549" s="259"/>
      <c r="N549" s="10"/>
      <c r="O549" s="133"/>
      <c r="P549" s="133"/>
      <c r="Q549" s="10"/>
      <c r="R549" s="10"/>
      <c r="S549" s="10"/>
      <c r="T549" s="10"/>
      <c r="U549" s="10"/>
      <c r="V549" s="10"/>
      <c r="W549" s="10"/>
      <c r="X549" s="10"/>
    </row>
    <row r="550">
      <c r="A550" s="257"/>
      <c r="B550" s="257"/>
      <c r="C550" s="258"/>
      <c r="D550" s="257"/>
      <c r="E550" s="257"/>
      <c r="F550" s="257"/>
      <c r="G550" s="257"/>
      <c r="H550" s="257"/>
      <c r="I550" s="257"/>
      <c r="J550" s="257"/>
      <c r="K550" s="257"/>
      <c r="L550" s="257"/>
      <c r="M550" s="259"/>
      <c r="N550" s="10"/>
      <c r="O550" s="133"/>
      <c r="P550" s="133"/>
      <c r="Q550" s="10"/>
      <c r="R550" s="10"/>
      <c r="S550" s="10"/>
      <c r="T550" s="10"/>
      <c r="U550" s="10"/>
      <c r="V550" s="10"/>
      <c r="W550" s="10"/>
      <c r="X550" s="10"/>
    </row>
    <row r="551">
      <c r="A551" s="257"/>
      <c r="B551" s="257"/>
      <c r="C551" s="258"/>
      <c r="D551" s="257"/>
      <c r="E551" s="257"/>
      <c r="F551" s="257"/>
      <c r="G551" s="257"/>
      <c r="H551" s="257"/>
      <c r="I551" s="257"/>
      <c r="J551" s="257"/>
      <c r="K551" s="257"/>
      <c r="L551" s="257"/>
      <c r="M551" s="259"/>
      <c r="N551" s="10"/>
      <c r="O551" s="133"/>
      <c r="P551" s="133"/>
      <c r="Q551" s="10"/>
      <c r="R551" s="10"/>
      <c r="S551" s="10"/>
      <c r="T551" s="10"/>
      <c r="U551" s="10"/>
      <c r="V551" s="10"/>
      <c r="W551" s="10"/>
      <c r="X551" s="10"/>
    </row>
    <row r="552">
      <c r="A552" s="257"/>
      <c r="B552" s="257"/>
      <c r="C552" s="258"/>
      <c r="D552" s="257"/>
      <c r="E552" s="257"/>
      <c r="F552" s="257"/>
      <c r="G552" s="257"/>
      <c r="H552" s="257"/>
      <c r="I552" s="257"/>
      <c r="J552" s="257"/>
      <c r="K552" s="257"/>
      <c r="L552" s="257"/>
      <c r="M552" s="259"/>
      <c r="N552" s="10"/>
      <c r="O552" s="133"/>
      <c r="P552" s="133"/>
      <c r="Q552" s="10"/>
      <c r="R552" s="10"/>
      <c r="S552" s="10"/>
      <c r="T552" s="10"/>
      <c r="U552" s="10"/>
      <c r="V552" s="10"/>
      <c r="W552" s="10"/>
      <c r="X552" s="10"/>
    </row>
    <row r="553">
      <c r="A553" s="257"/>
      <c r="B553" s="257"/>
      <c r="C553" s="258"/>
      <c r="D553" s="257"/>
      <c r="E553" s="257"/>
      <c r="F553" s="257"/>
      <c r="G553" s="257"/>
      <c r="H553" s="257"/>
      <c r="I553" s="257"/>
      <c r="J553" s="257"/>
      <c r="K553" s="257"/>
      <c r="L553" s="257"/>
      <c r="M553" s="259"/>
      <c r="N553" s="10"/>
      <c r="O553" s="133"/>
      <c r="P553" s="133"/>
      <c r="Q553" s="10"/>
      <c r="R553" s="10"/>
      <c r="S553" s="10"/>
      <c r="T553" s="10"/>
      <c r="U553" s="10"/>
      <c r="V553" s="10"/>
      <c r="W553" s="10"/>
      <c r="X553" s="10"/>
    </row>
    <row r="554">
      <c r="A554" s="257"/>
      <c r="B554" s="257"/>
      <c r="C554" s="258"/>
      <c r="D554" s="257"/>
      <c r="E554" s="257"/>
      <c r="F554" s="257"/>
      <c r="G554" s="257"/>
      <c r="H554" s="257"/>
      <c r="I554" s="257"/>
      <c r="J554" s="257"/>
      <c r="K554" s="257"/>
      <c r="L554" s="257"/>
      <c r="M554" s="259"/>
      <c r="N554" s="10"/>
      <c r="O554" s="133"/>
      <c r="P554" s="133"/>
      <c r="Q554" s="10"/>
      <c r="R554" s="10"/>
      <c r="S554" s="10"/>
      <c r="T554" s="10"/>
      <c r="U554" s="10"/>
      <c r="V554" s="10"/>
      <c r="W554" s="10"/>
      <c r="X554" s="10"/>
    </row>
    <row r="555">
      <c r="A555" s="257"/>
      <c r="B555" s="257"/>
      <c r="C555" s="258"/>
      <c r="D555" s="257"/>
      <c r="E555" s="257"/>
      <c r="F555" s="257"/>
      <c r="G555" s="257"/>
      <c r="H555" s="257"/>
      <c r="I555" s="257"/>
      <c r="J555" s="257"/>
      <c r="K555" s="257"/>
      <c r="L555" s="257"/>
      <c r="M555" s="259"/>
      <c r="N555" s="10"/>
      <c r="O555" s="133"/>
      <c r="P555" s="133"/>
      <c r="Q555" s="10"/>
      <c r="R555" s="10"/>
      <c r="S555" s="10"/>
      <c r="T555" s="10"/>
      <c r="U555" s="10"/>
      <c r="V555" s="10"/>
      <c r="W555" s="10"/>
      <c r="X555" s="10"/>
    </row>
    <row r="556">
      <c r="A556" s="257"/>
      <c r="B556" s="257"/>
      <c r="C556" s="258"/>
      <c r="D556" s="257"/>
      <c r="E556" s="257"/>
      <c r="F556" s="257"/>
      <c r="G556" s="257"/>
      <c r="H556" s="257"/>
      <c r="I556" s="257"/>
      <c r="J556" s="257"/>
      <c r="K556" s="257"/>
      <c r="L556" s="257"/>
      <c r="M556" s="259"/>
      <c r="N556" s="10"/>
      <c r="O556" s="133"/>
      <c r="P556" s="133"/>
      <c r="Q556" s="10"/>
      <c r="R556" s="10"/>
      <c r="S556" s="10"/>
      <c r="T556" s="10"/>
      <c r="U556" s="10"/>
      <c r="V556" s="10"/>
      <c r="W556" s="10"/>
      <c r="X556" s="10"/>
    </row>
    <row r="557">
      <c r="A557" s="257"/>
      <c r="B557" s="257"/>
      <c r="C557" s="258"/>
      <c r="D557" s="257"/>
      <c r="E557" s="257"/>
      <c r="F557" s="257"/>
      <c r="G557" s="257"/>
      <c r="H557" s="257"/>
      <c r="I557" s="257"/>
      <c r="J557" s="257"/>
      <c r="K557" s="257"/>
      <c r="L557" s="257"/>
      <c r="M557" s="259"/>
      <c r="N557" s="10"/>
      <c r="O557" s="133"/>
      <c r="P557" s="133"/>
      <c r="Q557" s="10"/>
      <c r="R557" s="10"/>
      <c r="S557" s="10"/>
      <c r="T557" s="10"/>
      <c r="U557" s="10"/>
      <c r="V557" s="10"/>
      <c r="W557" s="10"/>
      <c r="X557" s="10"/>
    </row>
    <row r="558">
      <c r="A558" s="257"/>
      <c r="B558" s="257"/>
      <c r="C558" s="258"/>
      <c r="D558" s="257"/>
      <c r="E558" s="257"/>
      <c r="F558" s="257"/>
      <c r="G558" s="257"/>
      <c r="H558" s="257"/>
      <c r="I558" s="257"/>
      <c r="J558" s="257"/>
      <c r="K558" s="257"/>
      <c r="L558" s="257"/>
      <c r="M558" s="259"/>
      <c r="N558" s="10"/>
      <c r="O558" s="133"/>
      <c r="P558" s="133"/>
      <c r="Q558" s="10"/>
      <c r="R558" s="10"/>
      <c r="S558" s="10"/>
      <c r="T558" s="10"/>
      <c r="U558" s="10"/>
      <c r="V558" s="10"/>
      <c r="W558" s="10"/>
      <c r="X558" s="10"/>
    </row>
    <row r="559">
      <c r="A559" s="257"/>
      <c r="B559" s="257"/>
      <c r="C559" s="258"/>
      <c r="D559" s="257"/>
      <c r="E559" s="257"/>
      <c r="F559" s="257"/>
      <c r="G559" s="257"/>
      <c r="H559" s="257"/>
      <c r="I559" s="257"/>
      <c r="J559" s="257"/>
      <c r="K559" s="257"/>
      <c r="L559" s="257"/>
      <c r="M559" s="259"/>
      <c r="N559" s="10"/>
      <c r="O559" s="133"/>
      <c r="P559" s="133"/>
      <c r="Q559" s="10"/>
      <c r="R559" s="10"/>
      <c r="S559" s="10"/>
      <c r="T559" s="10"/>
      <c r="U559" s="10"/>
      <c r="V559" s="10"/>
      <c r="W559" s="10"/>
      <c r="X559" s="10"/>
    </row>
    <row r="560">
      <c r="A560" s="257"/>
      <c r="B560" s="257"/>
      <c r="C560" s="258"/>
      <c r="D560" s="257"/>
      <c r="E560" s="257"/>
      <c r="F560" s="257"/>
      <c r="G560" s="257"/>
      <c r="H560" s="257"/>
      <c r="I560" s="257"/>
      <c r="J560" s="257"/>
      <c r="K560" s="257"/>
      <c r="L560" s="257"/>
      <c r="M560" s="259"/>
      <c r="N560" s="10"/>
      <c r="O560" s="133"/>
      <c r="P560" s="133"/>
      <c r="Q560" s="10"/>
      <c r="R560" s="10"/>
      <c r="S560" s="10"/>
      <c r="T560" s="10"/>
      <c r="U560" s="10"/>
      <c r="V560" s="10"/>
      <c r="W560" s="10"/>
      <c r="X560" s="10"/>
    </row>
    <row r="561">
      <c r="A561" s="257"/>
      <c r="B561" s="257"/>
      <c r="C561" s="258"/>
      <c r="D561" s="257"/>
      <c r="E561" s="257"/>
      <c r="F561" s="257"/>
      <c r="G561" s="257"/>
      <c r="H561" s="257"/>
      <c r="I561" s="257"/>
      <c r="J561" s="257"/>
      <c r="K561" s="257"/>
      <c r="L561" s="257"/>
      <c r="M561" s="259"/>
      <c r="N561" s="10"/>
      <c r="O561" s="133"/>
      <c r="P561" s="133"/>
      <c r="Q561" s="10"/>
      <c r="R561" s="10"/>
      <c r="S561" s="10"/>
      <c r="T561" s="10"/>
      <c r="U561" s="10"/>
      <c r="V561" s="10"/>
      <c r="W561" s="10"/>
      <c r="X561" s="10"/>
    </row>
    <row r="562">
      <c r="A562" s="257"/>
      <c r="B562" s="257"/>
      <c r="C562" s="258"/>
      <c r="D562" s="257"/>
      <c r="E562" s="257"/>
      <c r="F562" s="257"/>
      <c r="G562" s="257"/>
      <c r="H562" s="257"/>
      <c r="I562" s="257"/>
      <c r="J562" s="257"/>
      <c r="K562" s="257"/>
      <c r="L562" s="257"/>
      <c r="M562" s="259"/>
      <c r="N562" s="10"/>
      <c r="O562" s="133"/>
      <c r="P562" s="133"/>
      <c r="Q562" s="10"/>
      <c r="R562" s="10"/>
      <c r="S562" s="10"/>
      <c r="T562" s="10"/>
      <c r="U562" s="10"/>
      <c r="V562" s="10"/>
      <c r="W562" s="10"/>
      <c r="X562" s="10"/>
    </row>
    <row r="563">
      <c r="A563" s="257"/>
      <c r="B563" s="257"/>
      <c r="C563" s="258"/>
      <c r="D563" s="257"/>
      <c r="E563" s="257"/>
      <c r="F563" s="257"/>
      <c r="G563" s="257"/>
      <c r="H563" s="257"/>
      <c r="I563" s="257"/>
      <c r="J563" s="257"/>
      <c r="K563" s="257"/>
      <c r="L563" s="257"/>
      <c r="M563" s="259"/>
      <c r="N563" s="10"/>
      <c r="O563" s="133"/>
      <c r="P563" s="133"/>
      <c r="Q563" s="10"/>
      <c r="R563" s="10"/>
      <c r="S563" s="10"/>
      <c r="T563" s="10"/>
      <c r="U563" s="10"/>
      <c r="V563" s="10"/>
      <c r="W563" s="10"/>
      <c r="X563" s="10"/>
    </row>
    <row r="564">
      <c r="A564" s="257"/>
      <c r="B564" s="257"/>
      <c r="C564" s="258"/>
      <c r="D564" s="257"/>
      <c r="E564" s="257"/>
      <c r="F564" s="257"/>
      <c r="G564" s="257"/>
      <c r="H564" s="257"/>
      <c r="I564" s="257"/>
      <c r="J564" s="257"/>
      <c r="K564" s="257"/>
      <c r="L564" s="257"/>
      <c r="M564" s="259"/>
      <c r="N564" s="10"/>
      <c r="O564" s="133"/>
      <c r="P564" s="133"/>
      <c r="Q564" s="10"/>
      <c r="R564" s="10"/>
      <c r="S564" s="10"/>
      <c r="T564" s="10"/>
      <c r="U564" s="10"/>
      <c r="V564" s="10"/>
      <c r="W564" s="10"/>
      <c r="X564" s="10"/>
    </row>
    <row r="565">
      <c r="A565" s="257"/>
      <c r="B565" s="257"/>
      <c r="C565" s="258"/>
      <c r="D565" s="257"/>
      <c r="E565" s="257"/>
      <c r="F565" s="257"/>
      <c r="G565" s="257"/>
      <c r="H565" s="257"/>
      <c r="I565" s="257"/>
      <c r="J565" s="257"/>
      <c r="K565" s="257"/>
      <c r="L565" s="257"/>
      <c r="M565" s="259"/>
      <c r="N565" s="10"/>
      <c r="O565" s="133"/>
      <c r="P565" s="133"/>
      <c r="Q565" s="10"/>
      <c r="R565" s="10"/>
      <c r="S565" s="10"/>
      <c r="T565" s="10"/>
      <c r="U565" s="10"/>
      <c r="V565" s="10"/>
      <c r="W565" s="10"/>
      <c r="X565" s="10"/>
    </row>
    <row r="566">
      <c r="A566" s="257"/>
      <c r="B566" s="257"/>
      <c r="C566" s="258"/>
      <c r="D566" s="257"/>
      <c r="E566" s="257"/>
      <c r="F566" s="257"/>
      <c r="G566" s="257"/>
      <c r="H566" s="257"/>
      <c r="I566" s="257"/>
      <c r="J566" s="257"/>
      <c r="K566" s="257"/>
      <c r="L566" s="257"/>
      <c r="M566" s="259"/>
      <c r="N566" s="10"/>
      <c r="O566" s="133"/>
      <c r="P566" s="133"/>
      <c r="Q566" s="10"/>
      <c r="R566" s="10"/>
      <c r="S566" s="10"/>
      <c r="T566" s="10"/>
      <c r="U566" s="10"/>
      <c r="V566" s="10"/>
      <c r="W566" s="10"/>
      <c r="X566" s="10"/>
    </row>
    <row r="567">
      <c r="A567" s="257"/>
      <c r="B567" s="257"/>
      <c r="C567" s="258"/>
      <c r="D567" s="257"/>
      <c r="E567" s="257"/>
      <c r="F567" s="257"/>
      <c r="G567" s="257"/>
      <c r="H567" s="257"/>
      <c r="I567" s="257"/>
      <c r="J567" s="257"/>
      <c r="K567" s="257"/>
      <c r="L567" s="257"/>
      <c r="M567" s="259"/>
      <c r="N567" s="10"/>
      <c r="O567" s="133"/>
      <c r="P567" s="133"/>
      <c r="Q567" s="10"/>
      <c r="R567" s="10"/>
      <c r="S567" s="10"/>
      <c r="T567" s="10"/>
      <c r="U567" s="10"/>
      <c r="V567" s="10"/>
      <c r="W567" s="10"/>
      <c r="X567" s="10"/>
    </row>
    <row r="568">
      <c r="A568" s="257"/>
      <c r="B568" s="257"/>
      <c r="C568" s="258"/>
      <c r="D568" s="257"/>
      <c r="E568" s="257"/>
      <c r="F568" s="257"/>
      <c r="G568" s="257"/>
      <c r="H568" s="257"/>
      <c r="I568" s="257"/>
      <c r="J568" s="257"/>
      <c r="K568" s="257"/>
      <c r="L568" s="257"/>
      <c r="M568" s="259"/>
      <c r="N568" s="10"/>
      <c r="O568" s="133"/>
      <c r="P568" s="133"/>
      <c r="Q568" s="10"/>
      <c r="R568" s="10"/>
      <c r="S568" s="10"/>
      <c r="T568" s="10"/>
      <c r="U568" s="10"/>
      <c r="V568" s="10"/>
      <c r="W568" s="10"/>
      <c r="X568" s="10"/>
    </row>
    <row r="569">
      <c r="A569" s="257"/>
      <c r="B569" s="257"/>
      <c r="C569" s="258"/>
      <c r="D569" s="257"/>
      <c r="E569" s="257"/>
      <c r="F569" s="257"/>
      <c r="G569" s="257"/>
      <c r="H569" s="257"/>
      <c r="I569" s="257"/>
      <c r="J569" s="257"/>
      <c r="K569" s="257"/>
      <c r="L569" s="257"/>
      <c r="M569" s="259"/>
      <c r="N569" s="10"/>
      <c r="O569" s="133"/>
      <c r="P569" s="133"/>
      <c r="Q569" s="10"/>
      <c r="R569" s="10"/>
      <c r="S569" s="10"/>
      <c r="T569" s="10"/>
      <c r="U569" s="10"/>
      <c r="V569" s="10"/>
      <c r="W569" s="10"/>
      <c r="X569" s="10"/>
    </row>
    <row r="570">
      <c r="A570" s="257"/>
      <c r="B570" s="257"/>
      <c r="C570" s="258"/>
      <c r="D570" s="257"/>
      <c r="E570" s="257"/>
      <c r="F570" s="257"/>
      <c r="G570" s="257"/>
      <c r="H570" s="257"/>
      <c r="I570" s="257"/>
      <c r="J570" s="257"/>
      <c r="K570" s="257"/>
      <c r="L570" s="257"/>
      <c r="M570" s="259"/>
      <c r="N570" s="10"/>
      <c r="O570" s="133"/>
      <c r="P570" s="133"/>
      <c r="Q570" s="10"/>
      <c r="R570" s="10"/>
      <c r="S570" s="10"/>
      <c r="T570" s="10"/>
      <c r="U570" s="10"/>
      <c r="V570" s="10"/>
      <c r="W570" s="10"/>
      <c r="X570" s="10"/>
    </row>
    <row r="571">
      <c r="A571" s="257"/>
      <c r="B571" s="257"/>
      <c r="C571" s="258"/>
      <c r="D571" s="257"/>
      <c r="E571" s="257"/>
      <c r="F571" s="257"/>
      <c r="G571" s="257"/>
      <c r="H571" s="257"/>
      <c r="I571" s="257"/>
      <c r="J571" s="257"/>
      <c r="K571" s="257"/>
      <c r="L571" s="257"/>
      <c r="M571" s="259"/>
      <c r="N571" s="10"/>
      <c r="O571" s="133"/>
      <c r="P571" s="133"/>
      <c r="Q571" s="10"/>
      <c r="R571" s="10"/>
      <c r="S571" s="10"/>
      <c r="T571" s="10"/>
      <c r="U571" s="10"/>
      <c r="V571" s="10"/>
      <c r="W571" s="10"/>
      <c r="X571" s="10"/>
    </row>
    <row r="572">
      <c r="A572" s="257"/>
      <c r="B572" s="257"/>
      <c r="C572" s="258"/>
      <c r="D572" s="257"/>
      <c r="E572" s="257"/>
      <c r="F572" s="257"/>
      <c r="G572" s="257"/>
      <c r="H572" s="257"/>
      <c r="I572" s="257"/>
      <c r="J572" s="257"/>
      <c r="K572" s="257"/>
      <c r="L572" s="257"/>
      <c r="M572" s="259"/>
      <c r="N572" s="10"/>
      <c r="O572" s="133"/>
      <c r="P572" s="133"/>
      <c r="Q572" s="10"/>
      <c r="R572" s="10"/>
      <c r="S572" s="10"/>
      <c r="T572" s="10"/>
      <c r="U572" s="10"/>
      <c r="V572" s="10"/>
      <c r="W572" s="10"/>
      <c r="X572" s="10"/>
    </row>
    <row r="573">
      <c r="A573" s="257"/>
      <c r="B573" s="257"/>
      <c r="C573" s="258"/>
      <c r="D573" s="257"/>
      <c r="E573" s="257"/>
      <c r="F573" s="257"/>
      <c r="G573" s="257"/>
      <c r="H573" s="257"/>
      <c r="I573" s="257"/>
      <c r="J573" s="257"/>
      <c r="K573" s="257"/>
      <c r="L573" s="257"/>
      <c r="M573" s="259"/>
      <c r="N573" s="10"/>
      <c r="O573" s="133"/>
      <c r="P573" s="133"/>
      <c r="Q573" s="10"/>
      <c r="R573" s="10"/>
      <c r="S573" s="10"/>
      <c r="T573" s="10"/>
      <c r="U573" s="10"/>
      <c r="V573" s="10"/>
      <c r="W573" s="10"/>
      <c r="X573" s="10"/>
    </row>
    <row r="574">
      <c r="A574" s="257"/>
      <c r="B574" s="257"/>
      <c r="C574" s="258"/>
      <c r="D574" s="257"/>
      <c r="E574" s="257"/>
      <c r="F574" s="257"/>
      <c r="G574" s="257"/>
      <c r="H574" s="257"/>
      <c r="I574" s="257"/>
      <c r="J574" s="257"/>
      <c r="K574" s="257"/>
      <c r="L574" s="257"/>
      <c r="M574" s="259"/>
      <c r="N574" s="10"/>
      <c r="O574" s="133"/>
      <c r="P574" s="133"/>
      <c r="Q574" s="10"/>
      <c r="R574" s="10"/>
      <c r="S574" s="10"/>
      <c r="T574" s="10"/>
      <c r="U574" s="10"/>
      <c r="V574" s="10"/>
      <c r="W574" s="10"/>
      <c r="X574" s="10"/>
    </row>
    <row r="575">
      <c r="A575" s="257"/>
      <c r="B575" s="257"/>
      <c r="C575" s="258"/>
      <c r="D575" s="257"/>
      <c r="E575" s="257"/>
      <c r="F575" s="257"/>
      <c r="G575" s="257"/>
      <c r="H575" s="257"/>
      <c r="I575" s="257"/>
      <c r="J575" s="257"/>
      <c r="K575" s="257"/>
      <c r="L575" s="257"/>
      <c r="M575" s="259"/>
      <c r="N575" s="10"/>
      <c r="O575" s="133"/>
      <c r="P575" s="133"/>
      <c r="Q575" s="10"/>
      <c r="R575" s="10"/>
      <c r="S575" s="10"/>
      <c r="T575" s="10"/>
      <c r="U575" s="10"/>
      <c r="V575" s="10"/>
      <c r="W575" s="10"/>
      <c r="X575" s="10"/>
    </row>
    <row r="576">
      <c r="A576" s="257"/>
      <c r="B576" s="257"/>
      <c r="C576" s="258"/>
      <c r="D576" s="257"/>
      <c r="E576" s="257"/>
      <c r="F576" s="257"/>
      <c r="G576" s="257"/>
      <c r="H576" s="257"/>
      <c r="I576" s="257"/>
      <c r="J576" s="257"/>
      <c r="K576" s="257"/>
      <c r="L576" s="257"/>
      <c r="M576" s="259"/>
      <c r="N576" s="10"/>
      <c r="O576" s="133"/>
      <c r="P576" s="133"/>
      <c r="Q576" s="10"/>
      <c r="R576" s="10"/>
      <c r="S576" s="10"/>
      <c r="T576" s="10"/>
      <c r="U576" s="10"/>
      <c r="V576" s="10"/>
      <c r="W576" s="10"/>
      <c r="X576" s="10"/>
    </row>
    <row r="577">
      <c r="A577" s="257"/>
      <c r="B577" s="257"/>
      <c r="C577" s="258"/>
      <c r="D577" s="257"/>
      <c r="E577" s="257"/>
      <c r="F577" s="257"/>
      <c r="G577" s="257"/>
      <c r="H577" s="257"/>
      <c r="I577" s="257"/>
      <c r="J577" s="257"/>
      <c r="K577" s="257"/>
      <c r="L577" s="257"/>
      <c r="M577" s="259"/>
      <c r="N577" s="10"/>
      <c r="O577" s="133"/>
      <c r="P577" s="133"/>
      <c r="Q577" s="10"/>
      <c r="R577" s="10"/>
      <c r="S577" s="10"/>
      <c r="T577" s="10"/>
      <c r="U577" s="10"/>
      <c r="V577" s="10"/>
      <c r="W577" s="10"/>
      <c r="X577" s="10"/>
    </row>
    <row r="578">
      <c r="A578" s="257"/>
      <c r="B578" s="257"/>
      <c r="C578" s="258"/>
      <c r="D578" s="257"/>
      <c r="E578" s="257"/>
      <c r="F578" s="257"/>
      <c r="G578" s="257"/>
      <c r="H578" s="257"/>
      <c r="I578" s="257"/>
      <c r="J578" s="257"/>
      <c r="K578" s="257"/>
      <c r="L578" s="257"/>
      <c r="M578" s="259"/>
      <c r="N578" s="10"/>
      <c r="O578" s="133"/>
      <c r="P578" s="133"/>
      <c r="Q578" s="10"/>
      <c r="R578" s="10"/>
      <c r="S578" s="10"/>
      <c r="T578" s="10"/>
      <c r="U578" s="10"/>
      <c r="V578" s="10"/>
      <c r="W578" s="10"/>
      <c r="X578" s="10"/>
    </row>
    <row r="579">
      <c r="A579" s="257"/>
      <c r="B579" s="257"/>
      <c r="C579" s="258"/>
      <c r="D579" s="257"/>
      <c r="E579" s="257"/>
      <c r="F579" s="257"/>
      <c r="G579" s="257"/>
      <c r="H579" s="257"/>
      <c r="I579" s="257"/>
      <c r="J579" s="257"/>
      <c r="K579" s="257"/>
      <c r="L579" s="257"/>
      <c r="M579" s="259"/>
      <c r="N579" s="10"/>
      <c r="O579" s="133"/>
      <c r="P579" s="133"/>
      <c r="Q579" s="10"/>
      <c r="R579" s="10"/>
      <c r="S579" s="10"/>
      <c r="T579" s="10"/>
      <c r="U579" s="10"/>
      <c r="V579" s="10"/>
      <c r="W579" s="10"/>
      <c r="X579" s="10"/>
    </row>
    <row r="580">
      <c r="A580" s="257"/>
      <c r="B580" s="257"/>
      <c r="C580" s="258"/>
      <c r="D580" s="257"/>
      <c r="E580" s="257"/>
      <c r="F580" s="257"/>
      <c r="G580" s="257"/>
      <c r="H580" s="257"/>
      <c r="I580" s="257"/>
      <c r="J580" s="257"/>
      <c r="K580" s="257"/>
      <c r="L580" s="257"/>
      <c r="M580" s="259"/>
      <c r="N580" s="10"/>
      <c r="O580" s="133"/>
      <c r="P580" s="133"/>
      <c r="Q580" s="10"/>
      <c r="R580" s="10"/>
      <c r="S580" s="10"/>
      <c r="T580" s="10"/>
      <c r="U580" s="10"/>
      <c r="V580" s="10"/>
      <c r="W580" s="10"/>
      <c r="X580" s="10"/>
    </row>
    <row r="581">
      <c r="A581" s="257"/>
      <c r="B581" s="257"/>
      <c r="C581" s="258"/>
      <c r="D581" s="257"/>
      <c r="E581" s="257"/>
      <c r="F581" s="257"/>
      <c r="G581" s="257"/>
      <c r="H581" s="257"/>
      <c r="I581" s="257"/>
      <c r="J581" s="257"/>
      <c r="K581" s="257"/>
      <c r="L581" s="257"/>
      <c r="M581" s="259"/>
      <c r="N581" s="10"/>
      <c r="O581" s="133"/>
      <c r="P581" s="133"/>
      <c r="Q581" s="10"/>
      <c r="R581" s="10"/>
      <c r="S581" s="10"/>
      <c r="T581" s="10"/>
      <c r="U581" s="10"/>
      <c r="V581" s="10"/>
      <c r="W581" s="10"/>
      <c r="X581" s="10"/>
    </row>
    <row r="582">
      <c r="A582" s="257"/>
      <c r="B582" s="257"/>
      <c r="C582" s="258"/>
      <c r="D582" s="257"/>
      <c r="E582" s="257"/>
      <c r="F582" s="257"/>
      <c r="G582" s="257"/>
      <c r="H582" s="257"/>
      <c r="I582" s="257"/>
      <c r="J582" s="257"/>
      <c r="K582" s="257"/>
      <c r="L582" s="257"/>
      <c r="M582" s="259"/>
      <c r="N582" s="10"/>
      <c r="O582" s="133"/>
      <c r="P582" s="133"/>
      <c r="Q582" s="10"/>
      <c r="R582" s="10"/>
      <c r="S582" s="10"/>
      <c r="T582" s="10"/>
      <c r="U582" s="10"/>
      <c r="V582" s="10"/>
      <c r="W582" s="10"/>
      <c r="X582" s="10"/>
    </row>
    <row r="583">
      <c r="A583" s="257"/>
      <c r="B583" s="257"/>
      <c r="C583" s="258"/>
      <c r="D583" s="257"/>
      <c r="E583" s="257"/>
      <c r="F583" s="257"/>
      <c r="G583" s="257"/>
      <c r="H583" s="257"/>
      <c r="I583" s="257"/>
      <c r="J583" s="257"/>
      <c r="K583" s="257"/>
      <c r="L583" s="257"/>
      <c r="M583" s="259"/>
      <c r="N583" s="10"/>
      <c r="O583" s="133"/>
      <c r="P583" s="133"/>
      <c r="Q583" s="10"/>
      <c r="R583" s="10"/>
      <c r="S583" s="10"/>
      <c r="T583" s="10"/>
      <c r="U583" s="10"/>
      <c r="V583" s="10"/>
      <c r="W583" s="10"/>
      <c r="X583" s="10"/>
    </row>
    <row r="584">
      <c r="A584" s="257"/>
      <c r="B584" s="257"/>
      <c r="C584" s="258"/>
      <c r="D584" s="257"/>
      <c r="E584" s="257"/>
      <c r="F584" s="257"/>
      <c r="G584" s="257"/>
      <c r="H584" s="257"/>
      <c r="I584" s="257"/>
      <c r="J584" s="257"/>
      <c r="K584" s="257"/>
      <c r="L584" s="257"/>
      <c r="M584" s="259"/>
      <c r="N584" s="10"/>
      <c r="O584" s="133"/>
      <c r="P584" s="133"/>
      <c r="Q584" s="10"/>
      <c r="R584" s="10"/>
      <c r="S584" s="10"/>
      <c r="T584" s="10"/>
      <c r="U584" s="10"/>
      <c r="V584" s="10"/>
      <c r="W584" s="10"/>
      <c r="X584" s="10"/>
    </row>
    <row r="585">
      <c r="A585" s="257"/>
      <c r="B585" s="257"/>
      <c r="C585" s="258"/>
      <c r="D585" s="257"/>
      <c r="E585" s="257"/>
      <c r="F585" s="257"/>
      <c r="G585" s="257"/>
      <c r="H585" s="257"/>
      <c r="I585" s="257"/>
      <c r="J585" s="257"/>
      <c r="K585" s="257"/>
      <c r="L585" s="257"/>
      <c r="M585" s="259"/>
      <c r="N585" s="10"/>
      <c r="O585" s="133"/>
      <c r="P585" s="133"/>
      <c r="Q585" s="10"/>
      <c r="R585" s="10"/>
      <c r="S585" s="10"/>
      <c r="T585" s="10"/>
      <c r="U585" s="10"/>
      <c r="V585" s="10"/>
      <c r="W585" s="10"/>
      <c r="X585" s="10"/>
    </row>
    <row r="586">
      <c r="A586" s="257"/>
      <c r="B586" s="257"/>
      <c r="C586" s="258"/>
      <c r="D586" s="257"/>
      <c r="E586" s="257"/>
      <c r="F586" s="257"/>
      <c r="G586" s="257"/>
      <c r="H586" s="257"/>
      <c r="I586" s="257"/>
      <c r="J586" s="257"/>
      <c r="K586" s="257"/>
      <c r="L586" s="257"/>
      <c r="M586" s="259"/>
      <c r="N586" s="10"/>
      <c r="O586" s="133"/>
      <c r="P586" s="133"/>
      <c r="Q586" s="10"/>
      <c r="R586" s="10"/>
      <c r="S586" s="10"/>
      <c r="T586" s="10"/>
      <c r="U586" s="10"/>
      <c r="V586" s="10"/>
      <c r="W586" s="10"/>
      <c r="X586" s="10"/>
    </row>
    <row r="587">
      <c r="A587" s="257"/>
      <c r="B587" s="257"/>
      <c r="C587" s="258"/>
      <c r="D587" s="257"/>
      <c r="E587" s="257"/>
      <c r="F587" s="257"/>
      <c r="G587" s="257"/>
      <c r="H587" s="257"/>
      <c r="I587" s="257"/>
      <c r="J587" s="257"/>
      <c r="K587" s="257"/>
      <c r="L587" s="257"/>
      <c r="M587" s="259"/>
      <c r="N587" s="10"/>
      <c r="O587" s="133"/>
      <c r="P587" s="133"/>
      <c r="Q587" s="10"/>
      <c r="R587" s="10"/>
      <c r="S587" s="10"/>
      <c r="T587" s="10"/>
      <c r="U587" s="10"/>
      <c r="V587" s="10"/>
      <c r="W587" s="10"/>
      <c r="X587" s="10"/>
    </row>
    <row r="588">
      <c r="A588" s="257"/>
      <c r="B588" s="257"/>
      <c r="C588" s="258"/>
      <c r="D588" s="257"/>
      <c r="E588" s="257"/>
      <c r="F588" s="257"/>
      <c r="G588" s="257"/>
      <c r="H588" s="257"/>
      <c r="I588" s="257"/>
      <c r="J588" s="257"/>
      <c r="K588" s="257"/>
      <c r="L588" s="257"/>
      <c r="M588" s="259"/>
      <c r="N588" s="10"/>
      <c r="O588" s="133"/>
      <c r="P588" s="133"/>
      <c r="Q588" s="10"/>
      <c r="R588" s="10"/>
      <c r="S588" s="10"/>
      <c r="T588" s="10"/>
      <c r="U588" s="10"/>
      <c r="V588" s="10"/>
      <c r="W588" s="10"/>
      <c r="X588" s="10"/>
    </row>
    <row r="589">
      <c r="A589" s="257"/>
      <c r="B589" s="257"/>
      <c r="C589" s="258"/>
      <c r="D589" s="257"/>
      <c r="E589" s="257"/>
      <c r="F589" s="257"/>
      <c r="G589" s="257"/>
      <c r="H589" s="257"/>
      <c r="I589" s="257"/>
      <c r="J589" s="257"/>
      <c r="K589" s="257"/>
      <c r="L589" s="257"/>
      <c r="M589" s="259"/>
      <c r="N589" s="10"/>
      <c r="O589" s="133"/>
      <c r="P589" s="133"/>
      <c r="Q589" s="10"/>
      <c r="R589" s="10"/>
      <c r="S589" s="10"/>
      <c r="T589" s="10"/>
      <c r="U589" s="10"/>
      <c r="V589" s="10"/>
      <c r="W589" s="10"/>
      <c r="X589" s="10"/>
    </row>
    <row r="590">
      <c r="A590" s="257"/>
      <c r="B590" s="257"/>
      <c r="C590" s="258"/>
      <c r="D590" s="257"/>
      <c r="E590" s="257"/>
      <c r="F590" s="257"/>
      <c r="G590" s="257"/>
      <c r="H590" s="257"/>
      <c r="I590" s="257"/>
      <c r="J590" s="257"/>
      <c r="K590" s="257"/>
      <c r="L590" s="257"/>
      <c r="M590" s="259"/>
      <c r="N590" s="10"/>
      <c r="O590" s="133"/>
      <c r="P590" s="133"/>
      <c r="Q590" s="10"/>
      <c r="R590" s="10"/>
      <c r="S590" s="10"/>
      <c r="T590" s="10"/>
      <c r="U590" s="10"/>
      <c r="V590" s="10"/>
      <c r="W590" s="10"/>
      <c r="X590" s="10"/>
    </row>
    <row r="591">
      <c r="A591" s="257"/>
      <c r="B591" s="257"/>
      <c r="C591" s="258"/>
      <c r="D591" s="257"/>
      <c r="E591" s="257"/>
      <c r="F591" s="257"/>
      <c r="G591" s="257"/>
      <c r="H591" s="257"/>
      <c r="I591" s="257"/>
      <c r="J591" s="257"/>
      <c r="K591" s="257"/>
      <c r="L591" s="257"/>
      <c r="M591" s="259"/>
      <c r="N591" s="10"/>
      <c r="O591" s="133"/>
      <c r="P591" s="133"/>
      <c r="Q591" s="10"/>
      <c r="R591" s="10"/>
      <c r="S591" s="10"/>
      <c r="T591" s="10"/>
      <c r="U591" s="10"/>
      <c r="V591" s="10"/>
      <c r="W591" s="10"/>
      <c r="X591" s="10"/>
    </row>
    <row r="592">
      <c r="A592" s="257"/>
      <c r="B592" s="257"/>
      <c r="C592" s="258"/>
      <c r="D592" s="257"/>
      <c r="E592" s="257"/>
      <c r="F592" s="257"/>
      <c r="G592" s="257"/>
      <c r="H592" s="257"/>
      <c r="I592" s="257"/>
      <c r="J592" s="257"/>
      <c r="K592" s="257"/>
      <c r="L592" s="257"/>
      <c r="M592" s="259"/>
      <c r="N592" s="10"/>
      <c r="O592" s="133"/>
      <c r="P592" s="133"/>
      <c r="Q592" s="10"/>
      <c r="R592" s="10"/>
      <c r="S592" s="10"/>
      <c r="T592" s="10"/>
      <c r="U592" s="10"/>
      <c r="V592" s="10"/>
      <c r="W592" s="10"/>
      <c r="X592" s="10"/>
    </row>
    <row r="593">
      <c r="A593" s="257"/>
      <c r="B593" s="257"/>
      <c r="C593" s="258"/>
      <c r="D593" s="257"/>
      <c r="E593" s="257"/>
      <c r="F593" s="257"/>
      <c r="G593" s="257"/>
      <c r="H593" s="257"/>
      <c r="I593" s="257"/>
      <c r="J593" s="257"/>
      <c r="K593" s="257"/>
      <c r="L593" s="257"/>
      <c r="M593" s="259"/>
      <c r="N593" s="10"/>
      <c r="O593" s="133"/>
      <c r="P593" s="133"/>
      <c r="Q593" s="10"/>
      <c r="R593" s="10"/>
      <c r="S593" s="10"/>
      <c r="T593" s="10"/>
      <c r="U593" s="10"/>
      <c r="V593" s="10"/>
      <c r="W593" s="10"/>
      <c r="X593" s="10"/>
    </row>
    <row r="594">
      <c r="A594" s="257"/>
      <c r="B594" s="257"/>
      <c r="C594" s="258"/>
      <c r="D594" s="257"/>
      <c r="E594" s="257"/>
      <c r="F594" s="257"/>
      <c r="G594" s="257"/>
      <c r="H594" s="257"/>
      <c r="I594" s="257"/>
      <c r="J594" s="257"/>
      <c r="K594" s="257"/>
      <c r="L594" s="257"/>
      <c r="M594" s="259"/>
      <c r="N594" s="10"/>
      <c r="O594" s="133"/>
      <c r="P594" s="133"/>
      <c r="Q594" s="10"/>
      <c r="R594" s="10"/>
      <c r="S594" s="10"/>
      <c r="T594" s="10"/>
      <c r="U594" s="10"/>
      <c r="V594" s="10"/>
      <c r="W594" s="10"/>
      <c r="X594" s="10"/>
    </row>
    <row r="595">
      <c r="A595" s="257"/>
      <c r="B595" s="257"/>
      <c r="C595" s="258"/>
      <c r="D595" s="257"/>
      <c r="E595" s="257"/>
      <c r="F595" s="257"/>
      <c r="G595" s="257"/>
      <c r="H595" s="257"/>
      <c r="I595" s="257"/>
      <c r="J595" s="257"/>
      <c r="K595" s="257"/>
      <c r="L595" s="257"/>
      <c r="M595" s="259"/>
      <c r="N595" s="10"/>
      <c r="O595" s="133"/>
      <c r="P595" s="133"/>
      <c r="Q595" s="10"/>
      <c r="R595" s="10"/>
      <c r="S595" s="10"/>
      <c r="T595" s="10"/>
      <c r="U595" s="10"/>
      <c r="V595" s="10"/>
      <c r="W595" s="10"/>
      <c r="X595" s="10"/>
    </row>
    <row r="596">
      <c r="A596" s="257"/>
      <c r="B596" s="257"/>
      <c r="C596" s="258"/>
      <c r="D596" s="257"/>
      <c r="E596" s="257"/>
      <c r="F596" s="257"/>
      <c r="G596" s="257"/>
      <c r="H596" s="257"/>
      <c r="I596" s="257"/>
      <c r="J596" s="257"/>
      <c r="K596" s="257"/>
      <c r="L596" s="257"/>
      <c r="M596" s="259"/>
      <c r="N596" s="10"/>
      <c r="O596" s="133"/>
      <c r="P596" s="133"/>
      <c r="Q596" s="10"/>
      <c r="R596" s="10"/>
      <c r="S596" s="10"/>
      <c r="T596" s="10"/>
      <c r="U596" s="10"/>
      <c r="V596" s="10"/>
      <c r="W596" s="10"/>
      <c r="X596" s="10"/>
    </row>
    <row r="597">
      <c r="A597" s="257"/>
      <c r="B597" s="257"/>
      <c r="C597" s="258"/>
      <c r="D597" s="257"/>
      <c r="E597" s="257"/>
      <c r="F597" s="257"/>
      <c r="G597" s="257"/>
      <c r="H597" s="257"/>
      <c r="I597" s="257"/>
      <c r="J597" s="257"/>
      <c r="K597" s="257"/>
      <c r="L597" s="257"/>
      <c r="M597" s="259"/>
      <c r="N597" s="10"/>
      <c r="O597" s="133"/>
      <c r="P597" s="133"/>
      <c r="Q597" s="10"/>
      <c r="R597" s="10"/>
      <c r="S597" s="10"/>
      <c r="T597" s="10"/>
      <c r="U597" s="10"/>
      <c r="V597" s="10"/>
      <c r="W597" s="10"/>
      <c r="X597" s="10"/>
    </row>
    <row r="598">
      <c r="A598" s="257"/>
      <c r="B598" s="257"/>
      <c r="C598" s="258"/>
      <c r="D598" s="257"/>
      <c r="E598" s="257"/>
      <c r="F598" s="257"/>
      <c r="G598" s="257"/>
      <c r="H598" s="257"/>
      <c r="I598" s="257"/>
      <c r="J598" s="257"/>
      <c r="K598" s="257"/>
      <c r="L598" s="257"/>
      <c r="M598" s="259"/>
      <c r="N598" s="10"/>
      <c r="O598" s="133"/>
      <c r="P598" s="133"/>
      <c r="Q598" s="10"/>
      <c r="R598" s="10"/>
      <c r="S598" s="10"/>
      <c r="T598" s="10"/>
      <c r="U598" s="10"/>
      <c r="V598" s="10"/>
      <c r="W598" s="10"/>
      <c r="X598" s="10"/>
    </row>
    <row r="599">
      <c r="A599" s="257"/>
      <c r="B599" s="257"/>
      <c r="C599" s="258"/>
      <c r="D599" s="257"/>
      <c r="E599" s="257"/>
      <c r="F599" s="257"/>
      <c r="G599" s="257"/>
      <c r="H599" s="257"/>
      <c r="I599" s="257"/>
      <c r="J599" s="257"/>
      <c r="K599" s="257"/>
      <c r="L599" s="257"/>
      <c r="M599" s="259"/>
      <c r="N599" s="10"/>
      <c r="O599" s="133"/>
      <c r="P599" s="133"/>
      <c r="Q599" s="10"/>
      <c r="R599" s="10"/>
      <c r="S599" s="10"/>
      <c r="T599" s="10"/>
      <c r="U599" s="10"/>
      <c r="V599" s="10"/>
      <c r="W599" s="10"/>
      <c r="X599" s="10"/>
    </row>
    <row r="600">
      <c r="A600" s="257"/>
      <c r="B600" s="257"/>
      <c r="C600" s="258"/>
      <c r="D600" s="257"/>
      <c r="E600" s="257"/>
      <c r="F600" s="257"/>
      <c r="G600" s="257"/>
      <c r="H600" s="257"/>
      <c r="I600" s="257"/>
      <c r="J600" s="257"/>
      <c r="K600" s="257"/>
      <c r="L600" s="257"/>
      <c r="M600" s="259"/>
      <c r="N600" s="10"/>
      <c r="O600" s="133"/>
      <c r="P600" s="133"/>
      <c r="Q600" s="10"/>
      <c r="R600" s="10"/>
      <c r="S600" s="10"/>
      <c r="T600" s="10"/>
      <c r="U600" s="10"/>
      <c r="V600" s="10"/>
      <c r="W600" s="10"/>
      <c r="X600" s="10"/>
    </row>
    <row r="601">
      <c r="A601" s="257"/>
      <c r="B601" s="257"/>
      <c r="C601" s="258"/>
      <c r="D601" s="257"/>
      <c r="E601" s="257"/>
      <c r="F601" s="257"/>
      <c r="G601" s="257"/>
      <c r="H601" s="257"/>
      <c r="I601" s="257"/>
      <c r="J601" s="257"/>
      <c r="K601" s="257"/>
      <c r="L601" s="257"/>
      <c r="M601" s="259"/>
      <c r="N601" s="10"/>
      <c r="O601" s="133"/>
      <c r="P601" s="133"/>
      <c r="Q601" s="10"/>
      <c r="R601" s="10"/>
      <c r="S601" s="10"/>
      <c r="T601" s="10"/>
      <c r="U601" s="10"/>
      <c r="V601" s="10"/>
      <c r="W601" s="10"/>
      <c r="X601" s="10"/>
    </row>
    <row r="602">
      <c r="A602" s="257"/>
      <c r="B602" s="257"/>
      <c r="C602" s="258"/>
      <c r="D602" s="257"/>
      <c r="E602" s="257"/>
      <c r="F602" s="257"/>
      <c r="G602" s="257"/>
      <c r="H602" s="257"/>
      <c r="I602" s="257"/>
      <c r="J602" s="257"/>
      <c r="K602" s="257"/>
      <c r="L602" s="257"/>
      <c r="M602" s="259"/>
      <c r="N602" s="10"/>
      <c r="O602" s="133"/>
      <c r="P602" s="133"/>
      <c r="Q602" s="10"/>
      <c r="R602" s="10"/>
      <c r="S602" s="10"/>
      <c r="T602" s="10"/>
      <c r="U602" s="10"/>
      <c r="V602" s="10"/>
      <c r="W602" s="10"/>
      <c r="X602" s="10"/>
    </row>
    <row r="603">
      <c r="A603" s="257"/>
      <c r="B603" s="257"/>
      <c r="C603" s="258"/>
      <c r="D603" s="257"/>
      <c r="E603" s="257"/>
      <c r="F603" s="257"/>
      <c r="G603" s="257"/>
      <c r="H603" s="257"/>
      <c r="I603" s="257"/>
      <c r="J603" s="257"/>
      <c r="K603" s="257"/>
      <c r="L603" s="257"/>
      <c r="M603" s="259"/>
      <c r="N603" s="10"/>
      <c r="O603" s="133"/>
      <c r="P603" s="133"/>
      <c r="Q603" s="10"/>
      <c r="R603" s="10"/>
      <c r="S603" s="10"/>
      <c r="T603" s="10"/>
      <c r="U603" s="10"/>
      <c r="V603" s="10"/>
      <c r="W603" s="10"/>
      <c r="X603" s="10"/>
    </row>
    <row r="604">
      <c r="A604" s="257"/>
      <c r="B604" s="257"/>
      <c r="C604" s="258"/>
      <c r="D604" s="257"/>
      <c r="E604" s="257"/>
      <c r="F604" s="257"/>
      <c r="G604" s="257"/>
      <c r="H604" s="257"/>
      <c r="I604" s="257"/>
      <c r="J604" s="257"/>
      <c r="K604" s="257"/>
      <c r="L604" s="257"/>
      <c r="M604" s="259"/>
      <c r="N604" s="10"/>
      <c r="O604" s="133"/>
      <c r="P604" s="133"/>
      <c r="Q604" s="10"/>
      <c r="R604" s="10"/>
      <c r="S604" s="10"/>
      <c r="T604" s="10"/>
      <c r="U604" s="10"/>
      <c r="V604" s="10"/>
      <c r="W604" s="10"/>
      <c r="X604" s="10"/>
    </row>
    <row r="605">
      <c r="A605" s="257"/>
      <c r="B605" s="257"/>
      <c r="C605" s="258"/>
      <c r="D605" s="257"/>
      <c r="E605" s="257"/>
      <c r="F605" s="257"/>
      <c r="G605" s="257"/>
      <c r="H605" s="257"/>
      <c r="I605" s="257"/>
      <c r="J605" s="257"/>
      <c r="K605" s="257"/>
      <c r="L605" s="257"/>
      <c r="M605" s="259"/>
      <c r="N605" s="10"/>
      <c r="O605" s="133"/>
      <c r="P605" s="133"/>
      <c r="Q605" s="10"/>
      <c r="R605" s="10"/>
      <c r="S605" s="10"/>
      <c r="T605" s="10"/>
      <c r="U605" s="10"/>
      <c r="V605" s="10"/>
      <c r="W605" s="10"/>
      <c r="X605" s="10"/>
    </row>
    <row r="606">
      <c r="A606" s="257"/>
      <c r="B606" s="257"/>
      <c r="C606" s="258"/>
      <c r="D606" s="257"/>
      <c r="E606" s="257"/>
      <c r="F606" s="257"/>
      <c r="G606" s="257"/>
      <c r="H606" s="257"/>
      <c r="I606" s="257"/>
      <c r="J606" s="257"/>
      <c r="K606" s="257"/>
      <c r="L606" s="257"/>
      <c r="M606" s="259"/>
      <c r="N606" s="10"/>
      <c r="O606" s="133"/>
      <c r="P606" s="133"/>
      <c r="Q606" s="10"/>
      <c r="R606" s="10"/>
      <c r="S606" s="10"/>
      <c r="T606" s="10"/>
      <c r="U606" s="10"/>
      <c r="V606" s="10"/>
      <c r="W606" s="10"/>
      <c r="X606" s="10"/>
    </row>
    <row r="607">
      <c r="A607" s="257"/>
      <c r="B607" s="257"/>
      <c r="C607" s="258"/>
      <c r="D607" s="257"/>
      <c r="E607" s="257"/>
      <c r="F607" s="257"/>
      <c r="G607" s="257"/>
      <c r="H607" s="257"/>
      <c r="I607" s="257"/>
      <c r="J607" s="257"/>
      <c r="K607" s="257"/>
      <c r="L607" s="257"/>
      <c r="M607" s="259"/>
      <c r="N607" s="10"/>
      <c r="O607" s="133"/>
      <c r="P607" s="133"/>
      <c r="Q607" s="10"/>
      <c r="R607" s="10"/>
      <c r="S607" s="10"/>
      <c r="T607" s="10"/>
      <c r="U607" s="10"/>
      <c r="V607" s="10"/>
      <c r="W607" s="10"/>
      <c r="X607" s="10"/>
    </row>
    <row r="608">
      <c r="A608" s="257"/>
      <c r="B608" s="257"/>
      <c r="C608" s="258"/>
      <c r="D608" s="257"/>
      <c r="E608" s="257"/>
      <c r="F608" s="257"/>
      <c r="G608" s="257"/>
      <c r="H608" s="257"/>
      <c r="I608" s="257"/>
      <c r="J608" s="257"/>
      <c r="K608" s="257"/>
      <c r="L608" s="257"/>
      <c r="M608" s="259"/>
      <c r="N608" s="10"/>
      <c r="O608" s="133"/>
      <c r="P608" s="133"/>
      <c r="Q608" s="10"/>
      <c r="R608" s="10"/>
      <c r="S608" s="10"/>
      <c r="T608" s="10"/>
      <c r="U608" s="10"/>
      <c r="V608" s="10"/>
      <c r="W608" s="10"/>
      <c r="X608" s="10"/>
    </row>
    <row r="609">
      <c r="A609" s="257"/>
      <c r="B609" s="257"/>
      <c r="C609" s="258"/>
      <c r="D609" s="257"/>
      <c r="E609" s="257"/>
      <c r="F609" s="257"/>
      <c r="G609" s="257"/>
      <c r="H609" s="257"/>
      <c r="I609" s="257"/>
      <c r="J609" s="257"/>
      <c r="K609" s="257"/>
      <c r="L609" s="257"/>
      <c r="M609" s="259"/>
      <c r="N609" s="10"/>
      <c r="O609" s="133"/>
      <c r="P609" s="133"/>
      <c r="Q609" s="10"/>
      <c r="R609" s="10"/>
      <c r="S609" s="10"/>
      <c r="T609" s="10"/>
      <c r="U609" s="10"/>
      <c r="V609" s="10"/>
      <c r="W609" s="10"/>
      <c r="X609" s="10"/>
    </row>
    <row r="610">
      <c r="A610" s="257"/>
      <c r="B610" s="257"/>
      <c r="C610" s="258"/>
      <c r="D610" s="257"/>
      <c r="E610" s="257"/>
      <c r="F610" s="257"/>
      <c r="G610" s="257"/>
      <c r="H610" s="257"/>
      <c r="I610" s="257"/>
      <c r="J610" s="257"/>
      <c r="K610" s="257"/>
      <c r="L610" s="257"/>
      <c r="M610" s="259"/>
      <c r="N610" s="10"/>
      <c r="O610" s="133"/>
      <c r="P610" s="133"/>
      <c r="Q610" s="10"/>
      <c r="R610" s="10"/>
      <c r="S610" s="10"/>
      <c r="T610" s="10"/>
      <c r="U610" s="10"/>
      <c r="V610" s="10"/>
      <c r="W610" s="10"/>
      <c r="X610" s="10"/>
    </row>
    <row r="611">
      <c r="A611" s="257"/>
      <c r="B611" s="257"/>
      <c r="C611" s="258"/>
      <c r="D611" s="257"/>
      <c r="E611" s="257"/>
      <c r="F611" s="257"/>
      <c r="G611" s="257"/>
      <c r="H611" s="257"/>
      <c r="I611" s="257"/>
      <c r="J611" s="257"/>
      <c r="K611" s="257"/>
      <c r="L611" s="257"/>
      <c r="M611" s="259"/>
      <c r="N611" s="10"/>
      <c r="O611" s="133"/>
      <c r="P611" s="133"/>
      <c r="Q611" s="10"/>
      <c r="R611" s="10"/>
      <c r="S611" s="10"/>
      <c r="T611" s="10"/>
      <c r="U611" s="10"/>
      <c r="V611" s="10"/>
      <c r="W611" s="10"/>
      <c r="X611" s="10"/>
    </row>
    <row r="612">
      <c r="A612" s="257"/>
      <c r="B612" s="257"/>
      <c r="C612" s="258"/>
      <c r="D612" s="257"/>
      <c r="E612" s="257"/>
      <c r="F612" s="257"/>
      <c r="G612" s="257"/>
      <c r="H612" s="257"/>
      <c r="I612" s="257"/>
      <c r="J612" s="257"/>
      <c r="K612" s="257"/>
      <c r="L612" s="257"/>
      <c r="M612" s="259"/>
      <c r="N612" s="10"/>
      <c r="O612" s="133"/>
      <c r="P612" s="133"/>
      <c r="Q612" s="10"/>
      <c r="R612" s="10"/>
      <c r="S612" s="10"/>
      <c r="T612" s="10"/>
      <c r="U612" s="10"/>
      <c r="V612" s="10"/>
      <c r="W612" s="10"/>
      <c r="X612" s="10"/>
    </row>
    <row r="613">
      <c r="A613" s="257"/>
      <c r="B613" s="257"/>
      <c r="C613" s="258"/>
      <c r="D613" s="257"/>
      <c r="E613" s="257"/>
      <c r="F613" s="257"/>
      <c r="G613" s="257"/>
      <c r="H613" s="257"/>
      <c r="I613" s="257"/>
      <c r="J613" s="257"/>
      <c r="K613" s="257"/>
      <c r="L613" s="257"/>
      <c r="M613" s="259"/>
      <c r="N613" s="10"/>
      <c r="O613" s="133"/>
      <c r="P613" s="133"/>
      <c r="Q613" s="10"/>
      <c r="R613" s="10"/>
      <c r="S613" s="10"/>
      <c r="T613" s="10"/>
      <c r="U613" s="10"/>
      <c r="V613" s="10"/>
      <c r="W613" s="10"/>
      <c r="X613" s="10"/>
    </row>
    <row r="614">
      <c r="A614" s="257"/>
      <c r="B614" s="257"/>
      <c r="C614" s="258"/>
      <c r="D614" s="257"/>
      <c r="E614" s="257"/>
      <c r="F614" s="257"/>
      <c r="G614" s="257"/>
      <c r="H614" s="257"/>
      <c r="I614" s="257"/>
      <c r="J614" s="257"/>
      <c r="K614" s="257"/>
      <c r="L614" s="257"/>
      <c r="M614" s="259"/>
      <c r="N614" s="10"/>
      <c r="O614" s="133"/>
      <c r="P614" s="133"/>
      <c r="Q614" s="10"/>
      <c r="R614" s="10"/>
      <c r="S614" s="10"/>
      <c r="T614" s="10"/>
      <c r="U614" s="10"/>
      <c r="V614" s="10"/>
      <c r="W614" s="10"/>
      <c r="X614" s="10"/>
    </row>
    <row r="615">
      <c r="A615" s="257"/>
      <c r="B615" s="257"/>
      <c r="C615" s="258"/>
      <c r="D615" s="257"/>
      <c r="E615" s="257"/>
      <c r="F615" s="257"/>
      <c r="G615" s="257"/>
      <c r="H615" s="257"/>
      <c r="I615" s="257"/>
      <c r="J615" s="257"/>
      <c r="K615" s="257"/>
      <c r="L615" s="257"/>
      <c r="M615" s="259"/>
      <c r="N615" s="10"/>
      <c r="O615" s="133"/>
      <c r="P615" s="133"/>
      <c r="Q615" s="10"/>
      <c r="R615" s="10"/>
      <c r="S615" s="10"/>
      <c r="T615" s="10"/>
      <c r="U615" s="10"/>
      <c r="V615" s="10"/>
      <c r="W615" s="10"/>
      <c r="X615" s="10"/>
    </row>
    <row r="616">
      <c r="A616" s="257"/>
      <c r="B616" s="257"/>
      <c r="C616" s="258"/>
      <c r="D616" s="257"/>
      <c r="E616" s="257"/>
      <c r="F616" s="257"/>
      <c r="G616" s="257"/>
      <c r="H616" s="257"/>
      <c r="I616" s="257"/>
      <c r="J616" s="257"/>
      <c r="K616" s="257"/>
      <c r="L616" s="257"/>
      <c r="M616" s="259"/>
      <c r="N616" s="10"/>
      <c r="O616" s="133"/>
      <c r="P616" s="133"/>
      <c r="Q616" s="10"/>
      <c r="R616" s="10"/>
      <c r="S616" s="10"/>
      <c r="T616" s="10"/>
      <c r="U616" s="10"/>
      <c r="V616" s="10"/>
      <c r="W616" s="10"/>
      <c r="X616" s="10"/>
    </row>
    <row r="617">
      <c r="A617" s="257"/>
      <c r="B617" s="257"/>
      <c r="C617" s="258"/>
      <c r="D617" s="257"/>
      <c r="E617" s="257"/>
      <c r="F617" s="257"/>
      <c r="G617" s="257"/>
      <c r="H617" s="257"/>
      <c r="I617" s="257"/>
      <c r="J617" s="257"/>
      <c r="K617" s="257"/>
      <c r="L617" s="257"/>
      <c r="M617" s="259"/>
      <c r="N617" s="10"/>
      <c r="O617" s="133"/>
      <c r="P617" s="133"/>
      <c r="Q617" s="10"/>
      <c r="R617" s="10"/>
      <c r="S617" s="10"/>
      <c r="T617" s="10"/>
      <c r="U617" s="10"/>
      <c r="V617" s="10"/>
      <c r="W617" s="10"/>
      <c r="X617" s="10"/>
    </row>
    <row r="618">
      <c r="A618" s="257"/>
      <c r="B618" s="257"/>
      <c r="C618" s="258"/>
      <c r="D618" s="257"/>
      <c r="E618" s="257"/>
      <c r="F618" s="257"/>
      <c r="G618" s="257"/>
      <c r="H618" s="257"/>
      <c r="I618" s="257"/>
      <c r="J618" s="257"/>
      <c r="K618" s="257"/>
      <c r="L618" s="257"/>
      <c r="M618" s="259"/>
      <c r="N618" s="10"/>
      <c r="O618" s="133"/>
      <c r="P618" s="133"/>
      <c r="Q618" s="10"/>
      <c r="R618" s="10"/>
      <c r="S618" s="10"/>
      <c r="T618" s="10"/>
      <c r="U618" s="10"/>
      <c r="V618" s="10"/>
      <c r="W618" s="10"/>
      <c r="X618" s="10"/>
    </row>
    <row r="619">
      <c r="A619" s="257"/>
      <c r="B619" s="257"/>
      <c r="C619" s="258"/>
      <c r="D619" s="257"/>
      <c r="E619" s="257"/>
      <c r="F619" s="257"/>
      <c r="G619" s="257"/>
      <c r="H619" s="257"/>
      <c r="I619" s="257"/>
      <c r="J619" s="257"/>
      <c r="K619" s="257"/>
      <c r="L619" s="257"/>
      <c r="M619" s="259"/>
      <c r="N619" s="10"/>
      <c r="O619" s="133"/>
      <c r="P619" s="133"/>
      <c r="Q619" s="10"/>
      <c r="R619" s="10"/>
      <c r="S619" s="10"/>
      <c r="T619" s="10"/>
      <c r="U619" s="10"/>
      <c r="V619" s="10"/>
      <c r="W619" s="10"/>
      <c r="X619" s="10"/>
    </row>
    <row r="620">
      <c r="A620" s="257"/>
      <c r="B620" s="257"/>
      <c r="C620" s="258"/>
      <c r="D620" s="257"/>
      <c r="E620" s="257"/>
      <c r="F620" s="257"/>
      <c r="G620" s="257"/>
      <c r="H620" s="257"/>
      <c r="I620" s="257"/>
      <c r="J620" s="257"/>
      <c r="K620" s="257"/>
      <c r="L620" s="257"/>
      <c r="M620" s="259"/>
      <c r="N620" s="10"/>
      <c r="O620" s="133"/>
      <c r="P620" s="133"/>
      <c r="Q620" s="10"/>
      <c r="R620" s="10"/>
      <c r="S620" s="10"/>
      <c r="T620" s="10"/>
      <c r="U620" s="10"/>
      <c r="V620" s="10"/>
      <c r="W620" s="10"/>
      <c r="X620" s="10"/>
    </row>
    <row r="621">
      <c r="A621" s="257"/>
      <c r="B621" s="257"/>
      <c r="C621" s="258"/>
      <c r="D621" s="257"/>
      <c r="E621" s="257"/>
      <c r="F621" s="257"/>
      <c r="G621" s="257"/>
      <c r="H621" s="257"/>
      <c r="I621" s="257"/>
      <c r="J621" s="257"/>
      <c r="K621" s="257"/>
      <c r="L621" s="257"/>
      <c r="M621" s="259"/>
      <c r="N621" s="10"/>
      <c r="O621" s="133"/>
      <c r="P621" s="133"/>
      <c r="Q621" s="10"/>
      <c r="R621" s="10"/>
      <c r="S621" s="10"/>
      <c r="T621" s="10"/>
      <c r="U621" s="10"/>
      <c r="V621" s="10"/>
      <c r="W621" s="10"/>
      <c r="X621" s="10"/>
    </row>
    <row r="622">
      <c r="A622" s="257"/>
      <c r="B622" s="257"/>
      <c r="C622" s="258"/>
      <c r="D622" s="257"/>
      <c r="E622" s="257"/>
      <c r="F622" s="257"/>
      <c r="G622" s="257"/>
      <c r="H622" s="257"/>
      <c r="I622" s="257"/>
      <c r="J622" s="257"/>
      <c r="K622" s="257"/>
      <c r="L622" s="257"/>
      <c r="M622" s="259"/>
      <c r="N622" s="10"/>
      <c r="O622" s="133"/>
      <c r="P622" s="133"/>
      <c r="Q622" s="10"/>
      <c r="R622" s="10"/>
      <c r="S622" s="10"/>
      <c r="T622" s="10"/>
      <c r="U622" s="10"/>
      <c r="V622" s="10"/>
      <c r="W622" s="10"/>
      <c r="X622" s="10"/>
    </row>
    <row r="623">
      <c r="A623" s="257"/>
      <c r="B623" s="257"/>
      <c r="C623" s="258"/>
      <c r="D623" s="257"/>
      <c r="E623" s="257"/>
      <c r="F623" s="257"/>
      <c r="G623" s="257"/>
      <c r="H623" s="257"/>
      <c r="I623" s="257"/>
      <c r="J623" s="257"/>
      <c r="K623" s="257"/>
      <c r="L623" s="257"/>
      <c r="M623" s="259"/>
      <c r="N623" s="10"/>
      <c r="O623" s="133"/>
      <c r="P623" s="133"/>
      <c r="Q623" s="10"/>
      <c r="R623" s="10"/>
      <c r="S623" s="10"/>
      <c r="T623" s="10"/>
      <c r="U623" s="10"/>
      <c r="V623" s="10"/>
      <c r="W623" s="10"/>
      <c r="X623" s="10"/>
    </row>
    <row r="624">
      <c r="A624" s="257"/>
      <c r="B624" s="257"/>
      <c r="C624" s="258"/>
      <c r="D624" s="257"/>
      <c r="E624" s="257"/>
      <c r="F624" s="257"/>
      <c r="G624" s="257"/>
      <c r="H624" s="257"/>
      <c r="I624" s="257"/>
      <c r="J624" s="257"/>
      <c r="K624" s="257"/>
      <c r="L624" s="257"/>
      <c r="M624" s="259"/>
      <c r="N624" s="10"/>
      <c r="O624" s="133"/>
      <c r="P624" s="133"/>
      <c r="Q624" s="10"/>
      <c r="R624" s="10"/>
      <c r="S624" s="10"/>
      <c r="T624" s="10"/>
      <c r="U624" s="10"/>
      <c r="V624" s="10"/>
      <c r="W624" s="10"/>
      <c r="X624" s="10"/>
    </row>
    <row r="625">
      <c r="A625" s="257"/>
      <c r="B625" s="257"/>
      <c r="C625" s="258"/>
      <c r="D625" s="257"/>
      <c r="E625" s="257"/>
      <c r="F625" s="257"/>
      <c r="G625" s="257"/>
      <c r="H625" s="257"/>
      <c r="I625" s="257"/>
      <c r="J625" s="257"/>
      <c r="K625" s="257"/>
      <c r="L625" s="257"/>
      <c r="M625" s="259"/>
      <c r="N625" s="10"/>
      <c r="O625" s="133"/>
      <c r="P625" s="133"/>
      <c r="Q625" s="10"/>
      <c r="R625" s="10"/>
      <c r="S625" s="10"/>
      <c r="T625" s="10"/>
      <c r="U625" s="10"/>
      <c r="V625" s="10"/>
      <c r="W625" s="10"/>
      <c r="X625" s="10"/>
    </row>
    <row r="626">
      <c r="A626" s="257"/>
      <c r="B626" s="257"/>
      <c r="C626" s="258"/>
      <c r="D626" s="257"/>
      <c r="E626" s="257"/>
      <c r="F626" s="257"/>
      <c r="G626" s="257"/>
      <c r="H626" s="257"/>
      <c r="I626" s="257"/>
      <c r="J626" s="257"/>
      <c r="K626" s="257"/>
      <c r="L626" s="257"/>
      <c r="M626" s="259"/>
      <c r="N626" s="10"/>
      <c r="O626" s="133"/>
      <c r="P626" s="133"/>
      <c r="Q626" s="10"/>
      <c r="R626" s="10"/>
      <c r="S626" s="10"/>
      <c r="T626" s="10"/>
      <c r="U626" s="10"/>
      <c r="V626" s="10"/>
      <c r="W626" s="10"/>
      <c r="X626" s="10"/>
    </row>
    <row r="627">
      <c r="A627" s="257"/>
      <c r="B627" s="257"/>
      <c r="C627" s="258"/>
      <c r="D627" s="257"/>
      <c r="E627" s="257"/>
      <c r="F627" s="257"/>
      <c r="G627" s="257"/>
      <c r="H627" s="257"/>
      <c r="I627" s="257"/>
      <c r="J627" s="257"/>
      <c r="K627" s="257"/>
      <c r="L627" s="257"/>
      <c r="M627" s="259"/>
      <c r="N627" s="10"/>
      <c r="O627" s="133"/>
      <c r="P627" s="133"/>
      <c r="Q627" s="10"/>
      <c r="R627" s="10"/>
      <c r="S627" s="10"/>
      <c r="T627" s="10"/>
      <c r="U627" s="10"/>
      <c r="V627" s="10"/>
      <c r="W627" s="10"/>
      <c r="X627" s="10"/>
    </row>
    <row r="628">
      <c r="A628" s="257"/>
      <c r="B628" s="257"/>
      <c r="C628" s="258"/>
      <c r="D628" s="257"/>
      <c r="E628" s="257"/>
      <c r="F628" s="257"/>
      <c r="G628" s="257"/>
      <c r="H628" s="257"/>
      <c r="I628" s="257"/>
      <c r="J628" s="257"/>
      <c r="K628" s="257"/>
      <c r="L628" s="257"/>
      <c r="M628" s="259"/>
      <c r="N628" s="10"/>
      <c r="O628" s="133"/>
      <c r="P628" s="133"/>
      <c r="Q628" s="10"/>
      <c r="R628" s="10"/>
      <c r="S628" s="10"/>
      <c r="T628" s="10"/>
      <c r="U628" s="10"/>
      <c r="V628" s="10"/>
      <c r="W628" s="10"/>
      <c r="X628" s="10"/>
    </row>
    <row r="629">
      <c r="A629" s="257"/>
      <c r="B629" s="257"/>
      <c r="C629" s="258"/>
      <c r="D629" s="257"/>
      <c r="E629" s="257"/>
      <c r="F629" s="257"/>
      <c r="G629" s="257"/>
      <c r="H629" s="257"/>
      <c r="I629" s="257"/>
      <c r="J629" s="257"/>
      <c r="K629" s="257"/>
      <c r="L629" s="257"/>
      <c r="M629" s="259"/>
      <c r="N629" s="10"/>
      <c r="O629" s="133"/>
      <c r="P629" s="133"/>
      <c r="Q629" s="10"/>
      <c r="R629" s="10"/>
      <c r="S629" s="10"/>
      <c r="T629" s="10"/>
      <c r="U629" s="10"/>
      <c r="V629" s="10"/>
      <c r="W629" s="10"/>
      <c r="X629" s="10"/>
    </row>
    <row r="630">
      <c r="A630" s="257"/>
      <c r="B630" s="257"/>
      <c r="C630" s="258"/>
      <c r="D630" s="257"/>
      <c r="E630" s="257"/>
      <c r="F630" s="257"/>
      <c r="G630" s="257"/>
      <c r="H630" s="257"/>
      <c r="I630" s="257"/>
      <c r="J630" s="257"/>
      <c r="K630" s="257"/>
      <c r="L630" s="257"/>
      <c r="M630" s="259"/>
      <c r="N630" s="10"/>
      <c r="O630" s="133"/>
      <c r="P630" s="133"/>
      <c r="Q630" s="10"/>
      <c r="R630" s="10"/>
      <c r="S630" s="10"/>
      <c r="T630" s="10"/>
      <c r="U630" s="10"/>
      <c r="V630" s="10"/>
      <c r="W630" s="10"/>
      <c r="X630" s="10"/>
    </row>
    <row r="631">
      <c r="A631" s="257"/>
      <c r="B631" s="257"/>
      <c r="C631" s="258"/>
      <c r="D631" s="257"/>
      <c r="E631" s="257"/>
      <c r="F631" s="257"/>
      <c r="G631" s="257"/>
      <c r="H631" s="257"/>
      <c r="I631" s="257"/>
      <c r="J631" s="257"/>
      <c r="K631" s="257"/>
      <c r="L631" s="257"/>
      <c r="M631" s="259"/>
      <c r="N631" s="10"/>
      <c r="O631" s="133"/>
      <c r="P631" s="133"/>
      <c r="Q631" s="10"/>
      <c r="R631" s="10"/>
      <c r="S631" s="10"/>
      <c r="T631" s="10"/>
      <c r="U631" s="10"/>
      <c r="V631" s="10"/>
      <c r="W631" s="10"/>
      <c r="X631" s="10"/>
    </row>
    <row r="632">
      <c r="A632" s="257"/>
      <c r="B632" s="257"/>
      <c r="C632" s="258"/>
      <c r="D632" s="257"/>
      <c r="E632" s="257"/>
      <c r="F632" s="257"/>
      <c r="G632" s="257"/>
      <c r="H632" s="257"/>
      <c r="I632" s="257"/>
      <c r="J632" s="257"/>
      <c r="K632" s="257"/>
      <c r="L632" s="257"/>
      <c r="M632" s="259"/>
      <c r="N632" s="10"/>
      <c r="O632" s="133"/>
      <c r="P632" s="133"/>
      <c r="Q632" s="10"/>
      <c r="R632" s="10"/>
      <c r="S632" s="10"/>
      <c r="T632" s="10"/>
      <c r="U632" s="10"/>
      <c r="V632" s="10"/>
      <c r="W632" s="10"/>
      <c r="X632" s="10"/>
    </row>
    <row r="633">
      <c r="A633" s="257"/>
      <c r="B633" s="257"/>
      <c r="C633" s="258"/>
      <c r="D633" s="257"/>
      <c r="E633" s="257"/>
      <c r="F633" s="257"/>
      <c r="G633" s="257"/>
      <c r="H633" s="257"/>
      <c r="I633" s="257"/>
      <c r="J633" s="257"/>
      <c r="K633" s="257"/>
      <c r="L633" s="257"/>
      <c r="M633" s="259"/>
      <c r="N633" s="10"/>
      <c r="O633" s="133"/>
      <c r="P633" s="133"/>
      <c r="Q633" s="10"/>
      <c r="R633" s="10"/>
      <c r="S633" s="10"/>
      <c r="T633" s="10"/>
      <c r="U633" s="10"/>
      <c r="V633" s="10"/>
      <c r="W633" s="10"/>
      <c r="X633" s="10"/>
    </row>
    <row r="634">
      <c r="A634" s="257"/>
      <c r="B634" s="257"/>
      <c r="C634" s="258"/>
      <c r="D634" s="257"/>
      <c r="E634" s="257"/>
      <c r="F634" s="257"/>
      <c r="G634" s="257"/>
      <c r="H634" s="257"/>
      <c r="I634" s="257"/>
      <c r="J634" s="257"/>
      <c r="K634" s="257"/>
      <c r="L634" s="257"/>
      <c r="M634" s="259"/>
      <c r="N634" s="10"/>
      <c r="O634" s="133"/>
      <c r="P634" s="133"/>
      <c r="Q634" s="10"/>
      <c r="R634" s="10"/>
      <c r="S634" s="10"/>
      <c r="T634" s="10"/>
      <c r="U634" s="10"/>
      <c r="V634" s="10"/>
      <c r="W634" s="10"/>
      <c r="X634" s="10"/>
    </row>
    <row r="635">
      <c r="A635" s="257"/>
      <c r="B635" s="257"/>
      <c r="C635" s="258"/>
      <c r="D635" s="257"/>
      <c r="E635" s="257"/>
      <c r="F635" s="257"/>
      <c r="G635" s="257"/>
      <c r="H635" s="257"/>
      <c r="I635" s="257"/>
      <c r="J635" s="257"/>
      <c r="K635" s="257"/>
      <c r="L635" s="257"/>
      <c r="M635" s="259"/>
      <c r="N635" s="10"/>
      <c r="O635" s="133"/>
      <c r="P635" s="133"/>
      <c r="Q635" s="10"/>
      <c r="R635" s="10"/>
      <c r="S635" s="10"/>
      <c r="T635" s="10"/>
      <c r="U635" s="10"/>
      <c r="V635" s="10"/>
      <c r="W635" s="10"/>
      <c r="X635" s="10"/>
    </row>
    <row r="636">
      <c r="A636" s="257"/>
      <c r="B636" s="257"/>
      <c r="C636" s="258"/>
      <c r="D636" s="257"/>
      <c r="E636" s="257"/>
      <c r="F636" s="257"/>
      <c r="G636" s="257"/>
      <c r="H636" s="257"/>
      <c r="I636" s="257"/>
      <c r="J636" s="257"/>
      <c r="K636" s="257"/>
      <c r="L636" s="257"/>
      <c r="M636" s="259"/>
      <c r="N636" s="10"/>
      <c r="O636" s="133"/>
      <c r="P636" s="133"/>
      <c r="Q636" s="10"/>
      <c r="R636" s="10"/>
      <c r="S636" s="10"/>
      <c r="T636" s="10"/>
      <c r="U636" s="10"/>
      <c r="V636" s="10"/>
      <c r="W636" s="10"/>
      <c r="X636" s="10"/>
    </row>
    <row r="637">
      <c r="A637" s="257"/>
      <c r="B637" s="257"/>
      <c r="C637" s="258"/>
      <c r="D637" s="257"/>
      <c r="E637" s="257"/>
      <c r="F637" s="257"/>
      <c r="G637" s="257"/>
      <c r="H637" s="257"/>
      <c r="I637" s="257"/>
      <c r="J637" s="257"/>
      <c r="K637" s="257"/>
      <c r="L637" s="257"/>
      <c r="M637" s="259"/>
      <c r="N637" s="10"/>
      <c r="O637" s="133"/>
      <c r="P637" s="133"/>
      <c r="Q637" s="10"/>
      <c r="R637" s="10"/>
      <c r="S637" s="10"/>
      <c r="T637" s="10"/>
      <c r="U637" s="10"/>
      <c r="V637" s="10"/>
      <c r="W637" s="10"/>
      <c r="X637" s="10"/>
    </row>
    <row r="638">
      <c r="A638" s="257"/>
      <c r="B638" s="257"/>
      <c r="C638" s="258"/>
      <c r="D638" s="257"/>
      <c r="E638" s="257"/>
      <c r="F638" s="257"/>
      <c r="G638" s="257"/>
      <c r="H638" s="257"/>
      <c r="I638" s="257"/>
      <c r="J638" s="257"/>
      <c r="K638" s="257"/>
      <c r="L638" s="257"/>
      <c r="M638" s="259"/>
      <c r="N638" s="10"/>
      <c r="O638" s="133"/>
      <c r="P638" s="133"/>
      <c r="Q638" s="10"/>
      <c r="R638" s="10"/>
      <c r="S638" s="10"/>
      <c r="T638" s="10"/>
      <c r="U638" s="10"/>
      <c r="V638" s="10"/>
      <c r="W638" s="10"/>
      <c r="X638" s="10"/>
    </row>
    <row r="639">
      <c r="A639" s="257"/>
      <c r="B639" s="257"/>
      <c r="C639" s="258"/>
      <c r="D639" s="257"/>
      <c r="E639" s="257"/>
      <c r="F639" s="257"/>
      <c r="G639" s="257"/>
      <c r="H639" s="257"/>
      <c r="I639" s="257"/>
      <c r="J639" s="257"/>
      <c r="K639" s="257"/>
      <c r="L639" s="257"/>
      <c r="M639" s="259"/>
      <c r="N639" s="10"/>
      <c r="O639" s="133"/>
      <c r="P639" s="133"/>
      <c r="Q639" s="10"/>
      <c r="R639" s="10"/>
      <c r="S639" s="10"/>
      <c r="T639" s="10"/>
      <c r="U639" s="10"/>
      <c r="V639" s="10"/>
      <c r="W639" s="10"/>
      <c r="X639" s="10"/>
    </row>
    <row r="640">
      <c r="A640" s="257"/>
      <c r="B640" s="257"/>
      <c r="C640" s="258"/>
      <c r="D640" s="257"/>
      <c r="E640" s="257"/>
      <c r="F640" s="257"/>
      <c r="G640" s="257"/>
      <c r="H640" s="257"/>
      <c r="I640" s="257"/>
      <c r="J640" s="257"/>
      <c r="K640" s="257"/>
      <c r="L640" s="257"/>
      <c r="M640" s="259"/>
      <c r="N640" s="10"/>
      <c r="O640" s="133"/>
      <c r="P640" s="133"/>
      <c r="Q640" s="10"/>
      <c r="R640" s="10"/>
      <c r="S640" s="10"/>
      <c r="T640" s="10"/>
      <c r="U640" s="10"/>
      <c r="V640" s="10"/>
      <c r="W640" s="10"/>
      <c r="X640" s="10"/>
    </row>
    <row r="641">
      <c r="A641" s="257"/>
      <c r="B641" s="257"/>
      <c r="C641" s="258"/>
      <c r="D641" s="257"/>
      <c r="E641" s="257"/>
      <c r="F641" s="257"/>
      <c r="G641" s="257"/>
      <c r="H641" s="257"/>
      <c r="I641" s="257"/>
      <c r="J641" s="257"/>
      <c r="K641" s="257"/>
      <c r="L641" s="257"/>
      <c r="M641" s="259"/>
      <c r="N641" s="10"/>
      <c r="O641" s="133"/>
      <c r="P641" s="133"/>
      <c r="Q641" s="10"/>
      <c r="R641" s="10"/>
      <c r="S641" s="10"/>
      <c r="T641" s="10"/>
      <c r="U641" s="10"/>
      <c r="V641" s="10"/>
      <c r="W641" s="10"/>
      <c r="X641" s="10"/>
    </row>
    <row r="642">
      <c r="A642" s="257"/>
      <c r="B642" s="257"/>
      <c r="C642" s="258"/>
      <c r="D642" s="257"/>
      <c r="E642" s="257"/>
      <c r="F642" s="257"/>
      <c r="G642" s="257"/>
      <c r="H642" s="257"/>
      <c r="I642" s="257"/>
      <c r="J642" s="257"/>
      <c r="K642" s="257"/>
      <c r="L642" s="257"/>
      <c r="M642" s="259"/>
      <c r="N642" s="10"/>
      <c r="O642" s="133"/>
      <c r="P642" s="133"/>
      <c r="Q642" s="10"/>
      <c r="R642" s="10"/>
      <c r="S642" s="10"/>
      <c r="T642" s="10"/>
      <c r="U642" s="10"/>
      <c r="V642" s="10"/>
      <c r="W642" s="10"/>
      <c r="X642" s="10"/>
    </row>
    <row r="643">
      <c r="A643" s="257"/>
      <c r="B643" s="257"/>
      <c r="C643" s="258"/>
      <c r="D643" s="257"/>
      <c r="E643" s="257"/>
      <c r="F643" s="257"/>
      <c r="G643" s="257"/>
      <c r="H643" s="257"/>
      <c r="I643" s="257"/>
      <c r="J643" s="257"/>
      <c r="K643" s="257"/>
      <c r="L643" s="257"/>
      <c r="M643" s="259"/>
      <c r="N643" s="10"/>
      <c r="O643" s="133"/>
      <c r="P643" s="133"/>
      <c r="Q643" s="10"/>
      <c r="R643" s="10"/>
      <c r="S643" s="10"/>
      <c r="T643" s="10"/>
      <c r="U643" s="10"/>
      <c r="V643" s="10"/>
      <c r="W643" s="10"/>
      <c r="X643" s="10"/>
    </row>
    <row r="644">
      <c r="A644" s="257"/>
      <c r="B644" s="257"/>
      <c r="C644" s="258"/>
      <c r="D644" s="257"/>
      <c r="E644" s="257"/>
      <c r="F644" s="257"/>
      <c r="G644" s="257"/>
      <c r="H644" s="257"/>
      <c r="I644" s="257"/>
      <c r="J644" s="257"/>
      <c r="K644" s="257"/>
      <c r="L644" s="257"/>
      <c r="M644" s="259"/>
      <c r="N644" s="10"/>
      <c r="O644" s="133"/>
      <c r="P644" s="133"/>
      <c r="Q644" s="10"/>
      <c r="R644" s="10"/>
      <c r="S644" s="10"/>
      <c r="T644" s="10"/>
      <c r="U644" s="10"/>
      <c r="V644" s="10"/>
      <c r="W644" s="10"/>
      <c r="X644" s="10"/>
    </row>
    <row r="645">
      <c r="A645" s="257"/>
      <c r="B645" s="257"/>
      <c r="C645" s="258"/>
      <c r="D645" s="257"/>
      <c r="E645" s="257"/>
      <c r="F645" s="257"/>
      <c r="G645" s="257"/>
      <c r="H645" s="257"/>
      <c r="I645" s="257"/>
      <c r="J645" s="257"/>
      <c r="K645" s="257"/>
      <c r="L645" s="257"/>
      <c r="M645" s="259"/>
      <c r="N645" s="10"/>
      <c r="O645" s="133"/>
      <c r="P645" s="133"/>
      <c r="Q645" s="10"/>
      <c r="R645" s="10"/>
      <c r="S645" s="10"/>
      <c r="T645" s="10"/>
      <c r="U645" s="10"/>
      <c r="V645" s="10"/>
      <c r="W645" s="10"/>
      <c r="X645" s="10"/>
    </row>
    <row r="646">
      <c r="A646" s="257"/>
      <c r="B646" s="257"/>
      <c r="C646" s="258"/>
      <c r="D646" s="257"/>
      <c r="E646" s="257"/>
      <c r="F646" s="257"/>
      <c r="G646" s="257"/>
      <c r="H646" s="257"/>
      <c r="I646" s="257"/>
      <c r="J646" s="257"/>
      <c r="K646" s="257"/>
      <c r="L646" s="257"/>
      <c r="M646" s="259"/>
      <c r="N646" s="10"/>
      <c r="O646" s="133"/>
      <c r="P646" s="133"/>
      <c r="Q646" s="10"/>
      <c r="R646" s="10"/>
      <c r="S646" s="10"/>
      <c r="T646" s="10"/>
      <c r="U646" s="10"/>
      <c r="V646" s="10"/>
      <c r="W646" s="10"/>
      <c r="X646" s="10"/>
    </row>
    <row r="647">
      <c r="A647" s="257"/>
      <c r="B647" s="257"/>
      <c r="C647" s="258"/>
      <c r="D647" s="257"/>
      <c r="E647" s="257"/>
      <c r="F647" s="257"/>
      <c r="G647" s="257"/>
      <c r="H647" s="257"/>
      <c r="I647" s="257"/>
      <c r="J647" s="257"/>
      <c r="K647" s="257"/>
      <c r="L647" s="257"/>
      <c r="M647" s="259"/>
      <c r="N647" s="10"/>
      <c r="O647" s="133"/>
      <c r="P647" s="133"/>
      <c r="Q647" s="10"/>
      <c r="R647" s="10"/>
      <c r="S647" s="10"/>
      <c r="T647" s="10"/>
      <c r="U647" s="10"/>
      <c r="V647" s="10"/>
      <c r="W647" s="10"/>
      <c r="X647" s="10"/>
    </row>
    <row r="648">
      <c r="A648" s="257"/>
      <c r="B648" s="257"/>
      <c r="C648" s="258"/>
      <c r="D648" s="257"/>
      <c r="E648" s="257"/>
      <c r="F648" s="257"/>
      <c r="G648" s="257"/>
      <c r="H648" s="257"/>
      <c r="I648" s="257"/>
      <c r="J648" s="257"/>
      <c r="K648" s="257"/>
      <c r="L648" s="257"/>
      <c r="M648" s="259"/>
      <c r="N648" s="10"/>
      <c r="O648" s="133"/>
      <c r="P648" s="133"/>
      <c r="Q648" s="10"/>
      <c r="R648" s="10"/>
      <c r="S648" s="10"/>
      <c r="T648" s="10"/>
      <c r="U648" s="10"/>
      <c r="V648" s="10"/>
      <c r="W648" s="10"/>
      <c r="X648" s="10"/>
    </row>
    <row r="649">
      <c r="A649" s="257"/>
      <c r="B649" s="257"/>
      <c r="C649" s="258"/>
      <c r="D649" s="257"/>
      <c r="E649" s="257"/>
      <c r="F649" s="257"/>
      <c r="G649" s="257"/>
      <c r="H649" s="257"/>
      <c r="I649" s="257"/>
      <c r="J649" s="257"/>
      <c r="K649" s="257"/>
      <c r="L649" s="257"/>
      <c r="M649" s="259"/>
      <c r="N649" s="10"/>
      <c r="O649" s="133"/>
      <c r="P649" s="133"/>
      <c r="Q649" s="10"/>
      <c r="R649" s="10"/>
      <c r="S649" s="10"/>
      <c r="T649" s="10"/>
      <c r="U649" s="10"/>
      <c r="V649" s="10"/>
      <c r="W649" s="10"/>
      <c r="X649" s="10"/>
    </row>
    <row r="650">
      <c r="A650" s="257"/>
      <c r="B650" s="257"/>
      <c r="C650" s="258"/>
      <c r="D650" s="257"/>
      <c r="E650" s="257"/>
      <c r="F650" s="257"/>
      <c r="G650" s="257"/>
      <c r="H650" s="257"/>
      <c r="I650" s="257"/>
      <c r="J650" s="257"/>
      <c r="K650" s="257"/>
      <c r="L650" s="257"/>
      <c r="M650" s="259"/>
      <c r="N650" s="10"/>
      <c r="O650" s="133"/>
      <c r="P650" s="133"/>
      <c r="Q650" s="10"/>
      <c r="R650" s="10"/>
      <c r="S650" s="10"/>
      <c r="T650" s="10"/>
      <c r="U650" s="10"/>
      <c r="V650" s="10"/>
      <c r="W650" s="10"/>
      <c r="X650" s="10"/>
    </row>
    <row r="651">
      <c r="A651" s="257"/>
      <c r="B651" s="257"/>
      <c r="C651" s="258"/>
      <c r="D651" s="257"/>
      <c r="E651" s="257"/>
      <c r="F651" s="257"/>
      <c r="G651" s="257"/>
      <c r="H651" s="257"/>
      <c r="I651" s="257"/>
      <c r="J651" s="257"/>
      <c r="K651" s="257"/>
      <c r="L651" s="257"/>
      <c r="M651" s="259"/>
      <c r="N651" s="10"/>
      <c r="O651" s="133"/>
      <c r="P651" s="133"/>
      <c r="Q651" s="10"/>
      <c r="R651" s="10"/>
      <c r="S651" s="10"/>
      <c r="T651" s="10"/>
      <c r="U651" s="10"/>
      <c r="V651" s="10"/>
      <c r="W651" s="10"/>
      <c r="X651" s="10"/>
    </row>
    <row r="652">
      <c r="A652" s="257"/>
      <c r="B652" s="257"/>
      <c r="C652" s="258"/>
      <c r="D652" s="257"/>
      <c r="E652" s="257"/>
      <c r="F652" s="257"/>
      <c r="G652" s="257"/>
      <c r="H652" s="257"/>
      <c r="I652" s="257"/>
      <c r="J652" s="257"/>
      <c r="K652" s="257"/>
      <c r="L652" s="257"/>
      <c r="M652" s="259"/>
      <c r="N652" s="10"/>
      <c r="O652" s="133"/>
      <c r="P652" s="133"/>
      <c r="Q652" s="10"/>
      <c r="R652" s="10"/>
      <c r="S652" s="10"/>
      <c r="T652" s="10"/>
      <c r="U652" s="10"/>
      <c r="V652" s="10"/>
      <c r="W652" s="10"/>
      <c r="X652" s="10"/>
    </row>
    <row r="653">
      <c r="A653" s="257"/>
      <c r="B653" s="257"/>
      <c r="C653" s="258"/>
      <c r="D653" s="257"/>
      <c r="E653" s="257"/>
      <c r="F653" s="257"/>
      <c r="G653" s="257"/>
      <c r="H653" s="257"/>
      <c r="I653" s="257"/>
      <c r="J653" s="257"/>
      <c r="K653" s="257"/>
      <c r="L653" s="257"/>
      <c r="M653" s="259"/>
      <c r="N653" s="10"/>
      <c r="O653" s="133"/>
      <c r="P653" s="133"/>
      <c r="Q653" s="10"/>
      <c r="R653" s="10"/>
      <c r="S653" s="10"/>
      <c r="T653" s="10"/>
      <c r="U653" s="10"/>
      <c r="V653" s="10"/>
      <c r="W653" s="10"/>
      <c r="X653" s="10"/>
    </row>
    <row r="654">
      <c r="A654" s="257"/>
      <c r="B654" s="257"/>
      <c r="C654" s="258"/>
      <c r="D654" s="257"/>
      <c r="E654" s="257"/>
      <c r="F654" s="257"/>
      <c r="G654" s="257"/>
      <c r="H654" s="257"/>
      <c r="I654" s="257"/>
      <c r="J654" s="257"/>
      <c r="K654" s="257"/>
      <c r="L654" s="257"/>
      <c r="M654" s="259"/>
      <c r="N654" s="10"/>
      <c r="O654" s="133"/>
      <c r="P654" s="133"/>
      <c r="Q654" s="10"/>
      <c r="R654" s="10"/>
      <c r="S654" s="10"/>
      <c r="T654" s="10"/>
      <c r="U654" s="10"/>
      <c r="V654" s="10"/>
      <c r="W654" s="10"/>
      <c r="X654" s="10"/>
    </row>
    <row r="655">
      <c r="A655" s="257"/>
      <c r="B655" s="257"/>
      <c r="C655" s="258"/>
      <c r="D655" s="257"/>
      <c r="E655" s="257"/>
      <c r="F655" s="257"/>
      <c r="G655" s="257"/>
      <c r="H655" s="257"/>
      <c r="I655" s="257"/>
      <c r="J655" s="257"/>
      <c r="K655" s="257"/>
      <c r="L655" s="257"/>
      <c r="M655" s="259"/>
      <c r="N655" s="10"/>
      <c r="O655" s="133"/>
      <c r="P655" s="133"/>
      <c r="Q655" s="10"/>
      <c r="R655" s="10"/>
      <c r="S655" s="10"/>
      <c r="T655" s="10"/>
      <c r="U655" s="10"/>
      <c r="V655" s="10"/>
      <c r="W655" s="10"/>
      <c r="X655" s="10"/>
    </row>
    <row r="656">
      <c r="A656" s="257"/>
      <c r="B656" s="257"/>
      <c r="C656" s="258"/>
      <c r="D656" s="257"/>
      <c r="E656" s="257"/>
      <c r="F656" s="257"/>
      <c r="G656" s="257"/>
      <c r="H656" s="257"/>
      <c r="I656" s="257"/>
      <c r="J656" s="257"/>
      <c r="K656" s="257"/>
      <c r="L656" s="257"/>
      <c r="M656" s="259"/>
      <c r="N656" s="10"/>
      <c r="O656" s="133"/>
      <c r="P656" s="133"/>
      <c r="Q656" s="10"/>
      <c r="R656" s="10"/>
      <c r="S656" s="10"/>
      <c r="T656" s="10"/>
      <c r="U656" s="10"/>
      <c r="V656" s="10"/>
      <c r="W656" s="10"/>
      <c r="X656" s="10"/>
    </row>
    <row r="657">
      <c r="A657" s="257"/>
      <c r="B657" s="257"/>
      <c r="C657" s="258"/>
      <c r="D657" s="257"/>
      <c r="E657" s="257"/>
      <c r="F657" s="257"/>
      <c r="G657" s="257"/>
      <c r="H657" s="257"/>
      <c r="I657" s="257"/>
      <c r="J657" s="257"/>
      <c r="K657" s="257"/>
      <c r="L657" s="257"/>
      <c r="M657" s="259"/>
      <c r="N657" s="10"/>
      <c r="O657" s="133"/>
      <c r="P657" s="133"/>
      <c r="Q657" s="10"/>
      <c r="R657" s="10"/>
      <c r="S657" s="10"/>
      <c r="T657" s="10"/>
      <c r="U657" s="10"/>
      <c r="V657" s="10"/>
      <c r="W657" s="10"/>
      <c r="X657" s="10"/>
    </row>
    <row r="658">
      <c r="A658" s="257"/>
      <c r="B658" s="257"/>
      <c r="C658" s="258"/>
      <c r="D658" s="257"/>
      <c r="E658" s="257"/>
      <c r="F658" s="257"/>
      <c r="G658" s="257"/>
      <c r="H658" s="257"/>
      <c r="I658" s="257"/>
      <c r="J658" s="257"/>
      <c r="K658" s="257"/>
      <c r="L658" s="257"/>
      <c r="M658" s="259"/>
      <c r="N658" s="10"/>
      <c r="O658" s="133"/>
      <c r="P658" s="133"/>
      <c r="Q658" s="10"/>
      <c r="R658" s="10"/>
      <c r="S658" s="10"/>
      <c r="T658" s="10"/>
      <c r="U658" s="10"/>
      <c r="V658" s="10"/>
      <c r="W658" s="10"/>
      <c r="X658" s="10"/>
    </row>
    <row r="659">
      <c r="A659" s="257"/>
      <c r="B659" s="257"/>
      <c r="C659" s="258"/>
      <c r="D659" s="257"/>
      <c r="E659" s="257"/>
      <c r="F659" s="257"/>
      <c r="G659" s="257"/>
      <c r="H659" s="257"/>
      <c r="I659" s="257"/>
      <c r="J659" s="257"/>
      <c r="K659" s="257"/>
      <c r="L659" s="257"/>
      <c r="M659" s="259"/>
      <c r="N659" s="10"/>
      <c r="O659" s="133"/>
      <c r="P659" s="133"/>
      <c r="Q659" s="10"/>
      <c r="R659" s="10"/>
      <c r="S659" s="10"/>
      <c r="T659" s="10"/>
      <c r="U659" s="10"/>
      <c r="V659" s="10"/>
      <c r="W659" s="10"/>
      <c r="X659" s="10"/>
    </row>
    <row r="660">
      <c r="A660" s="257"/>
      <c r="B660" s="257"/>
      <c r="C660" s="258"/>
      <c r="D660" s="257"/>
      <c r="E660" s="257"/>
      <c r="F660" s="257"/>
      <c r="G660" s="257"/>
      <c r="H660" s="257"/>
      <c r="I660" s="257"/>
      <c r="J660" s="257"/>
      <c r="K660" s="257"/>
      <c r="L660" s="257"/>
      <c r="M660" s="259"/>
      <c r="N660" s="10"/>
      <c r="O660" s="133"/>
      <c r="P660" s="133"/>
      <c r="Q660" s="10"/>
      <c r="R660" s="10"/>
      <c r="S660" s="10"/>
      <c r="T660" s="10"/>
      <c r="U660" s="10"/>
      <c r="V660" s="10"/>
      <c r="W660" s="10"/>
      <c r="X660" s="10"/>
    </row>
    <row r="661">
      <c r="A661" s="257"/>
      <c r="B661" s="257"/>
      <c r="C661" s="258"/>
      <c r="D661" s="257"/>
      <c r="E661" s="257"/>
      <c r="F661" s="257"/>
      <c r="G661" s="257"/>
      <c r="H661" s="257"/>
      <c r="I661" s="257"/>
      <c r="J661" s="257"/>
      <c r="K661" s="257"/>
      <c r="L661" s="257"/>
      <c r="M661" s="259"/>
      <c r="N661" s="10"/>
      <c r="O661" s="133"/>
      <c r="P661" s="133"/>
      <c r="Q661" s="10"/>
      <c r="R661" s="10"/>
      <c r="S661" s="10"/>
      <c r="T661" s="10"/>
      <c r="U661" s="10"/>
      <c r="V661" s="10"/>
      <c r="W661" s="10"/>
      <c r="X661" s="10"/>
    </row>
    <row r="662">
      <c r="A662" s="257"/>
      <c r="B662" s="257"/>
      <c r="C662" s="258"/>
      <c r="D662" s="257"/>
      <c r="E662" s="257"/>
      <c r="F662" s="257"/>
      <c r="G662" s="257"/>
      <c r="H662" s="257"/>
      <c r="I662" s="257"/>
      <c r="J662" s="257"/>
      <c r="K662" s="257"/>
      <c r="L662" s="257"/>
      <c r="M662" s="259"/>
      <c r="N662" s="10"/>
      <c r="O662" s="133"/>
      <c r="P662" s="133"/>
      <c r="Q662" s="10"/>
      <c r="R662" s="10"/>
      <c r="S662" s="10"/>
      <c r="T662" s="10"/>
      <c r="U662" s="10"/>
      <c r="V662" s="10"/>
      <c r="W662" s="10"/>
      <c r="X662" s="10"/>
    </row>
    <row r="663">
      <c r="A663" s="257"/>
      <c r="B663" s="257"/>
      <c r="C663" s="258"/>
      <c r="D663" s="257"/>
      <c r="E663" s="257"/>
      <c r="F663" s="257"/>
      <c r="G663" s="257"/>
      <c r="H663" s="257"/>
      <c r="I663" s="257"/>
      <c r="J663" s="257"/>
      <c r="K663" s="257"/>
      <c r="L663" s="257"/>
      <c r="M663" s="259"/>
      <c r="N663" s="10"/>
      <c r="O663" s="133"/>
      <c r="P663" s="133"/>
      <c r="Q663" s="10"/>
      <c r="R663" s="10"/>
      <c r="S663" s="10"/>
      <c r="T663" s="10"/>
      <c r="U663" s="10"/>
      <c r="V663" s="10"/>
      <c r="W663" s="10"/>
      <c r="X663" s="10"/>
    </row>
    <row r="664">
      <c r="A664" s="257"/>
      <c r="B664" s="257"/>
      <c r="C664" s="258"/>
      <c r="D664" s="257"/>
      <c r="E664" s="257"/>
      <c r="F664" s="257"/>
      <c r="G664" s="257"/>
      <c r="H664" s="257"/>
      <c r="I664" s="257"/>
      <c r="J664" s="257"/>
      <c r="K664" s="257"/>
      <c r="L664" s="257"/>
      <c r="M664" s="259"/>
      <c r="N664" s="10"/>
      <c r="O664" s="133"/>
      <c r="P664" s="133"/>
      <c r="Q664" s="10"/>
      <c r="R664" s="10"/>
      <c r="S664" s="10"/>
      <c r="T664" s="10"/>
      <c r="U664" s="10"/>
      <c r="V664" s="10"/>
      <c r="W664" s="10"/>
      <c r="X664" s="10"/>
    </row>
    <row r="665">
      <c r="A665" s="257"/>
      <c r="B665" s="257"/>
      <c r="C665" s="258"/>
      <c r="D665" s="257"/>
      <c r="E665" s="257"/>
      <c r="F665" s="257"/>
      <c r="G665" s="257"/>
      <c r="H665" s="257"/>
      <c r="I665" s="257"/>
      <c r="J665" s="257"/>
      <c r="K665" s="257"/>
      <c r="L665" s="257"/>
      <c r="M665" s="259"/>
      <c r="N665" s="10"/>
      <c r="O665" s="133"/>
      <c r="P665" s="133"/>
      <c r="Q665" s="10"/>
      <c r="R665" s="10"/>
      <c r="S665" s="10"/>
      <c r="T665" s="10"/>
      <c r="U665" s="10"/>
      <c r="V665" s="10"/>
      <c r="W665" s="10"/>
      <c r="X665" s="10"/>
    </row>
    <row r="666">
      <c r="A666" s="257"/>
      <c r="B666" s="257"/>
      <c r="C666" s="258"/>
      <c r="D666" s="257"/>
      <c r="E666" s="257"/>
      <c r="F666" s="257"/>
      <c r="G666" s="257"/>
      <c r="H666" s="257"/>
      <c r="I666" s="257"/>
      <c r="J666" s="257"/>
      <c r="K666" s="257"/>
      <c r="L666" s="257"/>
      <c r="M666" s="259"/>
      <c r="N666" s="10"/>
      <c r="O666" s="133"/>
      <c r="P666" s="133"/>
      <c r="Q666" s="10"/>
      <c r="R666" s="10"/>
      <c r="S666" s="10"/>
      <c r="T666" s="10"/>
      <c r="U666" s="10"/>
      <c r="V666" s="10"/>
      <c r="W666" s="10"/>
      <c r="X666" s="10"/>
    </row>
    <row r="667">
      <c r="A667" s="257"/>
      <c r="B667" s="257"/>
      <c r="C667" s="258"/>
      <c r="D667" s="257"/>
      <c r="E667" s="257"/>
      <c r="F667" s="257"/>
      <c r="G667" s="257"/>
      <c r="H667" s="257"/>
      <c r="I667" s="257"/>
      <c r="J667" s="257"/>
      <c r="K667" s="257"/>
      <c r="L667" s="257"/>
      <c r="M667" s="259"/>
      <c r="N667" s="10"/>
      <c r="O667" s="133"/>
      <c r="P667" s="133"/>
      <c r="Q667" s="10"/>
      <c r="R667" s="10"/>
      <c r="S667" s="10"/>
      <c r="T667" s="10"/>
      <c r="U667" s="10"/>
      <c r="V667" s="10"/>
      <c r="W667" s="10"/>
      <c r="X667" s="10"/>
    </row>
    <row r="668">
      <c r="A668" s="257"/>
      <c r="B668" s="257"/>
      <c r="C668" s="258"/>
      <c r="D668" s="257"/>
      <c r="E668" s="257"/>
      <c r="F668" s="257"/>
      <c r="G668" s="257"/>
      <c r="H668" s="257"/>
      <c r="I668" s="257"/>
      <c r="J668" s="257"/>
      <c r="K668" s="257"/>
      <c r="L668" s="257"/>
      <c r="M668" s="259"/>
      <c r="N668" s="10"/>
      <c r="O668" s="133"/>
      <c r="P668" s="133"/>
      <c r="Q668" s="10"/>
      <c r="R668" s="10"/>
      <c r="S668" s="10"/>
      <c r="T668" s="10"/>
      <c r="U668" s="10"/>
      <c r="V668" s="10"/>
      <c r="W668" s="10"/>
      <c r="X668" s="10"/>
    </row>
    <row r="669">
      <c r="A669" s="257"/>
      <c r="B669" s="257"/>
      <c r="C669" s="258"/>
      <c r="D669" s="257"/>
      <c r="E669" s="257"/>
      <c r="F669" s="257"/>
      <c r="G669" s="257"/>
      <c r="H669" s="257"/>
      <c r="I669" s="257"/>
      <c r="J669" s="257"/>
      <c r="K669" s="257"/>
      <c r="L669" s="257"/>
      <c r="M669" s="259"/>
      <c r="N669" s="10"/>
      <c r="O669" s="133"/>
      <c r="P669" s="133"/>
      <c r="Q669" s="10"/>
      <c r="R669" s="10"/>
      <c r="S669" s="10"/>
      <c r="T669" s="10"/>
      <c r="U669" s="10"/>
      <c r="V669" s="10"/>
      <c r="W669" s="10"/>
      <c r="X669" s="10"/>
    </row>
    <row r="670">
      <c r="A670" s="257"/>
      <c r="B670" s="257"/>
      <c r="C670" s="258"/>
      <c r="D670" s="257"/>
      <c r="E670" s="257"/>
      <c r="F670" s="257"/>
      <c r="G670" s="257"/>
      <c r="H670" s="257"/>
      <c r="I670" s="257"/>
      <c r="J670" s="257"/>
      <c r="K670" s="257"/>
      <c r="L670" s="257"/>
      <c r="M670" s="259"/>
      <c r="N670" s="10"/>
      <c r="O670" s="133"/>
      <c r="P670" s="133"/>
      <c r="Q670" s="10"/>
      <c r="R670" s="10"/>
      <c r="S670" s="10"/>
      <c r="T670" s="10"/>
      <c r="U670" s="10"/>
      <c r="V670" s="10"/>
      <c r="W670" s="10"/>
      <c r="X670" s="10"/>
    </row>
    <row r="671">
      <c r="A671" s="257"/>
      <c r="B671" s="257"/>
      <c r="C671" s="258"/>
      <c r="D671" s="257"/>
      <c r="E671" s="257"/>
      <c r="F671" s="257"/>
      <c r="G671" s="257"/>
      <c r="H671" s="257"/>
      <c r="I671" s="257"/>
      <c r="J671" s="257"/>
      <c r="K671" s="257"/>
      <c r="L671" s="257"/>
      <c r="M671" s="259"/>
      <c r="N671" s="10"/>
      <c r="O671" s="133"/>
      <c r="P671" s="133"/>
      <c r="Q671" s="10"/>
      <c r="R671" s="10"/>
      <c r="S671" s="10"/>
      <c r="T671" s="10"/>
      <c r="U671" s="10"/>
      <c r="V671" s="10"/>
      <c r="W671" s="10"/>
      <c r="X671" s="10"/>
    </row>
    <row r="672">
      <c r="A672" s="257"/>
      <c r="B672" s="257"/>
      <c r="C672" s="258"/>
      <c r="D672" s="257"/>
      <c r="E672" s="257"/>
      <c r="F672" s="257"/>
      <c r="G672" s="257"/>
      <c r="H672" s="257"/>
      <c r="I672" s="257"/>
      <c r="J672" s="257"/>
      <c r="K672" s="257"/>
      <c r="L672" s="257"/>
      <c r="M672" s="259"/>
      <c r="N672" s="10"/>
      <c r="O672" s="133"/>
      <c r="P672" s="133"/>
      <c r="Q672" s="10"/>
      <c r="R672" s="10"/>
      <c r="S672" s="10"/>
      <c r="T672" s="10"/>
      <c r="U672" s="10"/>
      <c r="V672" s="10"/>
      <c r="W672" s="10"/>
      <c r="X672" s="10"/>
    </row>
    <row r="673">
      <c r="A673" s="257"/>
      <c r="B673" s="257"/>
      <c r="C673" s="258"/>
      <c r="D673" s="257"/>
      <c r="E673" s="257"/>
      <c r="F673" s="257"/>
      <c r="G673" s="257"/>
      <c r="H673" s="257"/>
      <c r="I673" s="257"/>
      <c r="J673" s="257"/>
      <c r="K673" s="257"/>
      <c r="L673" s="257"/>
      <c r="M673" s="259"/>
      <c r="N673" s="10"/>
      <c r="O673" s="133"/>
      <c r="P673" s="133"/>
      <c r="Q673" s="10"/>
      <c r="R673" s="10"/>
      <c r="S673" s="10"/>
      <c r="T673" s="10"/>
      <c r="U673" s="10"/>
      <c r="V673" s="10"/>
      <c r="W673" s="10"/>
      <c r="X673" s="10"/>
    </row>
    <row r="674">
      <c r="A674" s="257"/>
      <c r="B674" s="257"/>
      <c r="C674" s="258"/>
      <c r="D674" s="257"/>
      <c r="E674" s="257"/>
      <c r="F674" s="257"/>
      <c r="G674" s="257"/>
      <c r="H674" s="257"/>
      <c r="I674" s="257"/>
      <c r="J674" s="257"/>
      <c r="K674" s="257"/>
      <c r="L674" s="257"/>
      <c r="M674" s="259"/>
      <c r="N674" s="10"/>
      <c r="O674" s="133"/>
      <c r="P674" s="133"/>
      <c r="Q674" s="10"/>
      <c r="R674" s="10"/>
      <c r="S674" s="10"/>
      <c r="T674" s="10"/>
      <c r="U674" s="10"/>
      <c r="V674" s="10"/>
      <c r="W674" s="10"/>
      <c r="X674" s="10"/>
    </row>
    <row r="675">
      <c r="A675" s="257"/>
      <c r="B675" s="257"/>
      <c r="C675" s="258"/>
      <c r="D675" s="257"/>
      <c r="E675" s="257"/>
      <c r="F675" s="257"/>
      <c r="G675" s="257"/>
      <c r="H675" s="257"/>
      <c r="I675" s="257"/>
      <c r="J675" s="257"/>
      <c r="K675" s="257"/>
      <c r="L675" s="257"/>
      <c r="M675" s="259"/>
      <c r="N675" s="10"/>
      <c r="O675" s="133"/>
      <c r="P675" s="133"/>
      <c r="Q675" s="10"/>
      <c r="R675" s="10"/>
      <c r="S675" s="10"/>
      <c r="T675" s="10"/>
      <c r="U675" s="10"/>
      <c r="V675" s="10"/>
      <c r="W675" s="10"/>
      <c r="X675" s="10"/>
    </row>
    <row r="676">
      <c r="A676" s="257"/>
      <c r="B676" s="257"/>
      <c r="C676" s="258"/>
      <c r="D676" s="257"/>
      <c r="E676" s="257"/>
      <c r="F676" s="257"/>
      <c r="G676" s="257"/>
      <c r="H676" s="257"/>
      <c r="I676" s="257"/>
      <c r="J676" s="257"/>
      <c r="K676" s="257"/>
      <c r="L676" s="257"/>
      <c r="M676" s="259"/>
      <c r="N676" s="10"/>
      <c r="O676" s="133"/>
      <c r="P676" s="133"/>
      <c r="Q676" s="10"/>
      <c r="R676" s="10"/>
      <c r="S676" s="10"/>
      <c r="T676" s="10"/>
      <c r="U676" s="10"/>
      <c r="V676" s="10"/>
      <c r="W676" s="10"/>
      <c r="X676" s="10"/>
    </row>
    <row r="677">
      <c r="A677" s="257"/>
      <c r="B677" s="257"/>
      <c r="C677" s="258"/>
      <c r="D677" s="257"/>
      <c r="E677" s="257"/>
      <c r="F677" s="257"/>
      <c r="G677" s="257"/>
      <c r="H677" s="257"/>
      <c r="I677" s="257"/>
      <c r="J677" s="257"/>
      <c r="K677" s="257"/>
      <c r="L677" s="257"/>
      <c r="M677" s="259"/>
      <c r="N677" s="10"/>
      <c r="O677" s="133"/>
      <c r="P677" s="133"/>
      <c r="Q677" s="10"/>
      <c r="R677" s="10"/>
      <c r="S677" s="10"/>
      <c r="T677" s="10"/>
      <c r="U677" s="10"/>
      <c r="V677" s="10"/>
      <c r="W677" s="10"/>
      <c r="X677" s="10"/>
    </row>
    <row r="678">
      <c r="A678" s="257"/>
      <c r="B678" s="257"/>
      <c r="C678" s="258"/>
      <c r="D678" s="257"/>
      <c r="E678" s="257"/>
      <c r="F678" s="257"/>
      <c r="G678" s="257"/>
      <c r="H678" s="257"/>
      <c r="I678" s="257"/>
      <c r="J678" s="257"/>
      <c r="K678" s="257"/>
      <c r="L678" s="257"/>
      <c r="M678" s="259"/>
      <c r="N678" s="10"/>
      <c r="O678" s="133"/>
      <c r="P678" s="133"/>
      <c r="Q678" s="10"/>
      <c r="R678" s="10"/>
      <c r="S678" s="10"/>
      <c r="T678" s="10"/>
      <c r="U678" s="10"/>
      <c r="V678" s="10"/>
      <c r="W678" s="10"/>
      <c r="X678" s="10"/>
    </row>
    <row r="679">
      <c r="A679" s="257"/>
      <c r="B679" s="257"/>
      <c r="C679" s="258"/>
      <c r="D679" s="257"/>
      <c r="E679" s="257"/>
      <c r="F679" s="257"/>
      <c r="G679" s="257"/>
      <c r="H679" s="257"/>
      <c r="I679" s="257"/>
      <c r="J679" s="257"/>
      <c r="K679" s="257"/>
      <c r="L679" s="257"/>
      <c r="M679" s="259"/>
      <c r="N679" s="10"/>
      <c r="O679" s="133"/>
      <c r="P679" s="133"/>
      <c r="Q679" s="10"/>
      <c r="R679" s="10"/>
      <c r="S679" s="10"/>
      <c r="T679" s="10"/>
      <c r="U679" s="10"/>
      <c r="V679" s="10"/>
      <c r="W679" s="10"/>
      <c r="X679" s="10"/>
    </row>
    <row r="680">
      <c r="A680" s="257"/>
      <c r="B680" s="257"/>
      <c r="C680" s="258"/>
      <c r="D680" s="257"/>
      <c r="E680" s="257"/>
      <c r="F680" s="257"/>
      <c r="G680" s="257"/>
      <c r="H680" s="257"/>
      <c r="I680" s="257"/>
      <c r="J680" s="257"/>
      <c r="K680" s="257"/>
      <c r="L680" s="257"/>
      <c r="M680" s="259"/>
      <c r="N680" s="10"/>
      <c r="O680" s="133"/>
      <c r="P680" s="133"/>
      <c r="Q680" s="10"/>
      <c r="R680" s="10"/>
      <c r="S680" s="10"/>
      <c r="T680" s="10"/>
      <c r="U680" s="10"/>
      <c r="V680" s="10"/>
      <c r="W680" s="10"/>
      <c r="X680" s="10"/>
    </row>
    <row r="681">
      <c r="A681" s="257"/>
      <c r="B681" s="257"/>
      <c r="C681" s="258"/>
      <c r="D681" s="257"/>
      <c r="E681" s="257"/>
      <c r="F681" s="257"/>
      <c r="G681" s="257"/>
      <c r="H681" s="257"/>
      <c r="I681" s="257"/>
      <c r="J681" s="257"/>
      <c r="K681" s="257"/>
      <c r="L681" s="257"/>
      <c r="M681" s="259"/>
      <c r="N681" s="10"/>
      <c r="O681" s="133"/>
      <c r="P681" s="133"/>
      <c r="Q681" s="10"/>
      <c r="R681" s="10"/>
      <c r="S681" s="10"/>
      <c r="T681" s="10"/>
      <c r="U681" s="10"/>
      <c r="V681" s="10"/>
      <c r="W681" s="10"/>
      <c r="X681" s="10"/>
    </row>
    <row r="682">
      <c r="A682" s="257"/>
      <c r="B682" s="257"/>
      <c r="C682" s="258"/>
      <c r="D682" s="257"/>
      <c r="E682" s="257"/>
      <c r="F682" s="257"/>
      <c r="G682" s="257"/>
      <c r="H682" s="257"/>
      <c r="I682" s="257"/>
      <c r="J682" s="257"/>
      <c r="K682" s="257"/>
      <c r="L682" s="257"/>
      <c r="M682" s="259"/>
      <c r="N682" s="10"/>
      <c r="O682" s="133"/>
      <c r="P682" s="133"/>
      <c r="Q682" s="10"/>
      <c r="R682" s="10"/>
      <c r="S682" s="10"/>
      <c r="T682" s="10"/>
      <c r="U682" s="10"/>
      <c r="V682" s="10"/>
      <c r="W682" s="10"/>
      <c r="X682" s="10"/>
    </row>
    <row r="683">
      <c r="A683" s="257"/>
      <c r="B683" s="257"/>
      <c r="C683" s="258"/>
      <c r="D683" s="257"/>
      <c r="E683" s="257"/>
      <c r="F683" s="257"/>
      <c r="G683" s="257"/>
      <c r="H683" s="257"/>
      <c r="I683" s="257"/>
      <c r="J683" s="257"/>
      <c r="K683" s="257"/>
      <c r="L683" s="257"/>
      <c r="M683" s="259"/>
      <c r="N683" s="10"/>
      <c r="O683" s="133"/>
      <c r="P683" s="133"/>
      <c r="Q683" s="10"/>
      <c r="R683" s="10"/>
      <c r="S683" s="10"/>
      <c r="T683" s="10"/>
      <c r="U683" s="10"/>
      <c r="V683" s="10"/>
      <c r="W683" s="10"/>
      <c r="X683" s="10"/>
    </row>
    <row r="684">
      <c r="A684" s="257"/>
      <c r="B684" s="257"/>
      <c r="C684" s="258"/>
      <c r="D684" s="257"/>
      <c r="E684" s="257"/>
      <c r="F684" s="257"/>
      <c r="G684" s="257"/>
      <c r="H684" s="257"/>
      <c r="I684" s="257"/>
      <c r="J684" s="257"/>
      <c r="K684" s="257"/>
      <c r="L684" s="257"/>
      <c r="M684" s="259"/>
      <c r="N684" s="10"/>
      <c r="O684" s="133"/>
      <c r="P684" s="133"/>
      <c r="Q684" s="10"/>
      <c r="R684" s="10"/>
      <c r="S684" s="10"/>
      <c r="T684" s="10"/>
      <c r="U684" s="10"/>
      <c r="V684" s="10"/>
      <c r="W684" s="10"/>
      <c r="X684" s="10"/>
    </row>
    <row r="685">
      <c r="A685" s="257"/>
      <c r="B685" s="257"/>
      <c r="C685" s="258"/>
      <c r="D685" s="257"/>
      <c r="E685" s="257"/>
      <c r="F685" s="257"/>
      <c r="G685" s="257"/>
      <c r="H685" s="257"/>
      <c r="I685" s="257"/>
      <c r="J685" s="257"/>
      <c r="K685" s="257"/>
      <c r="L685" s="257"/>
      <c r="M685" s="259"/>
      <c r="N685" s="10"/>
      <c r="O685" s="133"/>
      <c r="P685" s="133"/>
      <c r="Q685" s="10"/>
      <c r="R685" s="10"/>
      <c r="S685" s="10"/>
      <c r="T685" s="10"/>
      <c r="U685" s="10"/>
      <c r="V685" s="10"/>
      <c r="W685" s="10"/>
      <c r="X685" s="10"/>
    </row>
    <row r="686">
      <c r="A686" s="257"/>
      <c r="B686" s="257"/>
      <c r="C686" s="258"/>
      <c r="D686" s="257"/>
      <c r="E686" s="257"/>
      <c r="F686" s="257"/>
      <c r="G686" s="257"/>
      <c r="H686" s="257"/>
      <c r="I686" s="257"/>
      <c r="J686" s="257"/>
      <c r="K686" s="257"/>
      <c r="L686" s="257"/>
      <c r="M686" s="259"/>
      <c r="N686" s="10"/>
      <c r="O686" s="133"/>
      <c r="P686" s="133"/>
      <c r="Q686" s="10"/>
      <c r="R686" s="10"/>
      <c r="S686" s="10"/>
      <c r="T686" s="10"/>
      <c r="U686" s="10"/>
      <c r="V686" s="10"/>
      <c r="W686" s="10"/>
      <c r="X686" s="10"/>
    </row>
    <row r="687">
      <c r="A687" s="257"/>
      <c r="B687" s="257"/>
      <c r="C687" s="258"/>
      <c r="D687" s="257"/>
      <c r="E687" s="257"/>
      <c r="F687" s="257"/>
      <c r="G687" s="257"/>
      <c r="H687" s="257"/>
      <c r="I687" s="257"/>
      <c r="J687" s="257"/>
      <c r="K687" s="257"/>
      <c r="L687" s="257"/>
      <c r="M687" s="259"/>
      <c r="N687" s="10"/>
      <c r="O687" s="133"/>
      <c r="P687" s="133"/>
      <c r="Q687" s="10"/>
      <c r="R687" s="10"/>
      <c r="S687" s="10"/>
      <c r="T687" s="10"/>
      <c r="U687" s="10"/>
      <c r="V687" s="10"/>
      <c r="W687" s="10"/>
      <c r="X687" s="10"/>
    </row>
    <row r="688">
      <c r="A688" s="257"/>
      <c r="B688" s="257"/>
      <c r="C688" s="258"/>
      <c r="D688" s="257"/>
      <c r="E688" s="257"/>
      <c r="F688" s="257"/>
      <c r="G688" s="257"/>
      <c r="H688" s="257"/>
      <c r="I688" s="257"/>
      <c r="J688" s="257"/>
      <c r="K688" s="257"/>
      <c r="L688" s="257"/>
      <c r="M688" s="259"/>
      <c r="N688" s="10"/>
      <c r="O688" s="133"/>
      <c r="P688" s="133"/>
      <c r="Q688" s="10"/>
      <c r="R688" s="10"/>
      <c r="S688" s="10"/>
      <c r="T688" s="10"/>
      <c r="U688" s="10"/>
      <c r="V688" s="10"/>
      <c r="W688" s="10"/>
      <c r="X688" s="10"/>
    </row>
    <row r="689">
      <c r="A689" s="257"/>
      <c r="B689" s="257"/>
      <c r="C689" s="258"/>
      <c r="D689" s="257"/>
      <c r="E689" s="257"/>
      <c r="F689" s="257"/>
      <c r="G689" s="257"/>
      <c r="H689" s="257"/>
      <c r="I689" s="257"/>
      <c r="J689" s="257"/>
      <c r="K689" s="257"/>
      <c r="L689" s="257"/>
      <c r="M689" s="259"/>
      <c r="N689" s="10"/>
      <c r="O689" s="133"/>
      <c r="P689" s="133"/>
      <c r="Q689" s="10"/>
      <c r="R689" s="10"/>
      <c r="S689" s="10"/>
      <c r="T689" s="10"/>
      <c r="U689" s="10"/>
      <c r="V689" s="10"/>
      <c r="W689" s="10"/>
      <c r="X689" s="10"/>
    </row>
    <row r="690">
      <c r="A690" s="257"/>
      <c r="B690" s="257"/>
      <c r="C690" s="258"/>
      <c r="D690" s="257"/>
      <c r="E690" s="257"/>
      <c r="F690" s="257"/>
      <c r="G690" s="257"/>
      <c r="H690" s="257"/>
      <c r="I690" s="257"/>
      <c r="J690" s="257"/>
      <c r="K690" s="257"/>
      <c r="L690" s="257"/>
      <c r="M690" s="259"/>
      <c r="N690" s="10"/>
      <c r="O690" s="133"/>
      <c r="P690" s="133"/>
      <c r="Q690" s="10"/>
      <c r="R690" s="10"/>
      <c r="S690" s="10"/>
      <c r="T690" s="10"/>
      <c r="U690" s="10"/>
      <c r="V690" s="10"/>
      <c r="W690" s="10"/>
      <c r="X690" s="10"/>
    </row>
    <row r="691">
      <c r="A691" s="257"/>
      <c r="B691" s="257"/>
      <c r="C691" s="258"/>
      <c r="D691" s="257"/>
      <c r="E691" s="257"/>
      <c r="F691" s="257"/>
      <c r="G691" s="257"/>
      <c r="H691" s="257"/>
      <c r="I691" s="257"/>
      <c r="J691" s="257"/>
      <c r="K691" s="257"/>
      <c r="L691" s="257"/>
      <c r="M691" s="259"/>
      <c r="N691" s="10"/>
      <c r="O691" s="133"/>
      <c r="P691" s="133"/>
      <c r="Q691" s="10"/>
      <c r="R691" s="10"/>
      <c r="S691" s="10"/>
      <c r="T691" s="10"/>
      <c r="U691" s="10"/>
      <c r="V691" s="10"/>
      <c r="W691" s="10"/>
      <c r="X691" s="10"/>
    </row>
    <row r="692">
      <c r="A692" s="257"/>
      <c r="B692" s="257"/>
      <c r="C692" s="258"/>
      <c r="D692" s="257"/>
      <c r="E692" s="257"/>
      <c r="F692" s="257"/>
      <c r="G692" s="257"/>
      <c r="H692" s="257"/>
      <c r="I692" s="257"/>
      <c r="J692" s="257"/>
      <c r="K692" s="257"/>
      <c r="L692" s="257"/>
      <c r="M692" s="259"/>
      <c r="N692" s="10"/>
      <c r="O692" s="133"/>
      <c r="P692" s="133"/>
      <c r="Q692" s="10"/>
      <c r="R692" s="10"/>
      <c r="S692" s="10"/>
      <c r="T692" s="10"/>
      <c r="U692" s="10"/>
      <c r="V692" s="10"/>
      <c r="W692" s="10"/>
      <c r="X692" s="10"/>
    </row>
    <row r="693">
      <c r="A693" s="257"/>
      <c r="B693" s="257"/>
      <c r="C693" s="258"/>
      <c r="D693" s="257"/>
      <c r="E693" s="257"/>
      <c r="F693" s="257"/>
      <c r="G693" s="257"/>
      <c r="H693" s="257"/>
      <c r="I693" s="257"/>
      <c r="J693" s="257"/>
      <c r="K693" s="257"/>
      <c r="L693" s="257"/>
      <c r="M693" s="259"/>
      <c r="N693" s="10"/>
      <c r="O693" s="133"/>
      <c r="P693" s="133"/>
      <c r="Q693" s="10"/>
      <c r="R693" s="10"/>
      <c r="S693" s="10"/>
      <c r="T693" s="10"/>
      <c r="U693" s="10"/>
      <c r="V693" s="10"/>
      <c r="W693" s="10"/>
      <c r="X693" s="10"/>
    </row>
    <row r="694">
      <c r="A694" s="257"/>
      <c r="B694" s="257"/>
      <c r="C694" s="258"/>
      <c r="D694" s="257"/>
      <c r="E694" s="257"/>
      <c r="F694" s="257"/>
      <c r="G694" s="257"/>
      <c r="H694" s="257"/>
      <c r="I694" s="257"/>
      <c r="J694" s="257"/>
      <c r="K694" s="257"/>
      <c r="L694" s="257"/>
      <c r="M694" s="259"/>
      <c r="N694" s="10"/>
      <c r="O694" s="133"/>
      <c r="P694" s="133"/>
      <c r="Q694" s="10"/>
      <c r="R694" s="10"/>
      <c r="S694" s="10"/>
      <c r="T694" s="10"/>
      <c r="U694" s="10"/>
      <c r="V694" s="10"/>
      <c r="W694" s="10"/>
      <c r="X694" s="10"/>
    </row>
    <row r="695">
      <c r="A695" s="257"/>
      <c r="B695" s="257"/>
      <c r="C695" s="258"/>
      <c r="D695" s="257"/>
      <c r="E695" s="257"/>
      <c r="F695" s="257"/>
      <c r="G695" s="257"/>
      <c r="H695" s="257"/>
      <c r="I695" s="257"/>
      <c r="J695" s="257"/>
      <c r="K695" s="257"/>
      <c r="L695" s="257"/>
      <c r="M695" s="259"/>
      <c r="N695" s="10"/>
      <c r="O695" s="133"/>
      <c r="P695" s="133"/>
      <c r="Q695" s="10"/>
      <c r="R695" s="10"/>
      <c r="S695" s="10"/>
      <c r="T695" s="10"/>
      <c r="U695" s="10"/>
      <c r="V695" s="10"/>
      <c r="W695" s="10"/>
      <c r="X695" s="10"/>
    </row>
    <row r="696">
      <c r="A696" s="257"/>
      <c r="B696" s="257"/>
      <c r="C696" s="258"/>
      <c r="D696" s="257"/>
      <c r="E696" s="257"/>
      <c r="F696" s="257"/>
      <c r="G696" s="257"/>
      <c r="H696" s="257"/>
      <c r="I696" s="257"/>
      <c r="J696" s="257"/>
      <c r="K696" s="257"/>
      <c r="L696" s="257"/>
      <c r="M696" s="259"/>
      <c r="N696" s="10"/>
      <c r="O696" s="133"/>
      <c r="P696" s="133"/>
      <c r="Q696" s="10"/>
      <c r="R696" s="10"/>
      <c r="S696" s="10"/>
      <c r="T696" s="10"/>
      <c r="U696" s="10"/>
      <c r="V696" s="10"/>
      <c r="W696" s="10"/>
      <c r="X696" s="10"/>
    </row>
    <row r="697">
      <c r="A697" s="257"/>
      <c r="B697" s="257"/>
      <c r="C697" s="258"/>
      <c r="D697" s="257"/>
      <c r="E697" s="257"/>
      <c r="F697" s="257"/>
      <c r="G697" s="257"/>
      <c r="H697" s="257"/>
      <c r="I697" s="257"/>
      <c r="J697" s="257"/>
      <c r="K697" s="257"/>
      <c r="L697" s="257"/>
      <c r="M697" s="259"/>
      <c r="N697" s="10"/>
      <c r="O697" s="133"/>
      <c r="P697" s="133"/>
      <c r="Q697" s="10"/>
      <c r="R697" s="10"/>
      <c r="S697" s="10"/>
      <c r="T697" s="10"/>
      <c r="U697" s="10"/>
      <c r="V697" s="10"/>
      <c r="W697" s="10"/>
      <c r="X697" s="10"/>
    </row>
    <row r="698">
      <c r="A698" s="257"/>
      <c r="B698" s="257"/>
      <c r="C698" s="258"/>
      <c r="D698" s="257"/>
      <c r="E698" s="257"/>
      <c r="F698" s="257"/>
      <c r="G698" s="257"/>
      <c r="H698" s="257"/>
      <c r="I698" s="257"/>
      <c r="J698" s="257"/>
      <c r="K698" s="257"/>
      <c r="L698" s="257"/>
      <c r="M698" s="259"/>
      <c r="N698" s="10"/>
      <c r="O698" s="133"/>
      <c r="P698" s="133"/>
      <c r="Q698" s="10"/>
      <c r="R698" s="10"/>
      <c r="S698" s="10"/>
      <c r="T698" s="10"/>
      <c r="U698" s="10"/>
      <c r="V698" s="10"/>
      <c r="W698" s="10"/>
      <c r="X698" s="10"/>
    </row>
    <row r="699">
      <c r="A699" s="257"/>
      <c r="B699" s="257"/>
      <c r="C699" s="258"/>
      <c r="D699" s="257"/>
      <c r="E699" s="257"/>
      <c r="F699" s="257"/>
      <c r="G699" s="257"/>
      <c r="H699" s="257"/>
      <c r="I699" s="257"/>
      <c r="J699" s="257"/>
      <c r="K699" s="257"/>
      <c r="L699" s="257"/>
      <c r="M699" s="259"/>
      <c r="N699" s="10"/>
      <c r="O699" s="133"/>
      <c r="P699" s="133"/>
      <c r="Q699" s="10"/>
      <c r="R699" s="10"/>
      <c r="S699" s="10"/>
      <c r="T699" s="10"/>
      <c r="U699" s="10"/>
      <c r="V699" s="10"/>
      <c r="W699" s="10"/>
      <c r="X699" s="10"/>
    </row>
    <row r="700">
      <c r="A700" s="257"/>
      <c r="B700" s="257"/>
      <c r="C700" s="258"/>
      <c r="D700" s="257"/>
      <c r="E700" s="257"/>
      <c r="F700" s="257"/>
      <c r="G700" s="257"/>
      <c r="H700" s="257"/>
      <c r="I700" s="257"/>
      <c r="J700" s="257"/>
      <c r="K700" s="257"/>
      <c r="L700" s="257"/>
      <c r="M700" s="259"/>
      <c r="N700" s="10"/>
      <c r="O700" s="133"/>
      <c r="P700" s="133"/>
      <c r="Q700" s="10"/>
      <c r="R700" s="10"/>
      <c r="S700" s="10"/>
      <c r="T700" s="10"/>
      <c r="U700" s="10"/>
      <c r="V700" s="10"/>
      <c r="W700" s="10"/>
      <c r="X700" s="10"/>
    </row>
    <row r="701">
      <c r="A701" s="257"/>
      <c r="B701" s="257"/>
      <c r="C701" s="258"/>
      <c r="D701" s="257"/>
      <c r="E701" s="257"/>
      <c r="F701" s="257"/>
      <c r="G701" s="257"/>
      <c r="H701" s="257"/>
      <c r="I701" s="257"/>
      <c r="J701" s="257"/>
      <c r="K701" s="257"/>
      <c r="L701" s="257"/>
      <c r="M701" s="259"/>
      <c r="N701" s="10"/>
      <c r="O701" s="133"/>
      <c r="P701" s="133"/>
      <c r="Q701" s="10"/>
      <c r="R701" s="10"/>
      <c r="S701" s="10"/>
      <c r="T701" s="10"/>
      <c r="U701" s="10"/>
      <c r="V701" s="10"/>
      <c r="W701" s="10"/>
      <c r="X701" s="10"/>
    </row>
    <row r="702">
      <c r="A702" s="257"/>
      <c r="B702" s="257"/>
      <c r="C702" s="258"/>
      <c r="D702" s="257"/>
      <c r="E702" s="257"/>
      <c r="F702" s="257"/>
      <c r="G702" s="257"/>
      <c r="H702" s="257"/>
      <c r="I702" s="257"/>
      <c r="J702" s="257"/>
      <c r="K702" s="257"/>
      <c r="L702" s="257"/>
      <c r="M702" s="259"/>
      <c r="N702" s="10"/>
      <c r="O702" s="133"/>
      <c r="P702" s="133"/>
      <c r="Q702" s="10"/>
      <c r="R702" s="10"/>
      <c r="S702" s="10"/>
      <c r="T702" s="10"/>
      <c r="U702" s="10"/>
      <c r="V702" s="10"/>
      <c r="W702" s="10"/>
      <c r="X702" s="10"/>
    </row>
    <row r="703">
      <c r="A703" s="257"/>
      <c r="B703" s="257"/>
      <c r="C703" s="258"/>
      <c r="D703" s="257"/>
      <c r="E703" s="257"/>
      <c r="F703" s="257"/>
      <c r="G703" s="257"/>
      <c r="H703" s="257"/>
      <c r="I703" s="257"/>
      <c r="J703" s="257"/>
      <c r="K703" s="257"/>
      <c r="L703" s="257"/>
      <c r="M703" s="259"/>
      <c r="N703" s="10"/>
      <c r="O703" s="133"/>
      <c r="P703" s="133"/>
      <c r="Q703" s="10"/>
      <c r="R703" s="10"/>
      <c r="S703" s="10"/>
      <c r="T703" s="10"/>
      <c r="U703" s="10"/>
      <c r="V703" s="10"/>
      <c r="W703" s="10"/>
      <c r="X703" s="10"/>
    </row>
    <row r="704">
      <c r="A704" s="257"/>
      <c r="B704" s="257"/>
      <c r="C704" s="258"/>
      <c r="D704" s="257"/>
      <c r="E704" s="257"/>
      <c r="F704" s="257"/>
      <c r="G704" s="257"/>
      <c r="H704" s="257"/>
      <c r="I704" s="257"/>
      <c r="J704" s="257"/>
      <c r="K704" s="257"/>
      <c r="L704" s="257"/>
      <c r="M704" s="259"/>
      <c r="N704" s="10"/>
      <c r="O704" s="133"/>
      <c r="P704" s="133"/>
      <c r="Q704" s="10"/>
      <c r="R704" s="10"/>
      <c r="S704" s="10"/>
      <c r="T704" s="10"/>
      <c r="U704" s="10"/>
      <c r="V704" s="10"/>
      <c r="W704" s="10"/>
      <c r="X704" s="10"/>
    </row>
    <row r="705">
      <c r="A705" s="257"/>
      <c r="B705" s="257"/>
      <c r="C705" s="258"/>
      <c r="D705" s="257"/>
      <c r="E705" s="257"/>
      <c r="F705" s="257"/>
      <c r="G705" s="257"/>
      <c r="H705" s="257"/>
      <c r="I705" s="257"/>
      <c r="J705" s="257"/>
      <c r="K705" s="257"/>
      <c r="L705" s="257"/>
      <c r="M705" s="259"/>
      <c r="N705" s="10"/>
      <c r="O705" s="133"/>
      <c r="P705" s="133"/>
      <c r="Q705" s="10"/>
      <c r="R705" s="10"/>
      <c r="S705" s="10"/>
      <c r="T705" s="10"/>
      <c r="U705" s="10"/>
      <c r="V705" s="10"/>
      <c r="W705" s="10"/>
      <c r="X705" s="10"/>
    </row>
    <row r="706">
      <c r="A706" s="257"/>
      <c r="B706" s="257"/>
      <c r="C706" s="258"/>
      <c r="D706" s="257"/>
      <c r="E706" s="257"/>
      <c r="F706" s="257"/>
      <c r="G706" s="257"/>
      <c r="H706" s="257"/>
      <c r="I706" s="257"/>
      <c r="J706" s="257"/>
      <c r="K706" s="257"/>
      <c r="L706" s="257"/>
      <c r="M706" s="259"/>
      <c r="N706" s="10"/>
      <c r="O706" s="133"/>
      <c r="P706" s="133"/>
      <c r="Q706" s="10"/>
      <c r="R706" s="10"/>
      <c r="S706" s="10"/>
      <c r="T706" s="10"/>
      <c r="U706" s="10"/>
      <c r="V706" s="10"/>
      <c r="W706" s="10"/>
      <c r="X706" s="10"/>
    </row>
    <row r="707">
      <c r="A707" s="257"/>
      <c r="B707" s="257"/>
      <c r="C707" s="258"/>
      <c r="D707" s="257"/>
      <c r="E707" s="257"/>
      <c r="F707" s="257"/>
      <c r="G707" s="257"/>
      <c r="H707" s="257"/>
      <c r="I707" s="257"/>
      <c r="J707" s="257"/>
      <c r="K707" s="257"/>
      <c r="L707" s="257"/>
      <c r="M707" s="259"/>
      <c r="N707" s="10"/>
      <c r="O707" s="133"/>
      <c r="P707" s="133"/>
      <c r="Q707" s="10"/>
      <c r="R707" s="10"/>
      <c r="S707" s="10"/>
      <c r="T707" s="10"/>
      <c r="U707" s="10"/>
      <c r="V707" s="10"/>
      <c r="W707" s="10"/>
      <c r="X707" s="10"/>
    </row>
    <row r="708">
      <c r="A708" s="257"/>
      <c r="B708" s="257"/>
      <c r="C708" s="258"/>
      <c r="D708" s="257"/>
      <c r="E708" s="257"/>
      <c r="F708" s="257"/>
      <c r="G708" s="257"/>
      <c r="H708" s="257"/>
      <c r="I708" s="257"/>
      <c r="J708" s="257"/>
      <c r="K708" s="257"/>
      <c r="L708" s="257"/>
      <c r="M708" s="259"/>
      <c r="N708" s="10"/>
      <c r="O708" s="133"/>
      <c r="P708" s="133"/>
      <c r="Q708" s="10"/>
      <c r="R708" s="10"/>
      <c r="S708" s="10"/>
      <c r="T708" s="10"/>
      <c r="U708" s="10"/>
      <c r="V708" s="10"/>
      <c r="W708" s="10"/>
      <c r="X708" s="10"/>
    </row>
    <row r="709">
      <c r="A709" s="257"/>
      <c r="B709" s="257"/>
      <c r="C709" s="258"/>
      <c r="D709" s="257"/>
      <c r="E709" s="257"/>
      <c r="F709" s="257"/>
      <c r="G709" s="257"/>
      <c r="H709" s="257"/>
      <c r="I709" s="257"/>
      <c r="J709" s="257"/>
      <c r="K709" s="257"/>
      <c r="L709" s="257"/>
      <c r="M709" s="259"/>
      <c r="N709" s="10"/>
      <c r="O709" s="133"/>
      <c r="P709" s="133"/>
      <c r="Q709" s="10"/>
      <c r="R709" s="10"/>
      <c r="S709" s="10"/>
      <c r="T709" s="10"/>
      <c r="U709" s="10"/>
      <c r="V709" s="10"/>
      <c r="W709" s="10"/>
      <c r="X709" s="10"/>
    </row>
    <row r="710">
      <c r="A710" s="257"/>
      <c r="B710" s="257"/>
      <c r="C710" s="258"/>
      <c r="D710" s="257"/>
      <c r="E710" s="257"/>
      <c r="F710" s="257"/>
      <c r="G710" s="257"/>
      <c r="H710" s="257"/>
      <c r="I710" s="257"/>
      <c r="J710" s="257"/>
      <c r="K710" s="257"/>
      <c r="L710" s="257"/>
      <c r="M710" s="259"/>
      <c r="N710" s="10"/>
      <c r="O710" s="133"/>
      <c r="P710" s="133"/>
      <c r="Q710" s="10"/>
      <c r="R710" s="10"/>
      <c r="S710" s="10"/>
      <c r="T710" s="10"/>
      <c r="U710" s="10"/>
      <c r="V710" s="10"/>
      <c r="W710" s="10"/>
      <c r="X710" s="10"/>
    </row>
    <row r="711">
      <c r="A711" s="257"/>
      <c r="B711" s="257"/>
      <c r="C711" s="258"/>
      <c r="D711" s="257"/>
      <c r="E711" s="257"/>
      <c r="F711" s="257"/>
      <c r="G711" s="257"/>
      <c r="H711" s="257"/>
      <c r="I711" s="257"/>
      <c r="J711" s="257"/>
      <c r="K711" s="257"/>
      <c r="L711" s="257"/>
      <c r="M711" s="259"/>
      <c r="N711" s="10"/>
      <c r="O711" s="133"/>
      <c r="P711" s="133"/>
      <c r="Q711" s="10"/>
      <c r="R711" s="10"/>
      <c r="S711" s="10"/>
      <c r="T711" s="10"/>
      <c r="U711" s="10"/>
      <c r="V711" s="10"/>
      <c r="W711" s="10"/>
      <c r="X711" s="10"/>
    </row>
    <row r="712">
      <c r="A712" s="257"/>
      <c r="B712" s="257"/>
      <c r="C712" s="258"/>
      <c r="D712" s="257"/>
      <c r="E712" s="257"/>
      <c r="F712" s="257"/>
      <c r="G712" s="257"/>
      <c r="H712" s="257"/>
      <c r="I712" s="257"/>
      <c r="J712" s="257"/>
      <c r="K712" s="257"/>
      <c r="L712" s="257"/>
      <c r="M712" s="259"/>
      <c r="N712" s="10"/>
      <c r="O712" s="133"/>
      <c r="P712" s="133"/>
      <c r="Q712" s="10"/>
      <c r="R712" s="10"/>
      <c r="S712" s="10"/>
      <c r="T712" s="10"/>
      <c r="U712" s="10"/>
      <c r="V712" s="10"/>
      <c r="W712" s="10"/>
      <c r="X712" s="10"/>
    </row>
    <row r="713">
      <c r="A713" s="257"/>
      <c r="B713" s="257"/>
      <c r="C713" s="258"/>
      <c r="D713" s="257"/>
      <c r="E713" s="257"/>
      <c r="F713" s="257"/>
      <c r="G713" s="257"/>
      <c r="H713" s="257"/>
      <c r="I713" s="257"/>
      <c r="J713" s="257"/>
      <c r="K713" s="257"/>
      <c r="L713" s="257"/>
      <c r="M713" s="259"/>
      <c r="N713" s="10"/>
      <c r="O713" s="133"/>
      <c r="P713" s="133"/>
      <c r="Q713" s="10"/>
      <c r="R713" s="10"/>
      <c r="S713" s="10"/>
      <c r="T713" s="10"/>
      <c r="U713" s="10"/>
      <c r="V713" s="10"/>
      <c r="W713" s="10"/>
      <c r="X713" s="10"/>
    </row>
    <row r="714">
      <c r="A714" s="257"/>
      <c r="B714" s="257"/>
      <c r="C714" s="258"/>
      <c r="D714" s="257"/>
      <c r="E714" s="257"/>
      <c r="F714" s="257"/>
      <c r="G714" s="257"/>
      <c r="H714" s="257"/>
      <c r="I714" s="257"/>
      <c r="J714" s="257"/>
      <c r="K714" s="257"/>
      <c r="L714" s="257"/>
      <c r="M714" s="259"/>
      <c r="N714" s="10"/>
      <c r="O714" s="133"/>
      <c r="P714" s="133"/>
      <c r="Q714" s="10"/>
      <c r="R714" s="10"/>
      <c r="S714" s="10"/>
      <c r="T714" s="10"/>
      <c r="U714" s="10"/>
      <c r="V714" s="10"/>
      <c r="W714" s="10"/>
      <c r="X714" s="10"/>
    </row>
    <row r="715">
      <c r="A715" s="257"/>
      <c r="B715" s="257"/>
      <c r="C715" s="258"/>
      <c r="D715" s="257"/>
      <c r="E715" s="257"/>
      <c r="F715" s="257"/>
      <c r="G715" s="257"/>
      <c r="H715" s="257"/>
      <c r="I715" s="257"/>
      <c r="J715" s="257"/>
      <c r="K715" s="257"/>
      <c r="L715" s="257"/>
      <c r="M715" s="259"/>
      <c r="N715" s="10"/>
      <c r="O715" s="133"/>
      <c r="P715" s="133"/>
      <c r="Q715" s="10"/>
      <c r="R715" s="10"/>
      <c r="S715" s="10"/>
      <c r="T715" s="10"/>
      <c r="U715" s="10"/>
      <c r="V715" s="10"/>
      <c r="W715" s="10"/>
      <c r="X715" s="10"/>
    </row>
    <row r="716">
      <c r="A716" s="257"/>
      <c r="B716" s="257"/>
      <c r="C716" s="258"/>
      <c r="D716" s="257"/>
      <c r="E716" s="257"/>
      <c r="F716" s="257"/>
      <c r="G716" s="257"/>
      <c r="H716" s="257"/>
      <c r="I716" s="257"/>
      <c r="J716" s="257"/>
      <c r="K716" s="257"/>
      <c r="L716" s="257"/>
      <c r="M716" s="259"/>
      <c r="N716" s="10"/>
      <c r="O716" s="133"/>
      <c r="P716" s="133"/>
      <c r="Q716" s="10"/>
      <c r="R716" s="10"/>
      <c r="S716" s="10"/>
      <c r="T716" s="10"/>
      <c r="U716" s="10"/>
      <c r="V716" s="10"/>
      <c r="W716" s="10"/>
      <c r="X716" s="10"/>
    </row>
    <row r="717">
      <c r="A717" s="257"/>
      <c r="B717" s="257"/>
      <c r="C717" s="258"/>
      <c r="D717" s="257"/>
      <c r="E717" s="257"/>
      <c r="F717" s="257"/>
      <c r="G717" s="257"/>
      <c r="H717" s="257"/>
      <c r="I717" s="257"/>
      <c r="J717" s="257"/>
      <c r="K717" s="257"/>
      <c r="L717" s="257"/>
      <c r="M717" s="259"/>
      <c r="N717" s="10"/>
      <c r="O717" s="133"/>
      <c r="P717" s="133"/>
      <c r="Q717" s="10"/>
      <c r="R717" s="10"/>
      <c r="S717" s="10"/>
      <c r="T717" s="10"/>
      <c r="U717" s="10"/>
      <c r="V717" s="10"/>
      <c r="W717" s="10"/>
      <c r="X717" s="10"/>
    </row>
    <row r="718">
      <c r="A718" s="257"/>
      <c r="B718" s="257"/>
      <c r="C718" s="258"/>
      <c r="D718" s="257"/>
      <c r="E718" s="257"/>
      <c r="F718" s="257"/>
      <c r="G718" s="257"/>
      <c r="H718" s="257"/>
      <c r="I718" s="257"/>
      <c r="J718" s="257"/>
      <c r="K718" s="257"/>
      <c r="L718" s="257"/>
      <c r="M718" s="259"/>
      <c r="N718" s="10"/>
      <c r="O718" s="133"/>
      <c r="P718" s="133"/>
      <c r="Q718" s="10"/>
      <c r="R718" s="10"/>
      <c r="S718" s="10"/>
      <c r="T718" s="10"/>
      <c r="U718" s="10"/>
      <c r="V718" s="10"/>
      <c r="W718" s="10"/>
      <c r="X718" s="10"/>
    </row>
    <row r="719">
      <c r="A719" s="257"/>
      <c r="B719" s="257"/>
      <c r="C719" s="258"/>
      <c r="D719" s="257"/>
      <c r="E719" s="257"/>
      <c r="F719" s="257"/>
      <c r="G719" s="257"/>
      <c r="H719" s="257"/>
      <c r="I719" s="257"/>
      <c r="J719" s="257"/>
      <c r="K719" s="257"/>
      <c r="L719" s="257"/>
      <c r="M719" s="259"/>
      <c r="N719" s="10"/>
      <c r="O719" s="133"/>
      <c r="P719" s="133"/>
      <c r="Q719" s="10"/>
      <c r="R719" s="10"/>
      <c r="S719" s="10"/>
      <c r="T719" s="10"/>
      <c r="U719" s="10"/>
      <c r="V719" s="10"/>
      <c r="W719" s="10"/>
      <c r="X719" s="10"/>
    </row>
    <row r="720">
      <c r="A720" s="257"/>
      <c r="B720" s="257"/>
      <c r="C720" s="258"/>
      <c r="D720" s="257"/>
      <c r="E720" s="257"/>
      <c r="F720" s="257"/>
      <c r="G720" s="257"/>
      <c r="H720" s="257"/>
      <c r="I720" s="257"/>
      <c r="J720" s="257"/>
      <c r="K720" s="257"/>
      <c r="L720" s="257"/>
      <c r="M720" s="259"/>
      <c r="N720" s="10"/>
      <c r="O720" s="133"/>
      <c r="P720" s="133"/>
      <c r="Q720" s="10"/>
      <c r="R720" s="10"/>
      <c r="S720" s="10"/>
      <c r="T720" s="10"/>
      <c r="U720" s="10"/>
      <c r="V720" s="10"/>
      <c r="W720" s="10"/>
      <c r="X720" s="10"/>
    </row>
    <row r="721">
      <c r="A721" s="257"/>
      <c r="B721" s="257"/>
      <c r="C721" s="258"/>
      <c r="D721" s="257"/>
      <c r="E721" s="257"/>
      <c r="F721" s="257"/>
      <c r="G721" s="257"/>
      <c r="H721" s="257"/>
      <c r="I721" s="257"/>
      <c r="J721" s="257"/>
      <c r="K721" s="257"/>
      <c r="L721" s="257"/>
      <c r="M721" s="259"/>
      <c r="N721" s="10"/>
      <c r="O721" s="133"/>
      <c r="P721" s="133"/>
      <c r="Q721" s="10"/>
      <c r="R721" s="10"/>
      <c r="S721" s="10"/>
      <c r="T721" s="10"/>
      <c r="U721" s="10"/>
      <c r="V721" s="10"/>
      <c r="W721" s="10"/>
      <c r="X721" s="10"/>
    </row>
    <row r="722">
      <c r="A722" s="257"/>
      <c r="B722" s="257"/>
      <c r="C722" s="258"/>
      <c r="D722" s="257"/>
      <c r="E722" s="257"/>
      <c r="F722" s="257"/>
      <c r="G722" s="257"/>
      <c r="H722" s="257"/>
      <c r="I722" s="257"/>
      <c r="J722" s="257"/>
      <c r="K722" s="257"/>
      <c r="L722" s="257"/>
      <c r="M722" s="259"/>
      <c r="N722" s="10"/>
      <c r="O722" s="133"/>
      <c r="P722" s="133"/>
      <c r="Q722" s="10"/>
      <c r="R722" s="10"/>
      <c r="S722" s="10"/>
      <c r="T722" s="10"/>
      <c r="U722" s="10"/>
      <c r="V722" s="10"/>
      <c r="W722" s="10"/>
      <c r="X722" s="10"/>
    </row>
    <row r="723">
      <c r="A723" s="257"/>
      <c r="B723" s="257"/>
      <c r="C723" s="258"/>
      <c r="D723" s="257"/>
      <c r="E723" s="257"/>
      <c r="F723" s="257"/>
      <c r="G723" s="257"/>
      <c r="H723" s="257"/>
      <c r="I723" s="257"/>
      <c r="J723" s="257"/>
      <c r="K723" s="257"/>
      <c r="L723" s="257"/>
      <c r="M723" s="259"/>
      <c r="N723" s="10"/>
      <c r="O723" s="133"/>
      <c r="P723" s="133"/>
      <c r="Q723" s="10"/>
      <c r="R723" s="10"/>
      <c r="S723" s="10"/>
      <c r="T723" s="10"/>
      <c r="U723" s="10"/>
      <c r="V723" s="10"/>
      <c r="W723" s="10"/>
      <c r="X723" s="10"/>
    </row>
    <row r="724">
      <c r="A724" s="257"/>
      <c r="B724" s="257"/>
      <c r="C724" s="258"/>
      <c r="D724" s="257"/>
      <c r="E724" s="257"/>
      <c r="F724" s="257"/>
      <c r="G724" s="257"/>
      <c r="H724" s="257"/>
      <c r="I724" s="257"/>
      <c r="J724" s="257"/>
      <c r="K724" s="257"/>
      <c r="L724" s="257"/>
      <c r="M724" s="259"/>
      <c r="N724" s="10"/>
      <c r="O724" s="133"/>
      <c r="P724" s="133"/>
      <c r="Q724" s="10"/>
      <c r="R724" s="10"/>
      <c r="S724" s="10"/>
      <c r="T724" s="10"/>
      <c r="U724" s="10"/>
      <c r="V724" s="10"/>
      <c r="W724" s="10"/>
      <c r="X724" s="10"/>
    </row>
    <row r="725">
      <c r="A725" s="257"/>
      <c r="B725" s="257"/>
      <c r="C725" s="258"/>
      <c r="D725" s="257"/>
      <c r="E725" s="257"/>
      <c r="F725" s="257"/>
      <c r="G725" s="257"/>
      <c r="H725" s="257"/>
      <c r="I725" s="257"/>
      <c r="J725" s="257"/>
      <c r="K725" s="257"/>
      <c r="L725" s="257"/>
      <c r="M725" s="259"/>
      <c r="N725" s="10"/>
      <c r="O725" s="133"/>
      <c r="P725" s="133"/>
      <c r="Q725" s="10"/>
      <c r="R725" s="10"/>
      <c r="S725" s="10"/>
      <c r="T725" s="10"/>
      <c r="U725" s="10"/>
      <c r="V725" s="10"/>
      <c r="W725" s="10"/>
      <c r="X725" s="10"/>
    </row>
    <row r="726">
      <c r="A726" s="257"/>
      <c r="B726" s="257"/>
      <c r="C726" s="258"/>
      <c r="D726" s="257"/>
      <c r="E726" s="257"/>
      <c r="F726" s="257"/>
      <c r="G726" s="257"/>
      <c r="H726" s="257"/>
      <c r="I726" s="257"/>
      <c r="J726" s="257"/>
      <c r="K726" s="257"/>
      <c r="L726" s="257"/>
      <c r="M726" s="259"/>
      <c r="N726" s="10"/>
      <c r="O726" s="133"/>
      <c r="P726" s="133"/>
      <c r="Q726" s="10"/>
      <c r="R726" s="10"/>
      <c r="S726" s="10"/>
      <c r="T726" s="10"/>
      <c r="U726" s="10"/>
      <c r="V726" s="10"/>
      <c r="W726" s="10"/>
      <c r="X726" s="10"/>
    </row>
    <row r="727">
      <c r="A727" s="257"/>
      <c r="B727" s="257"/>
      <c r="C727" s="258"/>
      <c r="D727" s="257"/>
      <c r="E727" s="257"/>
      <c r="F727" s="257"/>
      <c r="G727" s="257"/>
      <c r="H727" s="257"/>
      <c r="I727" s="257"/>
      <c r="J727" s="257"/>
      <c r="K727" s="257"/>
      <c r="L727" s="257"/>
      <c r="M727" s="259"/>
      <c r="N727" s="10"/>
      <c r="O727" s="133"/>
      <c r="P727" s="133"/>
      <c r="Q727" s="10"/>
      <c r="R727" s="10"/>
      <c r="S727" s="10"/>
      <c r="T727" s="10"/>
      <c r="U727" s="10"/>
      <c r="V727" s="10"/>
      <c r="W727" s="10"/>
      <c r="X727" s="10"/>
    </row>
    <row r="728">
      <c r="A728" s="257"/>
      <c r="B728" s="257"/>
      <c r="C728" s="258"/>
      <c r="D728" s="257"/>
      <c r="E728" s="257"/>
      <c r="F728" s="257"/>
      <c r="G728" s="257"/>
      <c r="H728" s="257"/>
      <c r="I728" s="257"/>
      <c r="J728" s="257"/>
      <c r="K728" s="257"/>
      <c r="L728" s="257"/>
      <c r="M728" s="259"/>
      <c r="N728" s="10"/>
      <c r="O728" s="133"/>
      <c r="P728" s="133"/>
      <c r="Q728" s="10"/>
      <c r="R728" s="10"/>
      <c r="S728" s="10"/>
      <c r="T728" s="10"/>
      <c r="U728" s="10"/>
      <c r="V728" s="10"/>
      <c r="W728" s="10"/>
      <c r="X728" s="10"/>
    </row>
    <row r="729">
      <c r="A729" s="257"/>
      <c r="B729" s="257"/>
      <c r="C729" s="258"/>
      <c r="D729" s="257"/>
      <c r="E729" s="257"/>
      <c r="F729" s="257"/>
      <c r="G729" s="257"/>
      <c r="H729" s="257"/>
      <c r="I729" s="257"/>
      <c r="J729" s="257"/>
      <c r="K729" s="257"/>
      <c r="L729" s="257"/>
      <c r="M729" s="259"/>
      <c r="N729" s="10"/>
      <c r="O729" s="133"/>
      <c r="P729" s="133"/>
      <c r="Q729" s="10"/>
      <c r="R729" s="10"/>
      <c r="S729" s="10"/>
      <c r="T729" s="10"/>
      <c r="U729" s="10"/>
      <c r="V729" s="10"/>
      <c r="W729" s="10"/>
      <c r="X729" s="10"/>
    </row>
    <row r="730">
      <c r="A730" s="257"/>
      <c r="B730" s="257"/>
      <c r="C730" s="258"/>
      <c r="D730" s="257"/>
      <c r="E730" s="257"/>
      <c r="F730" s="257"/>
      <c r="G730" s="257"/>
      <c r="H730" s="257"/>
      <c r="I730" s="257"/>
      <c r="J730" s="257"/>
      <c r="K730" s="257"/>
      <c r="L730" s="257"/>
      <c r="M730" s="259"/>
      <c r="N730" s="10"/>
      <c r="O730" s="133"/>
      <c r="P730" s="133"/>
      <c r="Q730" s="10"/>
      <c r="R730" s="10"/>
      <c r="S730" s="10"/>
      <c r="T730" s="10"/>
      <c r="U730" s="10"/>
      <c r="V730" s="10"/>
      <c r="W730" s="10"/>
      <c r="X730" s="10"/>
    </row>
    <row r="731">
      <c r="A731" s="257"/>
      <c r="B731" s="257"/>
      <c r="C731" s="258"/>
      <c r="D731" s="257"/>
      <c r="E731" s="257"/>
      <c r="F731" s="257"/>
      <c r="G731" s="257"/>
      <c r="H731" s="257"/>
      <c r="I731" s="257"/>
      <c r="J731" s="257"/>
      <c r="K731" s="257"/>
      <c r="L731" s="257"/>
      <c r="M731" s="259"/>
      <c r="N731" s="10"/>
      <c r="O731" s="133"/>
      <c r="P731" s="133"/>
      <c r="Q731" s="10"/>
      <c r="R731" s="10"/>
      <c r="S731" s="10"/>
      <c r="T731" s="10"/>
      <c r="U731" s="10"/>
      <c r="V731" s="10"/>
      <c r="W731" s="10"/>
      <c r="X731" s="10"/>
    </row>
    <row r="732">
      <c r="A732" s="257"/>
      <c r="B732" s="257"/>
      <c r="C732" s="258"/>
      <c r="D732" s="257"/>
      <c r="E732" s="257"/>
      <c r="F732" s="257"/>
      <c r="G732" s="257"/>
      <c r="H732" s="257"/>
      <c r="I732" s="257"/>
      <c r="J732" s="257"/>
      <c r="K732" s="257"/>
      <c r="L732" s="257"/>
      <c r="M732" s="259"/>
      <c r="N732" s="10"/>
      <c r="O732" s="133"/>
      <c r="P732" s="133"/>
      <c r="Q732" s="10"/>
      <c r="R732" s="10"/>
      <c r="S732" s="10"/>
      <c r="T732" s="10"/>
      <c r="U732" s="10"/>
      <c r="V732" s="10"/>
      <c r="W732" s="10"/>
      <c r="X732" s="10"/>
    </row>
    <row r="733">
      <c r="A733" s="257"/>
      <c r="B733" s="257"/>
      <c r="C733" s="258"/>
      <c r="D733" s="257"/>
      <c r="E733" s="257"/>
      <c r="F733" s="257"/>
      <c r="G733" s="257"/>
      <c r="H733" s="257"/>
      <c r="I733" s="257"/>
      <c r="J733" s="257"/>
      <c r="K733" s="257"/>
      <c r="L733" s="257"/>
      <c r="M733" s="259"/>
      <c r="N733" s="10"/>
      <c r="O733" s="133"/>
      <c r="P733" s="133"/>
      <c r="Q733" s="10"/>
      <c r="R733" s="10"/>
      <c r="S733" s="10"/>
      <c r="T733" s="10"/>
      <c r="U733" s="10"/>
      <c r="V733" s="10"/>
      <c r="W733" s="10"/>
      <c r="X733" s="10"/>
    </row>
    <row r="734">
      <c r="A734" s="257"/>
      <c r="B734" s="257"/>
      <c r="C734" s="258"/>
      <c r="D734" s="257"/>
      <c r="E734" s="257"/>
      <c r="F734" s="257"/>
      <c r="G734" s="257"/>
      <c r="H734" s="257"/>
      <c r="I734" s="257"/>
      <c r="J734" s="257"/>
      <c r="K734" s="257"/>
      <c r="L734" s="257"/>
      <c r="M734" s="259"/>
      <c r="N734" s="10"/>
      <c r="O734" s="133"/>
      <c r="P734" s="133"/>
      <c r="Q734" s="10"/>
      <c r="R734" s="10"/>
      <c r="S734" s="10"/>
      <c r="T734" s="10"/>
      <c r="U734" s="10"/>
      <c r="V734" s="10"/>
      <c r="W734" s="10"/>
      <c r="X734" s="10"/>
    </row>
    <row r="735">
      <c r="A735" s="257"/>
      <c r="B735" s="257"/>
      <c r="C735" s="258"/>
      <c r="D735" s="257"/>
      <c r="E735" s="257"/>
      <c r="F735" s="257"/>
      <c r="G735" s="257"/>
      <c r="H735" s="257"/>
      <c r="I735" s="257"/>
      <c r="J735" s="257"/>
      <c r="K735" s="257"/>
      <c r="L735" s="257"/>
      <c r="M735" s="259"/>
      <c r="N735" s="10"/>
      <c r="O735" s="133"/>
      <c r="P735" s="133"/>
      <c r="Q735" s="10"/>
      <c r="R735" s="10"/>
      <c r="S735" s="10"/>
      <c r="T735" s="10"/>
      <c r="U735" s="10"/>
      <c r="V735" s="10"/>
      <c r="W735" s="10"/>
      <c r="X735" s="10"/>
    </row>
    <row r="736">
      <c r="A736" s="257"/>
      <c r="B736" s="257"/>
      <c r="C736" s="258"/>
      <c r="D736" s="257"/>
      <c r="E736" s="257"/>
      <c r="F736" s="257"/>
      <c r="G736" s="257"/>
      <c r="H736" s="257"/>
      <c r="I736" s="257"/>
      <c r="J736" s="257"/>
      <c r="K736" s="257"/>
      <c r="L736" s="257"/>
      <c r="M736" s="259"/>
      <c r="N736" s="10"/>
      <c r="O736" s="133"/>
      <c r="P736" s="133"/>
      <c r="Q736" s="10"/>
      <c r="R736" s="10"/>
      <c r="S736" s="10"/>
      <c r="T736" s="10"/>
      <c r="U736" s="10"/>
      <c r="V736" s="10"/>
      <c r="W736" s="10"/>
      <c r="X736" s="10"/>
    </row>
    <row r="737">
      <c r="A737" s="257"/>
      <c r="B737" s="257"/>
      <c r="C737" s="258"/>
      <c r="D737" s="257"/>
      <c r="E737" s="257"/>
      <c r="F737" s="257"/>
      <c r="G737" s="257"/>
      <c r="H737" s="257"/>
      <c r="I737" s="257"/>
      <c r="J737" s="257"/>
      <c r="K737" s="257"/>
      <c r="L737" s="257"/>
      <c r="M737" s="259"/>
      <c r="N737" s="10"/>
      <c r="O737" s="133"/>
      <c r="P737" s="133"/>
      <c r="Q737" s="10"/>
      <c r="R737" s="10"/>
      <c r="S737" s="10"/>
      <c r="T737" s="10"/>
      <c r="U737" s="10"/>
      <c r="V737" s="10"/>
      <c r="W737" s="10"/>
      <c r="X737" s="10"/>
    </row>
    <row r="738">
      <c r="A738" s="257"/>
      <c r="B738" s="257"/>
      <c r="C738" s="258"/>
      <c r="D738" s="257"/>
      <c r="E738" s="257"/>
      <c r="F738" s="257"/>
      <c r="G738" s="257"/>
      <c r="H738" s="257"/>
      <c r="I738" s="257"/>
      <c r="J738" s="257"/>
      <c r="K738" s="257"/>
      <c r="L738" s="257"/>
      <c r="M738" s="259"/>
      <c r="N738" s="10"/>
      <c r="O738" s="133"/>
      <c r="P738" s="133"/>
      <c r="Q738" s="10"/>
      <c r="R738" s="10"/>
      <c r="S738" s="10"/>
      <c r="T738" s="10"/>
      <c r="U738" s="10"/>
      <c r="V738" s="10"/>
      <c r="W738" s="10"/>
      <c r="X738" s="10"/>
    </row>
    <row r="739">
      <c r="A739" s="257"/>
      <c r="B739" s="257"/>
      <c r="C739" s="258"/>
      <c r="D739" s="257"/>
      <c r="E739" s="257"/>
      <c r="F739" s="257"/>
      <c r="G739" s="257"/>
      <c r="H739" s="257"/>
      <c r="I739" s="257"/>
      <c r="J739" s="257"/>
      <c r="K739" s="257"/>
      <c r="L739" s="257"/>
      <c r="M739" s="259"/>
      <c r="N739" s="10"/>
      <c r="O739" s="133"/>
      <c r="P739" s="133"/>
      <c r="Q739" s="10"/>
      <c r="R739" s="10"/>
      <c r="S739" s="10"/>
      <c r="T739" s="10"/>
      <c r="U739" s="10"/>
      <c r="V739" s="10"/>
      <c r="W739" s="10"/>
      <c r="X739" s="10"/>
    </row>
    <row r="740">
      <c r="A740" s="257"/>
      <c r="B740" s="257"/>
      <c r="C740" s="258"/>
      <c r="D740" s="257"/>
      <c r="E740" s="257"/>
      <c r="F740" s="257"/>
      <c r="G740" s="257"/>
      <c r="H740" s="257"/>
      <c r="I740" s="257"/>
      <c r="J740" s="257"/>
      <c r="K740" s="257"/>
      <c r="L740" s="257"/>
      <c r="M740" s="259"/>
      <c r="N740" s="10"/>
      <c r="O740" s="133"/>
      <c r="P740" s="133"/>
      <c r="Q740" s="10"/>
      <c r="R740" s="10"/>
      <c r="S740" s="10"/>
      <c r="T740" s="10"/>
      <c r="U740" s="10"/>
      <c r="V740" s="10"/>
      <c r="W740" s="10"/>
      <c r="X740" s="10"/>
    </row>
    <row r="741">
      <c r="A741" s="257"/>
      <c r="B741" s="257"/>
      <c r="C741" s="258"/>
      <c r="D741" s="257"/>
      <c r="E741" s="257"/>
      <c r="F741" s="257"/>
      <c r="G741" s="257"/>
      <c r="H741" s="257"/>
      <c r="I741" s="257"/>
      <c r="J741" s="257"/>
      <c r="K741" s="257"/>
      <c r="L741" s="257"/>
      <c r="M741" s="259"/>
      <c r="N741" s="10"/>
      <c r="O741" s="133"/>
      <c r="P741" s="133"/>
      <c r="Q741" s="10"/>
      <c r="R741" s="10"/>
      <c r="S741" s="10"/>
      <c r="T741" s="10"/>
      <c r="U741" s="10"/>
      <c r="V741" s="10"/>
      <c r="W741" s="10"/>
      <c r="X741" s="10"/>
    </row>
    <row r="742">
      <c r="A742" s="257"/>
      <c r="B742" s="257"/>
      <c r="C742" s="258"/>
      <c r="D742" s="257"/>
      <c r="E742" s="257"/>
      <c r="F742" s="257"/>
      <c r="G742" s="257"/>
      <c r="H742" s="257"/>
      <c r="I742" s="257"/>
      <c r="J742" s="257"/>
      <c r="K742" s="257"/>
      <c r="L742" s="257"/>
      <c r="M742" s="259"/>
      <c r="N742" s="10"/>
      <c r="O742" s="133"/>
      <c r="P742" s="133"/>
      <c r="Q742" s="10"/>
      <c r="R742" s="10"/>
      <c r="S742" s="10"/>
      <c r="T742" s="10"/>
      <c r="U742" s="10"/>
      <c r="V742" s="10"/>
      <c r="W742" s="10"/>
      <c r="X742" s="10"/>
    </row>
    <row r="743">
      <c r="A743" s="257"/>
      <c r="B743" s="257"/>
      <c r="C743" s="258"/>
      <c r="D743" s="257"/>
      <c r="E743" s="257"/>
      <c r="F743" s="257"/>
      <c r="G743" s="257"/>
      <c r="H743" s="257"/>
      <c r="I743" s="257"/>
      <c r="J743" s="257"/>
      <c r="K743" s="257"/>
      <c r="L743" s="257"/>
      <c r="M743" s="259"/>
      <c r="N743" s="10"/>
      <c r="O743" s="133"/>
      <c r="P743" s="133"/>
      <c r="Q743" s="10"/>
      <c r="R743" s="10"/>
      <c r="S743" s="10"/>
      <c r="T743" s="10"/>
      <c r="U743" s="10"/>
      <c r="V743" s="10"/>
      <c r="W743" s="10"/>
      <c r="X743" s="10"/>
    </row>
    <row r="744">
      <c r="A744" s="257"/>
      <c r="B744" s="257"/>
      <c r="C744" s="258"/>
      <c r="D744" s="257"/>
      <c r="E744" s="257"/>
      <c r="F744" s="257"/>
      <c r="G744" s="257"/>
      <c r="H744" s="257"/>
      <c r="I744" s="257"/>
      <c r="J744" s="257"/>
      <c r="K744" s="257"/>
      <c r="L744" s="257"/>
      <c r="M744" s="259"/>
      <c r="N744" s="10"/>
      <c r="O744" s="133"/>
      <c r="P744" s="133"/>
      <c r="Q744" s="10"/>
      <c r="R744" s="10"/>
      <c r="S744" s="10"/>
      <c r="T744" s="10"/>
      <c r="U744" s="10"/>
      <c r="V744" s="10"/>
      <c r="W744" s="10"/>
      <c r="X744" s="10"/>
    </row>
    <row r="745">
      <c r="A745" s="257"/>
      <c r="B745" s="257"/>
      <c r="C745" s="258"/>
      <c r="D745" s="257"/>
      <c r="E745" s="257"/>
      <c r="F745" s="257"/>
      <c r="G745" s="257"/>
      <c r="H745" s="257"/>
      <c r="I745" s="257"/>
      <c r="J745" s="257"/>
      <c r="K745" s="257"/>
      <c r="L745" s="257"/>
      <c r="M745" s="259"/>
      <c r="N745" s="10"/>
      <c r="O745" s="133"/>
      <c r="P745" s="133"/>
      <c r="Q745" s="10"/>
      <c r="R745" s="10"/>
      <c r="S745" s="10"/>
      <c r="T745" s="10"/>
      <c r="U745" s="10"/>
      <c r="V745" s="10"/>
      <c r="W745" s="10"/>
      <c r="X745" s="10"/>
    </row>
    <row r="746">
      <c r="A746" s="257"/>
      <c r="B746" s="257"/>
      <c r="C746" s="258"/>
      <c r="D746" s="257"/>
      <c r="E746" s="257"/>
      <c r="F746" s="257"/>
      <c r="G746" s="257"/>
      <c r="H746" s="257"/>
      <c r="I746" s="257"/>
      <c r="J746" s="257"/>
      <c r="K746" s="257"/>
      <c r="L746" s="257"/>
      <c r="M746" s="259"/>
      <c r="N746" s="10"/>
      <c r="O746" s="133"/>
      <c r="P746" s="133"/>
      <c r="Q746" s="10"/>
      <c r="R746" s="10"/>
      <c r="S746" s="10"/>
      <c r="T746" s="10"/>
      <c r="U746" s="10"/>
      <c r="V746" s="10"/>
      <c r="W746" s="10"/>
      <c r="X746" s="10"/>
    </row>
    <row r="747">
      <c r="A747" s="257"/>
      <c r="B747" s="257"/>
      <c r="C747" s="258"/>
      <c r="D747" s="257"/>
      <c r="E747" s="257"/>
      <c r="F747" s="257"/>
      <c r="G747" s="257"/>
      <c r="H747" s="257"/>
      <c r="I747" s="257"/>
      <c r="J747" s="257"/>
      <c r="K747" s="257"/>
      <c r="L747" s="257"/>
      <c r="M747" s="259"/>
      <c r="N747" s="10"/>
      <c r="O747" s="133"/>
      <c r="P747" s="133"/>
      <c r="Q747" s="10"/>
      <c r="R747" s="10"/>
      <c r="S747" s="10"/>
      <c r="T747" s="10"/>
      <c r="U747" s="10"/>
      <c r="V747" s="10"/>
      <c r="W747" s="10"/>
      <c r="X747" s="10"/>
    </row>
    <row r="748">
      <c r="A748" s="257"/>
      <c r="B748" s="257"/>
      <c r="C748" s="258"/>
      <c r="D748" s="257"/>
      <c r="E748" s="257"/>
      <c r="F748" s="257"/>
      <c r="G748" s="257"/>
      <c r="H748" s="257"/>
      <c r="I748" s="257"/>
      <c r="J748" s="257"/>
      <c r="K748" s="257"/>
      <c r="L748" s="257"/>
      <c r="M748" s="259"/>
      <c r="N748" s="10"/>
      <c r="O748" s="133"/>
      <c r="P748" s="133"/>
      <c r="Q748" s="10"/>
      <c r="R748" s="10"/>
      <c r="S748" s="10"/>
      <c r="T748" s="10"/>
      <c r="U748" s="10"/>
      <c r="V748" s="10"/>
      <c r="W748" s="10"/>
      <c r="X748" s="10"/>
    </row>
    <row r="749">
      <c r="A749" s="257"/>
      <c r="B749" s="257"/>
      <c r="C749" s="258"/>
      <c r="D749" s="257"/>
      <c r="E749" s="257"/>
      <c r="F749" s="257"/>
      <c r="G749" s="257"/>
      <c r="H749" s="257"/>
      <c r="I749" s="257"/>
      <c r="J749" s="257"/>
      <c r="K749" s="257"/>
      <c r="L749" s="257"/>
      <c r="M749" s="259"/>
      <c r="N749" s="10"/>
      <c r="O749" s="133"/>
      <c r="P749" s="133"/>
      <c r="Q749" s="10"/>
      <c r="R749" s="10"/>
      <c r="S749" s="10"/>
      <c r="T749" s="10"/>
      <c r="U749" s="10"/>
      <c r="V749" s="10"/>
      <c r="W749" s="10"/>
      <c r="X749" s="10"/>
    </row>
    <row r="750">
      <c r="A750" s="257"/>
      <c r="B750" s="257"/>
      <c r="C750" s="258"/>
      <c r="D750" s="257"/>
      <c r="E750" s="257"/>
      <c r="F750" s="257"/>
      <c r="G750" s="257"/>
      <c r="H750" s="257"/>
      <c r="I750" s="257"/>
      <c r="J750" s="257"/>
      <c r="K750" s="257"/>
      <c r="L750" s="257"/>
      <c r="M750" s="259"/>
      <c r="N750" s="10"/>
      <c r="O750" s="133"/>
      <c r="P750" s="133"/>
      <c r="Q750" s="10"/>
      <c r="R750" s="10"/>
      <c r="S750" s="10"/>
      <c r="T750" s="10"/>
      <c r="U750" s="10"/>
      <c r="V750" s="10"/>
      <c r="W750" s="10"/>
      <c r="X750" s="10"/>
    </row>
    <row r="751">
      <c r="A751" s="257"/>
      <c r="B751" s="257"/>
      <c r="C751" s="258"/>
      <c r="D751" s="257"/>
      <c r="E751" s="257"/>
      <c r="F751" s="257"/>
      <c r="G751" s="257"/>
      <c r="H751" s="257"/>
      <c r="I751" s="257"/>
      <c r="J751" s="257"/>
      <c r="K751" s="257"/>
      <c r="L751" s="257"/>
      <c r="M751" s="259"/>
      <c r="N751" s="10"/>
      <c r="O751" s="133"/>
      <c r="P751" s="133"/>
      <c r="Q751" s="10"/>
      <c r="R751" s="10"/>
      <c r="S751" s="10"/>
      <c r="T751" s="10"/>
      <c r="U751" s="10"/>
      <c r="V751" s="10"/>
      <c r="W751" s="10"/>
      <c r="X751" s="10"/>
    </row>
    <row r="752">
      <c r="A752" s="257"/>
      <c r="B752" s="257"/>
      <c r="C752" s="258"/>
      <c r="D752" s="257"/>
      <c r="E752" s="257"/>
      <c r="F752" s="257"/>
      <c r="G752" s="257"/>
      <c r="H752" s="257"/>
      <c r="I752" s="257"/>
      <c r="J752" s="257"/>
      <c r="K752" s="257"/>
      <c r="L752" s="257"/>
      <c r="M752" s="259"/>
      <c r="N752" s="10"/>
      <c r="O752" s="133"/>
      <c r="P752" s="133"/>
      <c r="Q752" s="10"/>
      <c r="R752" s="10"/>
      <c r="S752" s="10"/>
      <c r="T752" s="10"/>
      <c r="U752" s="10"/>
      <c r="V752" s="10"/>
      <c r="W752" s="10"/>
      <c r="X752" s="10"/>
    </row>
    <row r="753">
      <c r="A753" s="257"/>
      <c r="B753" s="257"/>
      <c r="C753" s="258"/>
      <c r="D753" s="257"/>
      <c r="E753" s="257"/>
      <c r="F753" s="257"/>
      <c r="G753" s="257"/>
      <c r="H753" s="257"/>
      <c r="I753" s="257"/>
      <c r="J753" s="257"/>
      <c r="K753" s="257"/>
      <c r="L753" s="257"/>
      <c r="M753" s="259"/>
      <c r="N753" s="10"/>
      <c r="O753" s="133"/>
      <c r="P753" s="133"/>
      <c r="Q753" s="10"/>
      <c r="R753" s="10"/>
      <c r="S753" s="10"/>
      <c r="T753" s="10"/>
      <c r="U753" s="10"/>
      <c r="V753" s="10"/>
      <c r="W753" s="10"/>
      <c r="X753" s="10"/>
    </row>
    <row r="754">
      <c r="A754" s="257"/>
      <c r="B754" s="257"/>
      <c r="C754" s="258"/>
      <c r="D754" s="257"/>
      <c r="E754" s="257"/>
      <c r="F754" s="257"/>
      <c r="G754" s="257"/>
      <c r="H754" s="257"/>
      <c r="I754" s="257"/>
      <c r="J754" s="257"/>
      <c r="K754" s="257"/>
      <c r="L754" s="257"/>
      <c r="M754" s="259"/>
      <c r="N754" s="10"/>
      <c r="O754" s="133"/>
      <c r="P754" s="133"/>
      <c r="Q754" s="10"/>
      <c r="R754" s="10"/>
      <c r="S754" s="10"/>
      <c r="T754" s="10"/>
      <c r="U754" s="10"/>
      <c r="V754" s="10"/>
      <c r="W754" s="10"/>
      <c r="X754" s="10"/>
    </row>
    <row r="755">
      <c r="A755" s="257"/>
      <c r="B755" s="257"/>
      <c r="C755" s="258"/>
      <c r="D755" s="257"/>
      <c r="E755" s="257"/>
      <c r="F755" s="257"/>
      <c r="G755" s="257"/>
      <c r="H755" s="257"/>
      <c r="I755" s="257"/>
      <c r="J755" s="257"/>
      <c r="K755" s="257"/>
      <c r="L755" s="257"/>
      <c r="M755" s="259"/>
      <c r="N755" s="10"/>
      <c r="O755" s="133"/>
      <c r="P755" s="133"/>
      <c r="Q755" s="10"/>
      <c r="R755" s="10"/>
      <c r="S755" s="10"/>
      <c r="T755" s="10"/>
      <c r="U755" s="10"/>
      <c r="V755" s="10"/>
      <c r="W755" s="10"/>
      <c r="X755" s="10"/>
    </row>
    <row r="756">
      <c r="A756" s="257"/>
      <c r="B756" s="257"/>
      <c r="C756" s="258"/>
      <c r="D756" s="257"/>
      <c r="E756" s="257"/>
      <c r="F756" s="257"/>
      <c r="G756" s="257"/>
      <c r="H756" s="257"/>
      <c r="I756" s="257"/>
      <c r="J756" s="257"/>
      <c r="K756" s="257"/>
      <c r="L756" s="257"/>
      <c r="M756" s="259"/>
      <c r="N756" s="10"/>
      <c r="O756" s="133"/>
      <c r="P756" s="133"/>
      <c r="Q756" s="10"/>
      <c r="R756" s="10"/>
      <c r="S756" s="10"/>
      <c r="T756" s="10"/>
      <c r="U756" s="10"/>
      <c r="V756" s="10"/>
      <c r="W756" s="10"/>
      <c r="X756" s="10"/>
    </row>
    <row r="757">
      <c r="A757" s="257"/>
      <c r="B757" s="257"/>
      <c r="C757" s="258"/>
      <c r="D757" s="257"/>
      <c r="E757" s="257"/>
      <c r="F757" s="257"/>
      <c r="G757" s="257"/>
      <c r="H757" s="257"/>
      <c r="I757" s="257"/>
      <c r="J757" s="257"/>
      <c r="K757" s="257"/>
      <c r="L757" s="257"/>
      <c r="M757" s="259"/>
      <c r="N757" s="10"/>
      <c r="O757" s="133"/>
      <c r="P757" s="133"/>
      <c r="Q757" s="10"/>
      <c r="R757" s="10"/>
      <c r="S757" s="10"/>
      <c r="T757" s="10"/>
      <c r="U757" s="10"/>
      <c r="V757" s="10"/>
      <c r="W757" s="10"/>
      <c r="X757" s="10"/>
    </row>
    <row r="758">
      <c r="A758" s="257"/>
      <c r="B758" s="257"/>
      <c r="C758" s="258"/>
      <c r="D758" s="257"/>
      <c r="E758" s="257"/>
      <c r="F758" s="257"/>
      <c r="G758" s="257"/>
      <c r="H758" s="257"/>
      <c r="I758" s="257"/>
      <c r="J758" s="257"/>
      <c r="K758" s="257"/>
      <c r="L758" s="257"/>
      <c r="M758" s="259"/>
      <c r="N758" s="10"/>
      <c r="O758" s="133"/>
      <c r="P758" s="133"/>
      <c r="Q758" s="10"/>
      <c r="R758" s="10"/>
      <c r="S758" s="10"/>
      <c r="T758" s="10"/>
      <c r="U758" s="10"/>
      <c r="V758" s="10"/>
      <c r="W758" s="10"/>
      <c r="X758" s="10"/>
    </row>
    <row r="759">
      <c r="A759" s="257"/>
      <c r="B759" s="257"/>
      <c r="C759" s="258"/>
      <c r="D759" s="257"/>
      <c r="E759" s="257"/>
      <c r="F759" s="257"/>
      <c r="G759" s="257"/>
      <c r="H759" s="257"/>
      <c r="I759" s="257"/>
      <c r="J759" s="257"/>
      <c r="K759" s="257"/>
      <c r="L759" s="257"/>
      <c r="M759" s="259"/>
      <c r="N759" s="10"/>
      <c r="O759" s="133"/>
      <c r="P759" s="133"/>
      <c r="Q759" s="10"/>
      <c r="R759" s="10"/>
      <c r="S759" s="10"/>
      <c r="T759" s="10"/>
      <c r="U759" s="10"/>
      <c r="V759" s="10"/>
      <c r="W759" s="10"/>
      <c r="X759" s="10"/>
    </row>
    <row r="760">
      <c r="A760" s="257"/>
      <c r="B760" s="257"/>
      <c r="C760" s="258"/>
      <c r="D760" s="257"/>
      <c r="E760" s="257"/>
      <c r="F760" s="257"/>
      <c r="G760" s="257"/>
      <c r="H760" s="257"/>
      <c r="I760" s="257"/>
      <c r="J760" s="257"/>
      <c r="K760" s="257"/>
      <c r="L760" s="257"/>
      <c r="M760" s="259"/>
      <c r="N760" s="10"/>
      <c r="O760" s="133"/>
      <c r="P760" s="133"/>
      <c r="Q760" s="10"/>
      <c r="R760" s="10"/>
      <c r="S760" s="10"/>
      <c r="T760" s="10"/>
      <c r="U760" s="10"/>
      <c r="V760" s="10"/>
      <c r="W760" s="10"/>
      <c r="X760" s="10"/>
    </row>
    <row r="761">
      <c r="A761" s="257"/>
      <c r="B761" s="257"/>
      <c r="C761" s="258"/>
      <c r="D761" s="257"/>
      <c r="E761" s="257"/>
      <c r="F761" s="257"/>
      <c r="G761" s="257"/>
      <c r="H761" s="257"/>
      <c r="I761" s="257"/>
      <c r="J761" s="257"/>
      <c r="K761" s="257"/>
      <c r="L761" s="257"/>
      <c r="M761" s="259"/>
      <c r="N761" s="10"/>
      <c r="O761" s="133"/>
      <c r="P761" s="133"/>
      <c r="Q761" s="10"/>
      <c r="R761" s="10"/>
      <c r="S761" s="10"/>
      <c r="T761" s="10"/>
      <c r="U761" s="10"/>
      <c r="V761" s="10"/>
      <c r="W761" s="10"/>
      <c r="X761" s="10"/>
    </row>
    <row r="762">
      <c r="A762" s="257"/>
      <c r="B762" s="257"/>
      <c r="C762" s="258"/>
      <c r="D762" s="257"/>
      <c r="E762" s="257"/>
      <c r="F762" s="257"/>
      <c r="G762" s="257"/>
      <c r="H762" s="257"/>
      <c r="I762" s="257"/>
      <c r="J762" s="257"/>
      <c r="K762" s="257"/>
      <c r="L762" s="257"/>
      <c r="M762" s="259"/>
      <c r="N762" s="10"/>
      <c r="O762" s="133"/>
      <c r="P762" s="133"/>
      <c r="Q762" s="10"/>
      <c r="R762" s="10"/>
      <c r="S762" s="10"/>
      <c r="T762" s="10"/>
      <c r="U762" s="10"/>
      <c r="V762" s="10"/>
      <c r="W762" s="10"/>
      <c r="X762" s="10"/>
    </row>
    <row r="763">
      <c r="A763" s="257"/>
      <c r="B763" s="257"/>
      <c r="C763" s="258"/>
      <c r="D763" s="257"/>
      <c r="E763" s="257"/>
      <c r="F763" s="257"/>
      <c r="G763" s="257"/>
      <c r="H763" s="257"/>
      <c r="I763" s="257"/>
      <c r="J763" s="257"/>
      <c r="K763" s="257"/>
      <c r="L763" s="257"/>
      <c r="M763" s="259"/>
      <c r="N763" s="10"/>
      <c r="O763" s="133"/>
      <c r="P763" s="133"/>
      <c r="Q763" s="10"/>
      <c r="R763" s="10"/>
      <c r="S763" s="10"/>
      <c r="T763" s="10"/>
      <c r="U763" s="10"/>
      <c r="V763" s="10"/>
      <c r="W763" s="10"/>
      <c r="X763" s="10"/>
    </row>
    <row r="764">
      <c r="A764" s="257"/>
      <c r="B764" s="257"/>
      <c r="C764" s="258"/>
      <c r="D764" s="257"/>
      <c r="E764" s="257"/>
      <c r="F764" s="257"/>
      <c r="G764" s="257"/>
      <c r="H764" s="257"/>
      <c r="I764" s="257"/>
      <c r="J764" s="257"/>
      <c r="K764" s="257"/>
      <c r="L764" s="257"/>
      <c r="M764" s="259"/>
      <c r="N764" s="10"/>
      <c r="O764" s="133"/>
      <c r="P764" s="133"/>
      <c r="Q764" s="10"/>
      <c r="R764" s="10"/>
      <c r="S764" s="10"/>
      <c r="T764" s="10"/>
      <c r="U764" s="10"/>
      <c r="V764" s="10"/>
      <c r="W764" s="10"/>
      <c r="X764" s="10"/>
    </row>
    <row r="765">
      <c r="A765" s="257"/>
      <c r="B765" s="257"/>
      <c r="C765" s="258"/>
      <c r="D765" s="257"/>
      <c r="E765" s="257"/>
      <c r="F765" s="257"/>
      <c r="G765" s="257"/>
      <c r="H765" s="257"/>
      <c r="I765" s="257"/>
      <c r="J765" s="257"/>
      <c r="K765" s="257"/>
      <c r="L765" s="257"/>
      <c r="M765" s="259"/>
      <c r="N765" s="10"/>
      <c r="O765" s="133"/>
      <c r="P765" s="133"/>
      <c r="Q765" s="10"/>
      <c r="R765" s="10"/>
      <c r="S765" s="10"/>
      <c r="T765" s="10"/>
      <c r="U765" s="10"/>
      <c r="V765" s="10"/>
      <c r="W765" s="10"/>
      <c r="X765" s="10"/>
    </row>
    <row r="766">
      <c r="A766" s="257"/>
      <c r="B766" s="257"/>
      <c r="C766" s="258"/>
      <c r="D766" s="257"/>
      <c r="E766" s="257"/>
      <c r="F766" s="257"/>
      <c r="G766" s="257"/>
      <c r="H766" s="257"/>
      <c r="I766" s="257"/>
      <c r="J766" s="257"/>
      <c r="K766" s="257"/>
      <c r="L766" s="257"/>
      <c r="M766" s="259"/>
      <c r="N766" s="10"/>
      <c r="O766" s="133"/>
      <c r="P766" s="133"/>
      <c r="Q766" s="10"/>
      <c r="R766" s="10"/>
      <c r="S766" s="10"/>
      <c r="T766" s="10"/>
      <c r="U766" s="10"/>
      <c r="V766" s="10"/>
      <c r="W766" s="10"/>
      <c r="X766" s="10"/>
    </row>
    <row r="767">
      <c r="A767" s="257"/>
      <c r="B767" s="257"/>
      <c r="C767" s="258"/>
      <c r="D767" s="257"/>
      <c r="E767" s="257"/>
      <c r="F767" s="257"/>
      <c r="G767" s="257"/>
      <c r="H767" s="257"/>
      <c r="I767" s="257"/>
      <c r="J767" s="257"/>
      <c r="K767" s="257"/>
      <c r="L767" s="257"/>
      <c r="M767" s="259"/>
      <c r="N767" s="10"/>
      <c r="O767" s="133"/>
      <c r="P767" s="133"/>
      <c r="Q767" s="10"/>
      <c r="R767" s="10"/>
      <c r="S767" s="10"/>
      <c r="T767" s="10"/>
      <c r="U767" s="10"/>
      <c r="V767" s="10"/>
      <c r="W767" s="10"/>
      <c r="X767" s="10"/>
    </row>
    <row r="768">
      <c r="A768" s="257"/>
      <c r="B768" s="257"/>
      <c r="C768" s="258"/>
      <c r="D768" s="257"/>
      <c r="E768" s="257"/>
      <c r="F768" s="257"/>
      <c r="G768" s="257"/>
      <c r="H768" s="257"/>
      <c r="I768" s="257"/>
      <c r="J768" s="257"/>
      <c r="K768" s="257"/>
      <c r="L768" s="257"/>
      <c r="M768" s="259"/>
      <c r="N768" s="10"/>
      <c r="O768" s="133"/>
      <c r="P768" s="133"/>
      <c r="Q768" s="10"/>
      <c r="R768" s="10"/>
      <c r="S768" s="10"/>
      <c r="T768" s="10"/>
      <c r="U768" s="10"/>
      <c r="V768" s="10"/>
      <c r="W768" s="10"/>
      <c r="X768" s="10"/>
    </row>
    <row r="769">
      <c r="A769" s="257"/>
      <c r="B769" s="257"/>
      <c r="C769" s="258"/>
      <c r="D769" s="257"/>
      <c r="E769" s="257"/>
      <c r="F769" s="257"/>
      <c r="G769" s="257"/>
      <c r="H769" s="257"/>
      <c r="I769" s="257"/>
      <c r="J769" s="257"/>
      <c r="K769" s="257"/>
      <c r="L769" s="257"/>
      <c r="M769" s="259"/>
      <c r="N769" s="10"/>
      <c r="O769" s="133"/>
      <c r="P769" s="133"/>
      <c r="Q769" s="10"/>
      <c r="R769" s="10"/>
      <c r="S769" s="10"/>
      <c r="T769" s="10"/>
      <c r="U769" s="10"/>
      <c r="V769" s="10"/>
      <c r="W769" s="10"/>
      <c r="X769" s="10"/>
    </row>
    <row r="770">
      <c r="A770" s="257"/>
      <c r="B770" s="257"/>
      <c r="C770" s="258"/>
      <c r="D770" s="257"/>
      <c r="E770" s="257"/>
      <c r="F770" s="257"/>
      <c r="G770" s="257"/>
      <c r="H770" s="257"/>
      <c r="I770" s="257"/>
      <c r="J770" s="257"/>
      <c r="K770" s="257"/>
      <c r="L770" s="257"/>
      <c r="M770" s="259"/>
      <c r="N770" s="10"/>
      <c r="O770" s="133"/>
      <c r="P770" s="133"/>
      <c r="Q770" s="10"/>
      <c r="R770" s="10"/>
      <c r="S770" s="10"/>
      <c r="T770" s="10"/>
      <c r="U770" s="10"/>
      <c r="V770" s="10"/>
      <c r="W770" s="10"/>
      <c r="X770" s="10"/>
    </row>
    <row r="771">
      <c r="A771" s="257"/>
      <c r="B771" s="257"/>
      <c r="C771" s="258"/>
      <c r="D771" s="257"/>
      <c r="E771" s="257"/>
      <c r="F771" s="257"/>
      <c r="G771" s="257"/>
      <c r="H771" s="257"/>
      <c r="I771" s="257"/>
      <c r="J771" s="257"/>
      <c r="K771" s="257"/>
      <c r="L771" s="257"/>
      <c r="M771" s="259"/>
      <c r="N771" s="10"/>
      <c r="O771" s="133"/>
      <c r="P771" s="133"/>
      <c r="Q771" s="10"/>
      <c r="R771" s="10"/>
      <c r="S771" s="10"/>
      <c r="T771" s="10"/>
      <c r="U771" s="10"/>
      <c r="V771" s="10"/>
      <c r="W771" s="10"/>
      <c r="X771" s="10"/>
    </row>
    <row r="772">
      <c r="A772" s="257"/>
      <c r="B772" s="257"/>
      <c r="C772" s="258"/>
      <c r="D772" s="257"/>
      <c r="E772" s="257"/>
      <c r="F772" s="257"/>
      <c r="G772" s="257"/>
      <c r="H772" s="257"/>
      <c r="I772" s="257"/>
      <c r="J772" s="257"/>
      <c r="K772" s="257"/>
      <c r="L772" s="257"/>
      <c r="M772" s="259"/>
      <c r="N772" s="10"/>
      <c r="O772" s="133"/>
      <c r="P772" s="133"/>
      <c r="Q772" s="10"/>
      <c r="R772" s="10"/>
      <c r="S772" s="10"/>
      <c r="T772" s="10"/>
      <c r="U772" s="10"/>
      <c r="V772" s="10"/>
      <c r="W772" s="10"/>
      <c r="X772" s="10"/>
    </row>
    <row r="773">
      <c r="A773" s="257"/>
      <c r="B773" s="257"/>
      <c r="C773" s="258"/>
      <c r="D773" s="257"/>
      <c r="E773" s="257"/>
      <c r="F773" s="257"/>
      <c r="G773" s="257"/>
      <c r="H773" s="257"/>
      <c r="I773" s="257"/>
      <c r="J773" s="257"/>
      <c r="K773" s="257"/>
      <c r="L773" s="257"/>
      <c r="M773" s="259"/>
      <c r="N773" s="10"/>
      <c r="O773" s="133"/>
      <c r="P773" s="133"/>
      <c r="Q773" s="10"/>
      <c r="R773" s="10"/>
      <c r="S773" s="10"/>
      <c r="T773" s="10"/>
      <c r="U773" s="10"/>
      <c r="V773" s="10"/>
      <c r="W773" s="10"/>
      <c r="X773" s="10"/>
    </row>
    <row r="774">
      <c r="A774" s="257"/>
      <c r="B774" s="257"/>
      <c r="C774" s="258"/>
      <c r="D774" s="257"/>
      <c r="E774" s="257"/>
      <c r="F774" s="257"/>
      <c r="G774" s="257"/>
      <c r="H774" s="257"/>
      <c r="I774" s="257"/>
      <c r="J774" s="257"/>
      <c r="K774" s="257"/>
      <c r="L774" s="257"/>
      <c r="M774" s="259"/>
      <c r="N774" s="10"/>
      <c r="O774" s="133"/>
      <c r="P774" s="133"/>
      <c r="Q774" s="10"/>
      <c r="R774" s="10"/>
      <c r="S774" s="10"/>
      <c r="T774" s="10"/>
      <c r="U774" s="10"/>
      <c r="V774" s="10"/>
      <c r="W774" s="10"/>
      <c r="X774" s="10"/>
    </row>
    <row r="775">
      <c r="A775" s="257"/>
      <c r="B775" s="257"/>
      <c r="C775" s="258"/>
      <c r="D775" s="257"/>
      <c r="E775" s="257"/>
      <c r="F775" s="257"/>
      <c r="G775" s="257"/>
      <c r="H775" s="257"/>
      <c r="I775" s="257"/>
      <c r="J775" s="257"/>
      <c r="K775" s="257"/>
      <c r="L775" s="257"/>
      <c r="M775" s="259"/>
      <c r="N775" s="10"/>
      <c r="O775" s="133"/>
      <c r="P775" s="133"/>
      <c r="Q775" s="10"/>
      <c r="R775" s="10"/>
      <c r="S775" s="10"/>
      <c r="T775" s="10"/>
      <c r="U775" s="10"/>
      <c r="V775" s="10"/>
      <c r="W775" s="10"/>
      <c r="X775" s="10"/>
    </row>
    <row r="776">
      <c r="A776" s="257"/>
      <c r="B776" s="257"/>
      <c r="C776" s="258"/>
      <c r="D776" s="257"/>
      <c r="E776" s="257"/>
      <c r="F776" s="257"/>
      <c r="G776" s="257"/>
      <c r="H776" s="257"/>
      <c r="I776" s="257"/>
      <c r="J776" s="257"/>
      <c r="K776" s="257"/>
      <c r="L776" s="257"/>
      <c r="M776" s="259"/>
      <c r="N776" s="10"/>
      <c r="O776" s="133"/>
      <c r="P776" s="133"/>
      <c r="Q776" s="10"/>
      <c r="R776" s="10"/>
      <c r="S776" s="10"/>
      <c r="T776" s="10"/>
      <c r="U776" s="10"/>
      <c r="V776" s="10"/>
      <c r="W776" s="10"/>
      <c r="X776" s="10"/>
    </row>
    <row r="777">
      <c r="A777" s="257"/>
      <c r="B777" s="257"/>
      <c r="C777" s="258"/>
      <c r="D777" s="257"/>
      <c r="E777" s="257"/>
      <c r="F777" s="257"/>
      <c r="G777" s="257"/>
      <c r="H777" s="257"/>
      <c r="I777" s="257"/>
      <c r="J777" s="257"/>
      <c r="K777" s="257"/>
      <c r="L777" s="257"/>
      <c r="M777" s="259"/>
      <c r="N777" s="10"/>
      <c r="O777" s="133"/>
      <c r="P777" s="133"/>
      <c r="Q777" s="10"/>
      <c r="R777" s="10"/>
      <c r="S777" s="10"/>
      <c r="T777" s="10"/>
      <c r="U777" s="10"/>
      <c r="V777" s="10"/>
      <c r="W777" s="10"/>
      <c r="X777" s="10"/>
    </row>
    <row r="778">
      <c r="A778" s="257"/>
      <c r="B778" s="257"/>
      <c r="C778" s="258"/>
      <c r="D778" s="257"/>
      <c r="E778" s="257"/>
      <c r="F778" s="257"/>
      <c r="G778" s="257"/>
      <c r="H778" s="257"/>
      <c r="I778" s="257"/>
      <c r="J778" s="257"/>
      <c r="K778" s="257"/>
      <c r="L778" s="257"/>
      <c r="M778" s="259"/>
      <c r="N778" s="10"/>
      <c r="O778" s="133"/>
      <c r="P778" s="133"/>
      <c r="Q778" s="10"/>
      <c r="R778" s="10"/>
      <c r="S778" s="10"/>
      <c r="T778" s="10"/>
      <c r="U778" s="10"/>
      <c r="V778" s="10"/>
      <c r="W778" s="10"/>
      <c r="X778" s="10"/>
    </row>
    <row r="779">
      <c r="A779" s="257"/>
      <c r="B779" s="257"/>
      <c r="C779" s="258"/>
      <c r="D779" s="257"/>
      <c r="E779" s="257"/>
      <c r="F779" s="257"/>
      <c r="G779" s="257"/>
      <c r="H779" s="257"/>
      <c r="I779" s="257"/>
      <c r="J779" s="257"/>
      <c r="K779" s="257"/>
      <c r="L779" s="257"/>
      <c r="M779" s="259"/>
      <c r="N779" s="10"/>
      <c r="O779" s="133"/>
      <c r="P779" s="133"/>
      <c r="Q779" s="10"/>
      <c r="R779" s="10"/>
      <c r="S779" s="10"/>
      <c r="T779" s="10"/>
      <c r="U779" s="10"/>
      <c r="V779" s="10"/>
      <c r="W779" s="10"/>
      <c r="X779" s="10"/>
    </row>
    <row r="780">
      <c r="A780" s="257"/>
      <c r="B780" s="257"/>
      <c r="C780" s="258"/>
      <c r="D780" s="257"/>
      <c r="E780" s="257"/>
      <c r="F780" s="257"/>
      <c r="G780" s="257"/>
      <c r="H780" s="257"/>
      <c r="I780" s="257"/>
      <c r="J780" s="257"/>
      <c r="K780" s="257"/>
      <c r="L780" s="257"/>
      <c r="M780" s="259"/>
      <c r="N780" s="10"/>
      <c r="O780" s="133"/>
      <c r="P780" s="133"/>
      <c r="Q780" s="10"/>
      <c r="R780" s="10"/>
      <c r="S780" s="10"/>
      <c r="T780" s="10"/>
      <c r="U780" s="10"/>
      <c r="V780" s="10"/>
      <c r="W780" s="10"/>
      <c r="X780" s="10"/>
    </row>
    <row r="781">
      <c r="A781" s="257"/>
      <c r="B781" s="257"/>
      <c r="C781" s="258"/>
      <c r="D781" s="257"/>
      <c r="E781" s="257"/>
      <c r="F781" s="257"/>
      <c r="G781" s="257"/>
      <c r="H781" s="257"/>
      <c r="I781" s="257"/>
      <c r="J781" s="257"/>
      <c r="K781" s="257"/>
      <c r="L781" s="257"/>
      <c r="M781" s="259"/>
      <c r="N781" s="10"/>
      <c r="O781" s="133"/>
      <c r="P781" s="133"/>
      <c r="Q781" s="10"/>
      <c r="R781" s="10"/>
      <c r="S781" s="10"/>
      <c r="T781" s="10"/>
      <c r="U781" s="10"/>
      <c r="V781" s="10"/>
      <c r="W781" s="10"/>
      <c r="X781" s="10"/>
    </row>
    <row r="782">
      <c r="A782" s="257"/>
      <c r="B782" s="257"/>
      <c r="C782" s="258"/>
      <c r="D782" s="257"/>
      <c r="E782" s="257"/>
      <c r="F782" s="257"/>
      <c r="G782" s="257"/>
      <c r="H782" s="257"/>
      <c r="I782" s="257"/>
      <c r="J782" s="257"/>
      <c r="K782" s="257"/>
      <c r="L782" s="257"/>
      <c r="M782" s="259"/>
      <c r="N782" s="10"/>
      <c r="O782" s="133"/>
      <c r="P782" s="133"/>
      <c r="Q782" s="10"/>
      <c r="R782" s="10"/>
      <c r="S782" s="10"/>
      <c r="T782" s="10"/>
      <c r="U782" s="10"/>
      <c r="V782" s="10"/>
      <c r="W782" s="10"/>
      <c r="X782" s="10"/>
    </row>
    <row r="783">
      <c r="A783" s="257"/>
      <c r="B783" s="257"/>
      <c r="C783" s="258"/>
      <c r="D783" s="257"/>
      <c r="E783" s="257"/>
      <c r="F783" s="257"/>
      <c r="G783" s="257"/>
      <c r="H783" s="257"/>
      <c r="I783" s="257"/>
      <c r="J783" s="257"/>
      <c r="K783" s="257"/>
      <c r="L783" s="257"/>
      <c r="M783" s="259"/>
      <c r="N783" s="10"/>
      <c r="O783" s="133"/>
      <c r="P783" s="133"/>
      <c r="Q783" s="10"/>
      <c r="R783" s="10"/>
      <c r="S783" s="10"/>
      <c r="T783" s="10"/>
      <c r="U783" s="10"/>
      <c r="V783" s="10"/>
      <c r="W783" s="10"/>
      <c r="X783" s="10"/>
    </row>
    <row r="784">
      <c r="A784" s="257"/>
      <c r="B784" s="257"/>
      <c r="C784" s="258"/>
      <c r="D784" s="257"/>
      <c r="E784" s="257"/>
      <c r="F784" s="257"/>
      <c r="G784" s="257"/>
      <c r="H784" s="257"/>
      <c r="I784" s="257"/>
      <c r="J784" s="257"/>
      <c r="K784" s="257"/>
      <c r="L784" s="257"/>
      <c r="M784" s="259"/>
      <c r="N784" s="10"/>
      <c r="O784" s="133"/>
      <c r="P784" s="133"/>
      <c r="Q784" s="10"/>
      <c r="R784" s="10"/>
      <c r="S784" s="10"/>
      <c r="T784" s="10"/>
      <c r="U784" s="10"/>
      <c r="V784" s="10"/>
      <c r="W784" s="10"/>
      <c r="X784" s="10"/>
    </row>
    <row r="785">
      <c r="A785" s="257"/>
      <c r="B785" s="257"/>
      <c r="C785" s="258"/>
      <c r="D785" s="257"/>
      <c r="E785" s="257"/>
      <c r="F785" s="257"/>
      <c r="G785" s="257"/>
      <c r="H785" s="257"/>
      <c r="I785" s="257"/>
      <c r="J785" s="257"/>
      <c r="K785" s="257"/>
      <c r="L785" s="257"/>
      <c r="M785" s="259"/>
      <c r="N785" s="10"/>
      <c r="O785" s="133"/>
      <c r="P785" s="133"/>
      <c r="Q785" s="10"/>
      <c r="R785" s="10"/>
      <c r="S785" s="10"/>
      <c r="T785" s="10"/>
      <c r="U785" s="10"/>
      <c r="V785" s="10"/>
      <c r="W785" s="10"/>
      <c r="X785" s="10"/>
    </row>
    <row r="786">
      <c r="A786" s="257"/>
      <c r="B786" s="257"/>
      <c r="C786" s="258"/>
      <c r="D786" s="257"/>
      <c r="E786" s="257"/>
      <c r="F786" s="257"/>
      <c r="G786" s="257"/>
      <c r="H786" s="257"/>
      <c r="I786" s="257"/>
      <c r="J786" s="257"/>
      <c r="K786" s="257"/>
      <c r="L786" s="257"/>
      <c r="M786" s="259"/>
      <c r="N786" s="10"/>
      <c r="O786" s="133"/>
      <c r="P786" s="133"/>
      <c r="Q786" s="10"/>
      <c r="R786" s="10"/>
      <c r="S786" s="10"/>
      <c r="T786" s="10"/>
      <c r="U786" s="10"/>
      <c r="V786" s="10"/>
      <c r="W786" s="10"/>
      <c r="X786" s="10"/>
    </row>
    <row r="787">
      <c r="A787" s="257"/>
      <c r="B787" s="257"/>
      <c r="C787" s="258"/>
      <c r="D787" s="257"/>
      <c r="E787" s="257"/>
      <c r="F787" s="257"/>
      <c r="G787" s="257"/>
      <c r="H787" s="257"/>
      <c r="I787" s="257"/>
      <c r="J787" s="257"/>
      <c r="K787" s="257"/>
      <c r="L787" s="257"/>
      <c r="M787" s="259"/>
      <c r="N787" s="10"/>
      <c r="O787" s="133"/>
      <c r="P787" s="133"/>
      <c r="Q787" s="10"/>
      <c r="R787" s="10"/>
      <c r="S787" s="10"/>
      <c r="T787" s="10"/>
      <c r="U787" s="10"/>
      <c r="V787" s="10"/>
      <c r="W787" s="10"/>
      <c r="X787" s="10"/>
    </row>
    <row r="788">
      <c r="A788" s="257"/>
      <c r="B788" s="257"/>
      <c r="C788" s="258"/>
      <c r="D788" s="257"/>
      <c r="E788" s="257"/>
      <c r="F788" s="257"/>
      <c r="G788" s="257"/>
      <c r="H788" s="257"/>
      <c r="I788" s="257"/>
      <c r="J788" s="257"/>
      <c r="K788" s="257"/>
      <c r="L788" s="257"/>
      <c r="M788" s="259"/>
      <c r="N788" s="10"/>
      <c r="O788" s="133"/>
      <c r="P788" s="133"/>
      <c r="Q788" s="10"/>
      <c r="R788" s="10"/>
      <c r="S788" s="10"/>
      <c r="T788" s="10"/>
      <c r="U788" s="10"/>
      <c r="V788" s="10"/>
      <c r="W788" s="10"/>
      <c r="X788" s="10"/>
    </row>
    <row r="789">
      <c r="A789" s="257"/>
      <c r="B789" s="257"/>
      <c r="C789" s="258"/>
      <c r="D789" s="257"/>
      <c r="E789" s="257"/>
      <c r="F789" s="257"/>
      <c r="G789" s="257"/>
      <c r="H789" s="257"/>
      <c r="I789" s="257"/>
      <c r="J789" s="257"/>
      <c r="K789" s="257"/>
      <c r="L789" s="257"/>
      <c r="M789" s="259"/>
      <c r="N789" s="10"/>
      <c r="O789" s="133"/>
      <c r="P789" s="133"/>
      <c r="Q789" s="10"/>
      <c r="R789" s="10"/>
      <c r="S789" s="10"/>
      <c r="T789" s="10"/>
      <c r="U789" s="10"/>
      <c r="V789" s="10"/>
      <c r="W789" s="10"/>
      <c r="X789" s="10"/>
    </row>
    <row r="790">
      <c r="A790" s="257"/>
      <c r="B790" s="257"/>
      <c r="C790" s="258"/>
      <c r="D790" s="257"/>
      <c r="E790" s="257"/>
      <c r="F790" s="257"/>
      <c r="G790" s="257"/>
      <c r="H790" s="257"/>
      <c r="I790" s="257"/>
      <c r="J790" s="257"/>
      <c r="K790" s="257"/>
      <c r="L790" s="257"/>
      <c r="M790" s="259"/>
      <c r="N790" s="10"/>
      <c r="O790" s="133"/>
      <c r="P790" s="133"/>
      <c r="Q790" s="10"/>
      <c r="R790" s="10"/>
      <c r="S790" s="10"/>
      <c r="T790" s="10"/>
      <c r="U790" s="10"/>
      <c r="V790" s="10"/>
      <c r="W790" s="10"/>
      <c r="X790" s="10"/>
    </row>
    <row r="791">
      <c r="A791" s="257"/>
      <c r="B791" s="257"/>
      <c r="C791" s="258"/>
      <c r="D791" s="257"/>
      <c r="E791" s="257"/>
      <c r="F791" s="257"/>
      <c r="G791" s="257"/>
      <c r="H791" s="257"/>
      <c r="I791" s="257"/>
      <c r="J791" s="257"/>
      <c r="K791" s="257"/>
      <c r="L791" s="257"/>
      <c r="M791" s="259"/>
      <c r="N791" s="10"/>
      <c r="O791" s="133"/>
      <c r="P791" s="133"/>
      <c r="Q791" s="10"/>
      <c r="R791" s="10"/>
      <c r="S791" s="10"/>
      <c r="T791" s="10"/>
      <c r="U791" s="10"/>
      <c r="V791" s="10"/>
      <c r="W791" s="10"/>
      <c r="X791" s="10"/>
    </row>
    <row r="792">
      <c r="A792" s="257"/>
      <c r="B792" s="257"/>
      <c r="C792" s="258"/>
      <c r="D792" s="257"/>
      <c r="E792" s="257"/>
      <c r="F792" s="257"/>
      <c r="G792" s="257"/>
      <c r="H792" s="257"/>
      <c r="I792" s="257"/>
      <c r="J792" s="257"/>
      <c r="K792" s="257"/>
      <c r="L792" s="257"/>
      <c r="M792" s="259"/>
      <c r="N792" s="10"/>
      <c r="O792" s="133"/>
      <c r="P792" s="133"/>
      <c r="Q792" s="10"/>
      <c r="R792" s="10"/>
      <c r="S792" s="10"/>
      <c r="T792" s="10"/>
      <c r="U792" s="10"/>
      <c r="V792" s="10"/>
      <c r="W792" s="10"/>
      <c r="X792" s="10"/>
    </row>
    <row r="793">
      <c r="A793" s="257"/>
      <c r="B793" s="257"/>
      <c r="C793" s="258"/>
      <c r="D793" s="257"/>
      <c r="E793" s="257"/>
      <c r="F793" s="257"/>
      <c r="G793" s="257"/>
      <c r="H793" s="257"/>
      <c r="I793" s="257"/>
      <c r="J793" s="257"/>
      <c r="K793" s="257"/>
      <c r="L793" s="257"/>
      <c r="M793" s="259"/>
      <c r="N793" s="10"/>
      <c r="O793" s="133"/>
      <c r="P793" s="133"/>
      <c r="Q793" s="10"/>
      <c r="R793" s="10"/>
      <c r="S793" s="10"/>
      <c r="T793" s="10"/>
      <c r="U793" s="10"/>
      <c r="V793" s="10"/>
      <c r="W793" s="10"/>
      <c r="X793" s="10"/>
    </row>
    <row r="794">
      <c r="A794" s="257"/>
      <c r="B794" s="257"/>
      <c r="C794" s="258"/>
      <c r="D794" s="257"/>
      <c r="E794" s="257"/>
      <c r="F794" s="257"/>
      <c r="G794" s="257"/>
      <c r="H794" s="257"/>
      <c r="I794" s="257"/>
      <c r="J794" s="257"/>
      <c r="K794" s="257"/>
      <c r="L794" s="257"/>
      <c r="M794" s="259"/>
      <c r="N794" s="10"/>
      <c r="O794" s="133"/>
      <c r="P794" s="133"/>
      <c r="Q794" s="10"/>
      <c r="R794" s="10"/>
      <c r="S794" s="10"/>
      <c r="T794" s="10"/>
      <c r="U794" s="10"/>
      <c r="V794" s="10"/>
      <c r="W794" s="10"/>
      <c r="X794" s="10"/>
    </row>
    <row r="795">
      <c r="A795" s="257"/>
      <c r="B795" s="257"/>
      <c r="C795" s="258"/>
      <c r="D795" s="257"/>
      <c r="E795" s="257"/>
      <c r="F795" s="257"/>
      <c r="G795" s="257"/>
      <c r="H795" s="257"/>
      <c r="I795" s="257"/>
      <c r="J795" s="257"/>
      <c r="K795" s="257"/>
      <c r="L795" s="257"/>
      <c r="M795" s="259"/>
      <c r="N795" s="10"/>
      <c r="O795" s="133"/>
      <c r="P795" s="133"/>
      <c r="Q795" s="10"/>
      <c r="R795" s="10"/>
      <c r="S795" s="10"/>
      <c r="T795" s="10"/>
      <c r="U795" s="10"/>
      <c r="V795" s="10"/>
      <c r="W795" s="10"/>
      <c r="X795" s="10"/>
    </row>
    <row r="796">
      <c r="A796" s="257"/>
      <c r="B796" s="257"/>
      <c r="C796" s="258"/>
      <c r="D796" s="257"/>
      <c r="E796" s="257"/>
      <c r="F796" s="257"/>
      <c r="G796" s="257"/>
      <c r="H796" s="257"/>
      <c r="I796" s="257"/>
      <c r="J796" s="257"/>
      <c r="K796" s="257"/>
      <c r="L796" s="257"/>
      <c r="M796" s="259"/>
      <c r="N796" s="10"/>
      <c r="O796" s="133"/>
      <c r="P796" s="133"/>
      <c r="Q796" s="10"/>
      <c r="R796" s="10"/>
      <c r="S796" s="10"/>
      <c r="T796" s="10"/>
      <c r="U796" s="10"/>
      <c r="V796" s="10"/>
      <c r="W796" s="10"/>
      <c r="X796" s="10"/>
    </row>
    <row r="797">
      <c r="A797" s="257"/>
      <c r="B797" s="257"/>
      <c r="C797" s="258"/>
      <c r="D797" s="257"/>
      <c r="E797" s="257"/>
      <c r="F797" s="257"/>
      <c r="G797" s="257"/>
      <c r="H797" s="257"/>
      <c r="I797" s="257"/>
      <c r="J797" s="257"/>
      <c r="K797" s="257"/>
      <c r="L797" s="257"/>
      <c r="M797" s="259"/>
      <c r="N797" s="10"/>
      <c r="O797" s="133"/>
      <c r="P797" s="133"/>
      <c r="Q797" s="10"/>
      <c r="R797" s="10"/>
      <c r="S797" s="10"/>
      <c r="T797" s="10"/>
      <c r="U797" s="10"/>
      <c r="V797" s="10"/>
      <c r="W797" s="10"/>
      <c r="X797" s="10"/>
    </row>
    <row r="798">
      <c r="A798" s="257"/>
      <c r="B798" s="257"/>
      <c r="C798" s="258"/>
      <c r="D798" s="257"/>
      <c r="E798" s="257"/>
      <c r="F798" s="257"/>
      <c r="G798" s="257"/>
      <c r="H798" s="257"/>
      <c r="I798" s="257"/>
      <c r="J798" s="257"/>
      <c r="K798" s="257"/>
      <c r="L798" s="257"/>
      <c r="M798" s="259"/>
      <c r="N798" s="10"/>
      <c r="O798" s="133"/>
      <c r="P798" s="133"/>
      <c r="Q798" s="10"/>
      <c r="R798" s="10"/>
      <c r="S798" s="10"/>
      <c r="T798" s="10"/>
      <c r="U798" s="10"/>
      <c r="V798" s="10"/>
      <c r="W798" s="10"/>
      <c r="X798" s="10"/>
    </row>
    <row r="799">
      <c r="A799" s="257"/>
      <c r="B799" s="257"/>
      <c r="C799" s="258"/>
      <c r="D799" s="257"/>
      <c r="E799" s="257"/>
      <c r="F799" s="257"/>
      <c r="G799" s="257"/>
      <c r="H799" s="257"/>
      <c r="I799" s="257"/>
      <c r="J799" s="257"/>
      <c r="K799" s="257"/>
      <c r="L799" s="257"/>
      <c r="M799" s="259"/>
      <c r="N799" s="10"/>
      <c r="O799" s="133"/>
      <c r="P799" s="133"/>
      <c r="Q799" s="10"/>
      <c r="R799" s="10"/>
      <c r="S799" s="10"/>
      <c r="T799" s="10"/>
      <c r="U799" s="10"/>
      <c r="V799" s="10"/>
      <c r="W799" s="10"/>
      <c r="X799" s="10"/>
    </row>
    <row r="800">
      <c r="A800" s="257"/>
      <c r="B800" s="257"/>
      <c r="C800" s="258"/>
      <c r="D800" s="257"/>
      <c r="E800" s="257"/>
      <c r="F800" s="257"/>
      <c r="G800" s="257"/>
      <c r="H800" s="257"/>
      <c r="I800" s="257"/>
      <c r="J800" s="257"/>
      <c r="K800" s="257"/>
      <c r="L800" s="257"/>
      <c r="M800" s="259"/>
      <c r="N800" s="10"/>
      <c r="O800" s="133"/>
      <c r="P800" s="133"/>
      <c r="Q800" s="10"/>
      <c r="R800" s="10"/>
      <c r="S800" s="10"/>
      <c r="T800" s="10"/>
      <c r="U800" s="10"/>
      <c r="V800" s="10"/>
      <c r="W800" s="10"/>
      <c r="X800" s="10"/>
    </row>
    <row r="801">
      <c r="A801" s="257"/>
      <c r="B801" s="257"/>
      <c r="C801" s="258"/>
      <c r="D801" s="257"/>
      <c r="E801" s="257"/>
      <c r="F801" s="257"/>
      <c r="G801" s="257"/>
      <c r="H801" s="257"/>
      <c r="I801" s="257"/>
      <c r="J801" s="257"/>
      <c r="K801" s="257"/>
      <c r="L801" s="257"/>
      <c r="M801" s="259"/>
      <c r="N801" s="10"/>
      <c r="O801" s="133"/>
      <c r="P801" s="133"/>
      <c r="Q801" s="10"/>
      <c r="R801" s="10"/>
      <c r="S801" s="10"/>
      <c r="T801" s="10"/>
      <c r="U801" s="10"/>
      <c r="V801" s="10"/>
      <c r="W801" s="10"/>
      <c r="X801" s="10"/>
    </row>
    <row r="802">
      <c r="A802" s="257"/>
      <c r="B802" s="257"/>
      <c r="C802" s="258"/>
      <c r="D802" s="257"/>
      <c r="E802" s="257"/>
      <c r="F802" s="257"/>
      <c r="G802" s="257"/>
      <c r="H802" s="257"/>
      <c r="I802" s="257"/>
      <c r="J802" s="257"/>
      <c r="K802" s="257"/>
      <c r="L802" s="257"/>
      <c r="M802" s="259"/>
      <c r="N802" s="10"/>
      <c r="O802" s="133"/>
      <c r="P802" s="133"/>
      <c r="Q802" s="10"/>
      <c r="R802" s="10"/>
      <c r="S802" s="10"/>
      <c r="T802" s="10"/>
      <c r="U802" s="10"/>
      <c r="V802" s="10"/>
      <c r="W802" s="10"/>
      <c r="X802" s="10"/>
    </row>
    <row r="803">
      <c r="A803" s="257"/>
      <c r="B803" s="257"/>
      <c r="C803" s="258"/>
      <c r="D803" s="257"/>
      <c r="E803" s="257"/>
      <c r="F803" s="257"/>
      <c r="G803" s="257"/>
      <c r="H803" s="257"/>
      <c r="I803" s="257"/>
      <c r="J803" s="257"/>
      <c r="K803" s="257"/>
      <c r="L803" s="257"/>
      <c r="M803" s="259"/>
      <c r="N803" s="10"/>
      <c r="O803" s="133"/>
      <c r="P803" s="133"/>
      <c r="Q803" s="10"/>
      <c r="R803" s="10"/>
      <c r="S803" s="10"/>
      <c r="T803" s="10"/>
      <c r="U803" s="10"/>
      <c r="V803" s="10"/>
      <c r="W803" s="10"/>
      <c r="X803" s="10"/>
    </row>
    <row r="804">
      <c r="A804" s="257"/>
      <c r="B804" s="257"/>
      <c r="C804" s="258"/>
      <c r="D804" s="257"/>
      <c r="E804" s="257"/>
      <c r="F804" s="257"/>
      <c r="G804" s="257"/>
      <c r="H804" s="257"/>
      <c r="I804" s="257"/>
      <c r="J804" s="257"/>
      <c r="K804" s="257"/>
      <c r="L804" s="257"/>
      <c r="M804" s="259"/>
      <c r="N804" s="10"/>
      <c r="O804" s="133"/>
      <c r="P804" s="133"/>
      <c r="Q804" s="10"/>
      <c r="R804" s="10"/>
      <c r="S804" s="10"/>
      <c r="T804" s="10"/>
      <c r="U804" s="10"/>
      <c r="V804" s="10"/>
      <c r="W804" s="10"/>
      <c r="X804" s="10"/>
    </row>
    <row r="805">
      <c r="A805" s="257"/>
      <c r="B805" s="257"/>
      <c r="C805" s="258"/>
      <c r="D805" s="257"/>
      <c r="E805" s="257"/>
      <c r="F805" s="257"/>
      <c r="G805" s="257"/>
      <c r="H805" s="257"/>
      <c r="I805" s="257"/>
      <c r="J805" s="257"/>
      <c r="K805" s="257"/>
      <c r="L805" s="257"/>
      <c r="M805" s="259"/>
      <c r="N805" s="10"/>
      <c r="O805" s="133"/>
      <c r="P805" s="133"/>
      <c r="Q805" s="10"/>
      <c r="R805" s="10"/>
      <c r="S805" s="10"/>
      <c r="T805" s="10"/>
      <c r="U805" s="10"/>
      <c r="V805" s="10"/>
      <c r="W805" s="10"/>
      <c r="X805" s="10"/>
    </row>
    <row r="806">
      <c r="A806" s="257"/>
      <c r="B806" s="257"/>
      <c r="C806" s="258"/>
      <c r="D806" s="257"/>
      <c r="E806" s="257"/>
      <c r="F806" s="257"/>
      <c r="G806" s="257"/>
      <c r="H806" s="257"/>
      <c r="I806" s="257"/>
      <c r="J806" s="257"/>
      <c r="K806" s="257"/>
      <c r="L806" s="257"/>
      <c r="M806" s="259"/>
      <c r="N806" s="10"/>
      <c r="O806" s="133"/>
      <c r="P806" s="133"/>
      <c r="Q806" s="10"/>
      <c r="R806" s="10"/>
      <c r="S806" s="10"/>
      <c r="T806" s="10"/>
      <c r="U806" s="10"/>
      <c r="V806" s="10"/>
      <c r="W806" s="10"/>
      <c r="X806" s="10"/>
    </row>
    <row r="807">
      <c r="A807" s="257"/>
      <c r="B807" s="257"/>
      <c r="C807" s="258"/>
      <c r="D807" s="257"/>
      <c r="E807" s="257"/>
      <c r="F807" s="257"/>
      <c r="G807" s="257"/>
      <c r="H807" s="257"/>
      <c r="I807" s="257"/>
      <c r="J807" s="257"/>
      <c r="K807" s="257"/>
      <c r="L807" s="257"/>
      <c r="M807" s="259"/>
      <c r="N807" s="10"/>
      <c r="O807" s="133"/>
      <c r="P807" s="133"/>
      <c r="Q807" s="10"/>
      <c r="R807" s="10"/>
      <c r="S807" s="10"/>
      <c r="T807" s="10"/>
      <c r="U807" s="10"/>
      <c r="V807" s="10"/>
      <c r="W807" s="10"/>
      <c r="X807" s="10"/>
    </row>
    <row r="808">
      <c r="A808" s="257"/>
      <c r="B808" s="257"/>
      <c r="C808" s="258"/>
      <c r="D808" s="257"/>
      <c r="E808" s="257"/>
      <c r="F808" s="257"/>
      <c r="G808" s="257"/>
      <c r="H808" s="257"/>
      <c r="I808" s="257"/>
      <c r="J808" s="257"/>
      <c r="K808" s="257"/>
      <c r="L808" s="257"/>
      <c r="M808" s="259"/>
      <c r="N808" s="10"/>
      <c r="O808" s="133"/>
      <c r="P808" s="133"/>
      <c r="Q808" s="10"/>
      <c r="R808" s="10"/>
      <c r="S808" s="10"/>
      <c r="T808" s="10"/>
      <c r="U808" s="10"/>
      <c r="V808" s="10"/>
      <c r="W808" s="10"/>
      <c r="X808" s="10"/>
    </row>
    <row r="809">
      <c r="A809" s="257"/>
      <c r="B809" s="257"/>
      <c r="C809" s="258"/>
      <c r="D809" s="257"/>
      <c r="E809" s="257"/>
      <c r="F809" s="257"/>
      <c r="G809" s="257"/>
      <c r="H809" s="257"/>
      <c r="I809" s="257"/>
      <c r="J809" s="257"/>
      <c r="K809" s="257"/>
      <c r="L809" s="257"/>
      <c r="M809" s="259"/>
      <c r="N809" s="10"/>
      <c r="O809" s="133"/>
      <c r="P809" s="133"/>
      <c r="Q809" s="10"/>
      <c r="R809" s="10"/>
      <c r="S809" s="10"/>
      <c r="T809" s="10"/>
      <c r="U809" s="10"/>
      <c r="V809" s="10"/>
      <c r="W809" s="10"/>
      <c r="X809" s="10"/>
    </row>
    <row r="810">
      <c r="A810" s="257"/>
      <c r="B810" s="257"/>
      <c r="C810" s="258"/>
      <c r="D810" s="257"/>
      <c r="E810" s="257"/>
      <c r="F810" s="257"/>
      <c r="G810" s="257"/>
      <c r="H810" s="257"/>
      <c r="I810" s="257"/>
      <c r="J810" s="257"/>
      <c r="K810" s="257"/>
      <c r="L810" s="257"/>
      <c r="M810" s="259"/>
      <c r="N810" s="10"/>
      <c r="O810" s="133"/>
      <c r="P810" s="133"/>
      <c r="Q810" s="10"/>
      <c r="R810" s="10"/>
      <c r="S810" s="10"/>
      <c r="T810" s="10"/>
      <c r="U810" s="10"/>
      <c r="V810" s="10"/>
      <c r="W810" s="10"/>
      <c r="X810" s="10"/>
    </row>
    <row r="811">
      <c r="A811" s="257"/>
      <c r="B811" s="257"/>
      <c r="C811" s="258"/>
      <c r="D811" s="257"/>
      <c r="E811" s="257"/>
      <c r="F811" s="257"/>
      <c r="G811" s="257"/>
      <c r="H811" s="257"/>
      <c r="I811" s="257"/>
      <c r="J811" s="257"/>
      <c r="K811" s="257"/>
      <c r="L811" s="257"/>
      <c r="M811" s="259"/>
      <c r="N811" s="10"/>
      <c r="O811" s="133"/>
      <c r="P811" s="133"/>
      <c r="Q811" s="10"/>
      <c r="R811" s="10"/>
      <c r="S811" s="10"/>
      <c r="T811" s="10"/>
      <c r="U811" s="10"/>
      <c r="V811" s="10"/>
      <c r="W811" s="10"/>
      <c r="X811" s="10"/>
    </row>
    <row r="812">
      <c r="A812" s="257"/>
      <c r="B812" s="257"/>
      <c r="C812" s="258"/>
      <c r="D812" s="257"/>
      <c r="E812" s="257"/>
      <c r="F812" s="257"/>
      <c r="G812" s="257"/>
      <c r="H812" s="257"/>
      <c r="I812" s="257"/>
      <c r="J812" s="257"/>
      <c r="K812" s="257"/>
      <c r="L812" s="257"/>
      <c r="M812" s="259"/>
      <c r="N812" s="10"/>
      <c r="O812" s="133"/>
      <c r="P812" s="133"/>
      <c r="Q812" s="10"/>
      <c r="R812" s="10"/>
      <c r="S812" s="10"/>
      <c r="T812" s="10"/>
      <c r="U812" s="10"/>
      <c r="V812" s="10"/>
      <c r="W812" s="10"/>
      <c r="X812" s="10"/>
    </row>
    <row r="813">
      <c r="A813" s="257"/>
      <c r="B813" s="257"/>
      <c r="C813" s="258"/>
      <c r="D813" s="257"/>
      <c r="E813" s="257"/>
      <c r="F813" s="257"/>
      <c r="G813" s="257"/>
      <c r="H813" s="257"/>
      <c r="I813" s="257"/>
      <c r="J813" s="257"/>
      <c r="K813" s="257"/>
      <c r="L813" s="257"/>
      <c r="M813" s="259"/>
      <c r="N813" s="10"/>
      <c r="O813" s="133"/>
      <c r="P813" s="133"/>
      <c r="Q813" s="10"/>
      <c r="R813" s="10"/>
      <c r="S813" s="10"/>
      <c r="T813" s="10"/>
      <c r="U813" s="10"/>
      <c r="V813" s="10"/>
      <c r="W813" s="10"/>
      <c r="X813" s="10"/>
    </row>
    <row r="814">
      <c r="A814" s="257"/>
      <c r="B814" s="257"/>
      <c r="C814" s="258"/>
      <c r="D814" s="257"/>
      <c r="E814" s="257"/>
      <c r="F814" s="257"/>
      <c r="G814" s="257"/>
      <c r="H814" s="257"/>
      <c r="I814" s="257"/>
      <c r="J814" s="257"/>
      <c r="K814" s="257"/>
      <c r="L814" s="257"/>
      <c r="M814" s="259"/>
      <c r="N814" s="10"/>
      <c r="O814" s="133"/>
      <c r="P814" s="133"/>
      <c r="Q814" s="10"/>
      <c r="R814" s="10"/>
      <c r="S814" s="10"/>
      <c r="T814" s="10"/>
      <c r="U814" s="10"/>
      <c r="V814" s="10"/>
      <c r="W814" s="10"/>
      <c r="X814" s="10"/>
    </row>
    <row r="815">
      <c r="A815" s="257"/>
      <c r="B815" s="257"/>
      <c r="C815" s="258"/>
      <c r="D815" s="257"/>
      <c r="E815" s="257"/>
      <c r="F815" s="257"/>
      <c r="G815" s="257"/>
      <c r="H815" s="257"/>
      <c r="I815" s="257"/>
      <c r="J815" s="257"/>
      <c r="K815" s="257"/>
      <c r="L815" s="257"/>
      <c r="M815" s="259"/>
      <c r="N815" s="10"/>
      <c r="O815" s="133"/>
      <c r="P815" s="133"/>
      <c r="Q815" s="10"/>
      <c r="R815" s="10"/>
      <c r="S815" s="10"/>
      <c r="T815" s="10"/>
      <c r="U815" s="10"/>
      <c r="V815" s="10"/>
      <c r="W815" s="10"/>
      <c r="X815" s="10"/>
    </row>
    <row r="816">
      <c r="A816" s="257"/>
      <c r="B816" s="257"/>
      <c r="C816" s="258"/>
      <c r="D816" s="257"/>
      <c r="E816" s="257"/>
      <c r="F816" s="257"/>
      <c r="G816" s="257"/>
      <c r="H816" s="257"/>
      <c r="I816" s="257"/>
      <c r="J816" s="257"/>
      <c r="K816" s="257"/>
      <c r="L816" s="257"/>
      <c r="M816" s="259"/>
      <c r="N816" s="10"/>
      <c r="O816" s="133"/>
      <c r="P816" s="133"/>
      <c r="Q816" s="10"/>
      <c r="R816" s="10"/>
      <c r="S816" s="10"/>
      <c r="T816" s="10"/>
      <c r="U816" s="10"/>
      <c r="V816" s="10"/>
      <c r="W816" s="10"/>
      <c r="X816" s="10"/>
    </row>
    <row r="817">
      <c r="A817" s="257"/>
      <c r="B817" s="257"/>
      <c r="C817" s="258"/>
      <c r="D817" s="257"/>
      <c r="E817" s="257"/>
      <c r="F817" s="257"/>
      <c r="G817" s="257"/>
      <c r="H817" s="257"/>
      <c r="I817" s="257"/>
      <c r="J817" s="257"/>
      <c r="K817" s="257"/>
      <c r="L817" s="257"/>
      <c r="M817" s="259"/>
      <c r="N817" s="10"/>
      <c r="O817" s="133"/>
      <c r="P817" s="133"/>
      <c r="Q817" s="10"/>
      <c r="R817" s="10"/>
      <c r="S817" s="10"/>
      <c r="T817" s="10"/>
      <c r="U817" s="10"/>
      <c r="V817" s="10"/>
      <c r="W817" s="10"/>
      <c r="X817" s="10"/>
    </row>
    <row r="818">
      <c r="A818" s="257"/>
      <c r="B818" s="257"/>
      <c r="C818" s="258"/>
      <c r="D818" s="257"/>
      <c r="E818" s="257"/>
      <c r="F818" s="257"/>
      <c r="G818" s="257"/>
      <c r="H818" s="257"/>
      <c r="I818" s="257"/>
      <c r="J818" s="257"/>
      <c r="K818" s="257"/>
      <c r="L818" s="257"/>
      <c r="M818" s="259"/>
      <c r="N818" s="10"/>
      <c r="O818" s="133"/>
      <c r="P818" s="133"/>
      <c r="Q818" s="10"/>
      <c r="R818" s="10"/>
      <c r="S818" s="10"/>
      <c r="T818" s="10"/>
      <c r="U818" s="10"/>
      <c r="V818" s="10"/>
      <c r="W818" s="10"/>
      <c r="X818" s="10"/>
    </row>
    <row r="819">
      <c r="A819" s="257"/>
      <c r="B819" s="257"/>
      <c r="C819" s="258"/>
      <c r="D819" s="257"/>
      <c r="E819" s="257"/>
      <c r="F819" s="257"/>
      <c r="G819" s="257"/>
      <c r="H819" s="257"/>
      <c r="I819" s="257"/>
      <c r="J819" s="257"/>
      <c r="K819" s="257"/>
      <c r="L819" s="257"/>
      <c r="M819" s="259"/>
      <c r="N819" s="10"/>
      <c r="O819" s="133"/>
      <c r="P819" s="133"/>
      <c r="Q819" s="10"/>
      <c r="R819" s="10"/>
      <c r="S819" s="10"/>
      <c r="T819" s="10"/>
      <c r="U819" s="10"/>
      <c r="V819" s="10"/>
      <c r="W819" s="10"/>
      <c r="X819" s="10"/>
    </row>
    <row r="820">
      <c r="A820" s="257"/>
      <c r="B820" s="257"/>
      <c r="C820" s="258"/>
      <c r="D820" s="257"/>
      <c r="E820" s="257"/>
      <c r="F820" s="257"/>
      <c r="G820" s="257"/>
      <c r="H820" s="257"/>
      <c r="I820" s="257"/>
      <c r="J820" s="257"/>
      <c r="K820" s="257"/>
      <c r="L820" s="257"/>
      <c r="M820" s="259"/>
      <c r="N820" s="10"/>
      <c r="O820" s="133"/>
      <c r="P820" s="133"/>
      <c r="Q820" s="10"/>
      <c r="R820" s="10"/>
      <c r="S820" s="10"/>
      <c r="T820" s="10"/>
      <c r="U820" s="10"/>
      <c r="V820" s="10"/>
      <c r="W820" s="10"/>
      <c r="X820" s="10"/>
    </row>
    <row r="821">
      <c r="A821" s="257"/>
      <c r="B821" s="257"/>
      <c r="C821" s="258"/>
      <c r="D821" s="257"/>
      <c r="E821" s="257"/>
      <c r="F821" s="257"/>
      <c r="G821" s="257"/>
      <c r="H821" s="257"/>
      <c r="I821" s="257"/>
      <c r="J821" s="257"/>
      <c r="K821" s="257"/>
      <c r="L821" s="257"/>
      <c r="M821" s="259"/>
      <c r="N821" s="10"/>
      <c r="O821" s="133"/>
      <c r="P821" s="133"/>
      <c r="Q821" s="10"/>
      <c r="R821" s="10"/>
      <c r="S821" s="10"/>
      <c r="T821" s="10"/>
      <c r="U821" s="10"/>
      <c r="V821" s="10"/>
      <c r="W821" s="10"/>
      <c r="X821" s="10"/>
    </row>
    <row r="822">
      <c r="A822" s="257"/>
      <c r="B822" s="257"/>
      <c r="C822" s="258"/>
      <c r="D822" s="257"/>
      <c r="E822" s="257"/>
      <c r="F822" s="257"/>
      <c r="G822" s="257"/>
      <c r="H822" s="257"/>
      <c r="I822" s="257"/>
      <c r="J822" s="257"/>
      <c r="K822" s="257"/>
      <c r="L822" s="257"/>
      <c r="M822" s="259"/>
      <c r="N822" s="10"/>
      <c r="O822" s="133"/>
      <c r="P822" s="133"/>
      <c r="Q822" s="10"/>
      <c r="R822" s="10"/>
      <c r="S822" s="10"/>
      <c r="T822" s="10"/>
      <c r="U822" s="10"/>
      <c r="V822" s="10"/>
      <c r="W822" s="10"/>
      <c r="X822" s="10"/>
    </row>
    <row r="823">
      <c r="A823" s="257"/>
      <c r="B823" s="257"/>
      <c r="C823" s="258"/>
      <c r="D823" s="257"/>
      <c r="E823" s="257"/>
      <c r="F823" s="257"/>
      <c r="G823" s="257"/>
      <c r="H823" s="257"/>
      <c r="I823" s="257"/>
      <c r="J823" s="257"/>
      <c r="K823" s="257"/>
      <c r="L823" s="257"/>
      <c r="M823" s="259"/>
      <c r="N823" s="10"/>
      <c r="O823" s="133"/>
      <c r="P823" s="133"/>
      <c r="Q823" s="10"/>
      <c r="R823" s="10"/>
      <c r="S823" s="10"/>
      <c r="T823" s="10"/>
      <c r="U823" s="10"/>
      <c r="V823" s="10"/>
      <c r="W823" s="10"/>
      <c r="X823" s="10"/>
    </row>
    <row r="824">
      <c r="A824" s="257"/>
      <c r="B824" s="257"/>
      <c r="C824" s="258"/>
      <c r="D824" s="257"/>
      <c r="E824" s="257"/>
      <c r="F824" s="257"/>
      <c r="G824" s="257"/>
      <c r="H824" s="257"/>
      <c r="I824" s="257"/>
      <c r="J824" s="257"/>
      <c r="K824" s="257"/>
      <c r="L824" s="257"/>
      <c r="M824" s="259"/>
      <c r="N824" s="10"/>
      <c r="O824" s="133"/>
      <c r="P824" s="133"/>
      <c r="Q824" s="10"/>
      <c r="R824" s="10"/>
      <c r="S824" s="10"/>
      <c r="T824" s="10"/>
      <c r="U824" s="10"/>
      <c r="V824" s="10"/>
      <c r="W824" s="10"/>
      <c r="X824" s="10"/>
    </row>
    <row r="825">
      <c r="A825" s="257"/>
      <c r="B825" s="257"/>
      <c r="C825" s="258"/>
      <c r="D825" s="257"/>
      <c r="E825" s="257"/>
      <c r="F825" s="257"/>
      <c r="G825" s="257"/>
      <c r="H825" s="257"/>
      <c r="I825" s="257"/>
      <c r="J825" s="257"/>
      <c r="K825" s="257"/>
      <c r="L825" s="257"/>
      <c r="M825" s="259"/>
      <c r="N825" s="10"/>
      <c r="O825" s="133"/>
      <c r="P825" s="133"/>
      <c r="Q825" s="10"/>
      <c r="R825" s="10"/>
      <c r="S825" s="10"/>
      <c r="T825" s="10"/>
      <c r="U825" s="10"/>
      <c r="V825" s="10"/>
      <c r="W825" s="10"/>
      <c r="X825" s="10"/>
    </row>
    <row r="826">
      <c r="A826" s="257"/>
      <c r="B826" s="257"/>
      <c r="C826" s="258"/>
      <c r="D826" s="257"/>
      <c r="E826" s="257"/>
      <c r="F826" s="257"/>
      <c r="G826" s="257"/>
      <c r="H826" s="257"/>
      <c r="I826" s="257"/>
      <c r="J826" s="257"/>
      <c r="K826" s="257"/>
      <c r="L826" s="257"/>
      <c r="M826" s="259"/>
      <c r="N826" s="10"/>
      <c r="O826" s="133"/>
      <c r="P826" s="133"/>
      <c r="Q826" s="10"/>
      <c r="R826" s="10"/>
      <c r="S826" s="10"/>
      <c r="T826" s="10"/>
      <c r="U826" s="10"/>
      <c r="V826" s="10"/>
      <c r="W826" s="10"/>
      <c r="X826" s="10"/>
    </row>
    <row r="827">
      <c r="A827" s="257"/>
      <c r="B827" s="257"/>
      <c r="C827" s="258"/>
      <c r="D827" s="257"/>
      <c r="E827" s="257"/>
      <c r="F827" s="257"/>
      <c r="G827" s="257"/>
      <c r="H827" s="257"/>
      <c r="I827" s="257"/>
      <c r="J827" s="257"/>
      <c r="K827" s="257"/>
      <c r="L827" s="257"/>
      <c r="M827" s="259"/>
      <c r="N827" s="10"/>
      <c r="O827" s="133"/>
      <c r="P827" s="133"/>
      <c r="Q827" s="10"/>
      <c r="R827" s="10"/>
      <c r="S827" s="10"/>
      <c r="T827" s="10"/>
      <c r="U827" s="10"/>
      <c r="V827" s="10"/>
      <c r="W827" s="10"/>
      <c r="X827" s="10"/>
    </row>
    <row r="828">
      <c r="A828" s="257"/>
      <c r="B828" s="257"/>
      <c r="C828" s="258"/>
      <c r="D828" s="257"/>
      <c r="E828" s="257"/>
      <c r="F828" s="257"/>
      <c r="G828" s="257"/>
      <c r="H828" s="257"/>
      <c r="I828" s="257"/>
      <c r="J828" s="257"/>
      <c r="K828" s="257"/>
      <c r="L828" s="257"/>
      <c r="M828" s="259"/>
      <c r="N828" s="10"/>
      <c r="O828" s="133"/>
      <c r="P828" s="133"/>
      <c r="Q828" s="10"/>
      <c r="R828" s="10"/>
      <c r="S828" s="10"/>
      <c r="T828" s="10"/>
      <c r="U828" s="10"/>
      <c r="V828" s="10"/>
      <c r="W828" s="10"/>
      <c r="X828" s="10"/>
    </row>
    <row r="829">
      <c r="A829" s="257"/>
      <c r="B829" s="257"/>
      <c r="C829" s="258"/>
      <c r="D829" s="257"/>
      <c r="E829" s="257"/>
      <c r="F829" s="257"/>
      <c r="G829" s="257"/>
      <c r="H829" s="257"/>
      <c r="I829" s="257"/>
      <c r="J829" s="257"/>
      <c r="K829" s="257"/>
      <c r="L829" s="257"/>
      <c r="M829" s="259"/>
      <c r="N829" s="10"/>
      <c r="O829" s="133"/>
      <c r="P829" s="133"/>
      <c r="Q829" s="10"/>
      <c r="R829" s="10"/>
      <c r="S829" s="10"/>
      <c r="T829" s="10"/>
      <c r="U829" s="10"/>
      <c r="V829" s="10"/>
      <c r="W829" s="10"/>
      <c r="X829" s="10"/>
    </row>
    <row r="830">
      <c r="A830" s="257"/>
      <c r="B830" s="257"/>
      <c r="C830" s="258"/>
      <c r="D830" s="257"/>
      <c r="E830" s="257"/>
      <c r="F830" s="257"/>
      <c r="G830" s="257"/>
      <c r="H830" s="257"/>
      <c r="I830" s="257"/>
      <c r="J830" s="257"/>
      <c r="K830" s="257"/>
      <c r="L830" s="257"/>
      <c r="M830" s="259"/>
      <c r="N830" s="10"/>
      <c r="O830" s="133"/>
      <c r="P830" s="133"/>
      <c r="Q830" s="10"/>
      <c r="R830" s="10"/>
      <c r="S830" s="10"/>
      <c r="T830" s="10"/>
      <c r="U830" s="10"/>
      <c r="V830" s="10"/>
      <c r="W830" s="10"/>
      <c r="X830" s="10"/>
    </row>
    <row r="831">
      <c r="A831" s="257"/>
      <c r="B831" s="257"/>
      <c r="C831" s="258"/>
      <c r="D831" s="257"/>
      <c r="E831" s="257"/>
      <c r="F831" s="257"/>
      <c r="G831" s="257"/>
      <c r="H831" s="257"/>
      <c r="I831" s="257"/>
      <c r="J831" s="257"/>
      <c r="K831" s="257"/>
      <c r="L831" s="257"/>
      <c r="M831" s="259"/>
      <c r="N831" s="10"/>
      <c r="O831" s="133"/>
      <c r="P831" s="133"/>
      <c r="Q831" s="10"/>
      <c r="R831" s="10"/>
      <c r="S831" s="10"/>
      <c r="T831" s="10"/>
      <c r="U831" s="10"/>
      <c r="V831" s="10"/>
      <c r="W831" s="10"/>
      <c r="X831" s="10"/>
    </row>
    <row r="832">
      <c r="A832" s="257"/>
      <c r="B832" s="257"/>
      <c r="C832" s="258"/>
      <c r="D832" s="257"/>
      <c r="E832" s="257"/>
      <c r="F832" s="257"/>
      <c r="G832" s="257"/>
      <c r="H832" s="257"/>
      <c r="I832" s="257"/>
      <c r="J832" s="257"/>
      <c r="K832" s="257"/>
      <c r="L832" s="257"/>
      <c r="M832" s="259"/>
      <c r="N832" s="10"/>
      <c r="O832" s="133"/>
      <c r="P832" s="133"/>
      <c r="Q832" s="10"/>
      <c r="R832" s="10"/>
      <c r="S832" s="10"/>
      <c r="T832" s="10"/>
      <c r="U832" s="10"/>
      <c r="V832" s="10"/>
      <c r="W832" s="10"/>
      <c r="X832" s="10"/>
    </row>
    <row r="833">
      <c r="A833" s="257"/>
      <c r="B833" s="257"/>
      <c r="C833" s="258"/>
      <c r="D833" s="257"/>
      <c r="E833" s="257"/>
      <c r="F833" s="257"/>
      <c r="G833" s="257"/>
      <c r="H833" s="257"/>
      <c r="I833" s="257"/>
      <c r="J833" s="257"/>
      <c r="K833" s="257"/>
      <c r="L833" s="257"/>
      <c r="M833" s="259"/>
      <c r="N833" s="10"/>
      <c r="O833" s="133"/>
      <c r="P833" s="133"/>
      <c r="Q833" s="10"/>
      <c r="R833" s="10"/>
      <c r="S833" s="10"/>
      <c r="T833" s="10"/>
      <c r="U833" s="10"/>
      <c r="V833" s="10"/>
      <c r="W833" s="10"/>
      <c r="X833" s="10"/>
    </row>
    <row r="834">
      <c r="A834" s="257"/>
      <c r="B834" s="257"/>
      <c r="C834" s="258"/>
      <c r="D834" s="257"/>
      <c r="E834" s="257"/>
      <c r="F834" s="257"/>
      <c r="G834" s="257"/>
      <c r="H834" s="257"/>
      <c r="I834" s="257"/>
      <c r="J834" s="257"/>
      <c r="K834" s="257"/>
      <c r="L834" s="257"/>
      <c r="M834" s="259"/>
      <c r="N834" s="10"/>
      <c r="O834" s="133"/>
      <c r="P834" s="133"/>
      <c r="Q834" s="10"/>
      <c r="R834" s="10"/>
      <c r="S834" s="10"/>
      <c r="T834" s="10"/>
      <c r="U834" s="10"/>
      <c r="V834" s="10"/>
      <c r="W834" s="10"/>
      <c r="X834" s="10"/>
    </row>
    <row r="835">
      <c r="A835" s="257"/>
      <c r="B835" s="257"/>
      <c r="C835" s="258"/>
      <c r="D835" s="257"/>
      <c r="E835" s="257"/>
      <c r="F835" s="257"/>
      <c r="G835" s="257"/>
      <c r="H835" s="257"/>
      <c r="I835" s="257"/>
      <c r="J835" s="257"/>
      <c r="K835" s="257"/>
      <c r="L835" s="257"/>
      <c r="M835" s="259"/>
      <c r="N835" s="10"/>
      <c r="O835" s="133"/>
      <c r="P835" s="133"/>
      <c r="Q835" s="10"/>
      <c r="R835" s="10"/>
      <c r="S835" s="10"/>
      <c r="T835" s="10"/>
      <c r="U835" s="10"/>
      <c r="V835" s="10"/>
      <c r="W835" s="10"/>
      <c r="X835" s="10"/>
    </row>
    <row r="836">
      <c r="A836" s="257"/>
      <c r="B836" s="257"/>
      <c r="C836" s="258"/>
      <c r="D836" s="257"/>
      <c r="E836" s="257"/>
      <c r="F836" s="257"/>
      <c r="G836" s="257"/>
      <c r="H836" s="257"/>
      <c r="I836" s="257"/>
      <c r="J836" s="257"/>
      <c r="K836" s="257"/>
      <c r="L836" s="257"/>
      <c r="M836" s="259"/>
      <c r="N836" s="10"/>
      <c r="O836" s="133"/>
      <c r="P836" s="133"/>
      <c r="Q836" s="10"/>
      <c r="R836" s="10"/>
      <c r="S836" s="10"/>
      <c r="T836" s="10"/>
      <c r="U836" s="10"/>
      <c r="V836" s="10"/>
      <c r="W836" s="10"/>
      <c r="X836" s="10"/>
    </row>
    <row r="837">
      <c r="A837" s="257"/>
      <c r="B837" s="257"/>
      <c r="C837" s="258"/>
      <c r="D837" s="257"/>
      <c r="E837" s="257"/>
      <c r="F837" s="257"/>
      <c r="G837" s="257"/>
      <c r="H837" s="257"/>
      <c r="I837" s="257"/>
      <c r="J837" s="257"/>
      <c r="K837" s="257"/>
      <c r="L837" s="257"/>
      <c r="M837" s="259"/>
      <c r="N837" s="10"/>
      <c r="O837" s="133"/>
      <c r="P837" s="133"/>
      <c r="Q837" s="10"/>
      <c r="R837" s="10"/>
      <c r="S837" s="10"/>
      <c r="T837" s="10"/>
      <c r="U837" s="10"/>
      <c r="V837" s="10"/>
      <c r="W837" s="10"/>
      <c r="X837" s="10"/>
    </row>
    <row r="838">
      <c r="A838" s="257"/>
      <c r="B838" s="257"/>
      <c r="C838" s="258"/>
      <c r="D838" s="257"/>
      <c r="E838" s="257"/>
      <c r="F838" s="257"/>
      <c r="G838" s="257"/>
      <c r="H838" s="257"/>
      <c r="I838" s="257"/>
      <c r="J838" s="257"/>
      <c r="K838" s="257"/>
      <c r="L838" s="257"/>
      <c r="M838" s="259"/>
      <c r="N838" s="10"/>
      <c r="O838" s="133"/>
      <c r="P838" s="133"/>
      <c r="Q838" s="10"/>
      <c r="R838" s="10"/>
      <c r="S838" s="10"/>
      <c r="T838" s="10"/>
      <c r="U838" s="10"/>
      <c r="V838" s="10"/>
      <c r="W838" s="10"/>
      <c r="X838" s="10"/>
    </row>
    <row r="839">
      <c r="A839" s="257"/>
      <c r="B839" s="257"/>
      <c r="C839" s="258"/>
      <c r="D839" s="257"/>
      <c r="E839" s="257"/>
      <c r="F839" s="257"/>
      <c r="G839" s="257"/>
      <c r="H839" s="257"/>
      <c r="I839" s="257"/>
      <c r="J839" s="257"/>
      <c r="K839" s="257"/>
      <c r="L839" s="257"/>
      <c r="M839" s="259"/>
      <c r="N839" s="10"/>
      <c r="O839" s="133"/>
      <c r="P839" s="133"/>
      <c r="Q839" s="10"/>
      <c r="R839" s="10"/>
      <c r="S839" s="10"/>
      <c r="T839" s="10"/>
      <c r="U839" s="10"/>
      <c r="V839" s="10"/>
      <c r="W839" s="10"/>
      <c r="X839" s="10"/>
    </row>
    <row r="840">
      <c r="A840" s="257"/>
      <c r="B840" s="257"/>
      <c r="C840" s="258"/>
      <c r="D840" s="257"/>
      <c r="E840" s="257"/>
      <c r="F840" s="257"/>
      <c r="G840" s="257"/>
      <c r="H840" s="257"/>
      <c r="I840" s="257"/>
      <c r="J840" s="257"/>
      <c r="K840" s="257"/>
      <c r="L840" s="257"/>
      <c r="M840" s="259"/>
      <c r="N840" s="10"/>
      <c r="O840" s="133"/>
      <c r="P840" s="133"/>
      <c r="Q840" s="10"/>
      <c r="R840" s="10"/>
      <c r="S840" s="10"/>
      <c r="T840" s="10"/>
      <c r="U840" s="10"/>
      <c r="V840" s="10"/>
      <c r="W840" s="10"/>
      <c r="X840" s="10"/>
    </row>
    <row r="841">
      <c r="A841" s="257"/>
      <c r="B841" s="257"/>
      <c r="C841" s="258"/>
      <c r="D841" s="257"/>
      <c r="E841" s="257"/>
      <c r="F841" s="257"/>
      <c r="G841" s="257"/>
      <c r="H841" s="257"/>
      <c r="I841" s="257"/>
      <c r="J841" s="257"/>
      <c r="K841" s="257"/>
      <c r="L841" s="257"/>
      <c r="M841" s="259"/>
      <c r="N841" s="10"/>
      <c r="O841" s="133"/>
      <c r="P841" s="133"/>
      <c r="Q841" s="10"/>
      <c r="R841" s="10"/>
      <c r="S841" s="10"/>
      <c r="T841" s="10"/>
      <c r="U841" s="10"/>
      <c r="V841" s="10"/>
      <c r="W841" s="10"/>
      <c r="X841" s="10"/>
    </row>
    <row r="842">
      <c r="A842" s="257"/>
      <c r="B842" s="257"/>
      <c r="C842" s="258"/>
      <c r="D842" s="257"/>
      <c r="E842" s="257"/>
      <c r="F842" s="257"/>
      <c r="G842" s="257"/>
      <c r="H842" s="257"/>
      <c r="I842" s="257"/>
      <c r="J842" s="257"/>
      <c r="K842" s="257"/>
      <c r="L842" s="257"/>
      <c r="M842" s="259"/>
      <c r="N842" s="10"/>
      <c r="O842" s="133"/>
      <c r="P842" s="133"/>
      <c r="Q842" s="10"/>
      <c r="R842" s="10"/>
      <c r="S842" s="10"/>
      <c r="T842" s="10"/>
      <c r="U842" s="10"/>
      <c r="V842" s="10"/>
      <c r="W842" s="10"/>
      <c r="X842" s="10"/>
    </row>
    <row r="843">
      <c r="A843" s="257"/>
      <c r="B843" s="257"/>
      <c r="C843" s="258"/>
      <c r="D843" s="257"/>
      <c r="E843" s="257"/>
      <c r="F843" s="257"/>
      <c r="G843" s="257"/>
      <c r="H843" s="257"/>
      <c r="I843" s="257"/>
      <c r="J843" s="257"/>
      <c r="K843" s="257"/>
      <c r="L843" s="257"/>
      <c r="M843" s="259"/>
      <c r="N843" s="10"/>
      <c r="O843" s="133"/>
      <c r="P843" s="133"/>
      <c r="Q843" s="10"/>
      <c r="R843" s="10"/>
      <c r="S843" s="10"/>
      <c r="T843" s="10"/>
      <c r="U843" s="10"/>
      <c r="V843" s="10"/>
      <c r="W843" s="10"/>
      <c r="X843" s="10"/>
    </row>
    <row r="844">
      <c r="A844" s="257"/>
      <c r="B844" s="257"/>
      <c r="C844" s="258"/>
      <c r="D844" s="257"/>
      <c r="E844" s="257"/>
      <c r="F844" s="257"/>
      <c r="G844" s="257"/>
      <c r="H844" s="257"/>
      <c r="I844" s="257"/>
      <c r="J844" s="257"/>
      <c r="K844" s="257"/>
      <c r="L844" s="257"/>
      <c r="M844" s="259"/>
      <c r="N844" s="10"/>
      <c r="O844" s="133"/>
      <c r="P844" s="133"/>
      <c r="Q844" s="10"/>
      <c r="R844" s="10"/>
      <c r="S844" s="10"/>
      <c r="T844" s="10"/>
      <c r="U844" s="10"/>
      <c r="V844" s="10"/>
      <c r="W844" s="10"/>
      <c r="X844" s="10"/>
    </row>
    <row r="845">
      <c r="A845" s="257"/>
      <c r="B845" s="257"/>
      <c r="C845" s="258"/>
      <c r="D845" s="257"/>
      <c r="E845" s="257"/>
      <c r="F845" s="257"/>
      <c r="G845" s="257"/>
      <c r="H845" s="257"/>
      <c r="I845" s="257"/>
      <c r="J845" s="257"/>
      <c r="K845" s="257"/>
      <c r="L845" s="257"/>
      <c r="M845" s="259"/>
      <c r="N845" s="10"/>
      <c r="O845" s="133"/>
      <c r="P845" s="133"/>
      <c r="Q845" s="10"/>
      <c r="R845" s="10"/>
      <c r="S845" s="10"/>
      <c r="T845" s="10"/>
      <c r="U845" s="10"/>
      <c r="V845" s="10"/>
      <c r="W845" s="10"/>
      <c r="X845" s="10"/>
    </row>
    <row r="846">
      <c r="A846" s="257"/>
      <c r="B846" s="257"/>
      <c r="C846" s="258"/>
      <c r="D846" s="257"/>
      <c r="E846" s="257"/>
      <c r="F846" s="257"/>
      <c r="G846" s="257"/>
      <c r="H846" s="257"/>
      <c r="I846" s="257"/>
      <c r="J846" s="257"/>
      <c r="K846" s="257"/>
      <c r="L846" s="257"/>
      <c r="M846" s="259"/>
      <c r="N846" s="10"/>
      <c r="O846" s="133"/>
      <c r="P846" s="133"/>
      <c r="Q846" s="10"/>
      <c r="R846" s="10"/>
      <c r="S846" s="10"/>
      <c r="T846" s="10"/>
      <c r="U846" s="10"/>
      <c r="V846" s="10"/>
      <c r="W846" s="10"/>
      <c r="X846" s="10"/>
    </row>
    <row r="847">
      <c r="A847" s="257"/>
      <c r="B847" s="257"/>
      <c r="C847" s="258"/>
      <c r="D847" s="257"/>
      <c r="E847" s="257"/>
      <c r="F847" s="257"/>
      <c r="G847" s="257"/>
      <c r="H847" s="257"/>
      <c r="I847" s="257"/>
      <c r="J847" s="257"/>
      <c r="K847" s="257"/>
      <c r="L847" s="257"/>
      <c r="M847" s="259"/>
      <c r="N847" s="10"/>
      <c r="O847" s="133"/>
      <c r="P847" s="133"/>
      <c r="Q847" s="10"/>
      <c r="R847" s="10"/>
      <c r="S847" s="10"/>
      <c r="T847" s="10"/>
      <c r="U847" s="10"/>
      <c r="V847" s="10"/>
      <c r="W847" s="10"/>
      <c r="X847" s="10"/>
    </row>
    <row r="848">
      <c r="A848" s="257"/>
      <c r="B848" s="257"/>
      <c r="C848" s="258"/>
      <c r="D848" s="257"/>
      <c r="E848" s="257"/>
      <c r="F848" s="257"/>
      <c r="G848" s="257"/>
      <c r="H848" s="257"/>
      <c r="I848" s="257"/>
      <c r="J848" s="257"/>
      <c r="K848" s="257"/>
      <c r="L848" s="257"/>
      <c r="M848" s="259"/>
      <c r="N848" s="10"/>
      <c r="O848" s="133"/>
      <c r="P848" s="133"/>
      <c r="Q848" s="10"/>
      <c r="R848" s="10"/>
      <c r="S848" s="10"/>
      <c r="T848" s="10"/>
      <c r="U848" s="10"/>
      <c r="V848" s="10"/>
      <c r="W848" s="10"/>
      <c r="X848" s="10"/>
    </row>
    <row r="849">
      <c r="A849" s="257"/>
      <c r="B849" s="257"/>
      <c r="C849" s="258"/>
      <c r="D849" s="257"/>
      <c r="E849" s="257"/>
      <c r="F849" s="257"/>
      <c r="G849" s="257"/>
      <c r="H849" s="257"/>
      <c r="I849" s="257"/>
      <c r="J849" s="257"/>
      <c r="K849" s="257"/>
      <c r="L849" s="257"/>
      <c r="M849" s="259"/>
      <c r="N849" s="10"/>
      <c r="O849" s="133"/>
      <c r="P849" s="133"/>
      <c r="Q849" s="10"/>
      <c r="R849" s="10"/>
      <c r="S849" s="10"/>
      <c r="T849" s="10"/>
      <c r="U849" s="10"/>
      <c r="V849" s="10"/>
      <c r="W849" s="10"/>
      <c r="X849" s="10"/>
    </row>
    <row r="850">
      <c r="A850" s="257"/>
      <c r="B850" s="257"/>
      <c r="C850" s="258"/>
      <c r="D850" s="257"/>
      <c r="E850" s="257"/>
      <c r="F850" s="257"/>
      <c r="G850" s="257"/>
      <c r="H850" s="257"/>
      <c r="I850" s="257"/>
      <c r="J850" s="257"/>
      <c r="K850" s="257"/>
      <c r="L850" s="257"/>
      <c r="M850" s="259"/>
      <c r="N850" s="10"/>
      <c r="O850" s="133"/>
      <c r="P850" s="133"/>
      <c r="Q850" s="10"/>
      <c r="R850" s="10"/>
      <c r="S850" s="10"/>
      <c r="T850" s="10"/>
      <c r="U850" s="10"/>
      <c r="V850" s="10"/>
      <c r="W850" s="10"/>
      <c r="X850" s="10"/>
    </row>
    <row r="851">
      <c r="A851" s="257"/>
      <c r="B851" s="257"/>
      <c r="C851" s="258"/>
      <c r="D851" s="257"/>
      <c r="E851" s="257"/>
      <c r="F851" s="257"/>
      <c r="G851" s="257"/>
      <c r="H851" s="257"/>
      <c r="I851" s="257"/>
      <c r="J851" s="257"/>
      <c r="K851" s="257"/>
      <c r="L851" s="257"/>
      <c r="M851" s="259"/>
      <c r="N851" s="10"/>
      <c r="O851" s="133"/>
      <c r="P851" s="133"/>
      <c r="Q851" s="10"/>
      <c r="R851" s="10"/>
      <c r="S851" s="10"/>
      <c r="T851" s="10"/>
      <c r="U851" s="10"/>
      <c r="V851" s="10"/>
      <c r="W851" s="10"/>
      <c r="X851" s="10"/>
    </row>
    <row r="852">
      <c r="A852" s="257"/>
      <c r="B852" s="257"/>
      <c r="C852" s="258"/>
      <c r="D852" s="257"/>
      <c r="E852" s="257"/>
      <c r="F852" s="257"/>
      <c r="G852" s="257"/>
      <c r="H852" s="257"/>
      <c r="I852" s="257"/>
      <c r="J852" s="257"/>
      <c r="K852" s="257"/>
      <c r="L852" s="257"/>
      <c r="M852" s="259"/>
      <c r="N852" s="10"/>
      <c r="O852" s="133"/>
      <c r="P852" s="133"/>
      <c r="Q852" s="10"/>
      <c r="R852" s="10"/>
      <c r="S852" s="10"/>
      <c r="T852" s="10"/>
      <c r="U852" s="10"/>
      <c r="V852" s="10"/>
      <c r="W852" s="10"/>
      <c r="X852" s="10"/>
    </row>
    <row r="853">
      <c r="A853" s="257"/>
      <c r="B853" s="257"/>
      <c r="C853" s="258"/>
      <c r="D853" s="257"/>
      <c r="E853" s="257"/>
      <c r="F853" s="257"/>
      <c r="G853" s="257"/>
      <c r="H853" s="257"/>
      <c r="I853" s="257"/>
      <c r="J853" s="257"/>
      <c r="K853" s="257"/>
      <c r="L853" s="257"/>
      <c r="M853" s="259"/>
      <c r="N853" s="10"/>
      <c r="O853" s="133"/>
      <c r="P853" s="133"/>
      <c r="Q853" s="10"/>
      <c r="R853" s="10"/>
      <c r="S853" s="10"/>
      <c r="T853" s="10"/>
      <c r="U853" s="10"/>
      <c r="V853" s="10"/>
      <c r="W853" s="10"/>
      <c r="X853" s="10"/>
    </row>
    <row r="854">
      <c r="A854" s="257"/>
      <c r="B854" s="257"/>
      <c r="C854" s="258"/>
      <c r="D854" s="257"/>
      <c r="E854" s="257"/>
      <c r="F854" s="257"/>
      <c r="G854" s="257"/>
      <c r="H854" s="257"/>
      <c r="I854" s="257"/>
      <c r="J854" s="257"/>
      <c r="K854" s="257"/>
      <c r="L854" s="257"/>
      <c r="M854" s="259"/>
      <c r="N854" s="10"/>
      <c r="O854" s="133"/>
      <c r="P854" s="133"/>
      <c r="Q854" s="10"/>
      <c r="R854" s="10"/>
      <c r="S854" s="10"/>
      <c r="T854" s="10"/>
      <c r="U854" s="10"/>
      <c r="V854" s="10"/>
      <c r="W854" s="10"/>
      <c r="X854" s="10"/>
    </row>
    <row r="855">
      <c r="A855" s="257"/>
      <c r="B855" s="257"/>
      <c r="C855" s="258"/>
      <c r="D855" s="257"/>
      <c r="E855" s="257"/>
      <c r="F855" s="257"/>
      <c r="G855" s="257"/>
      <c r="H855" s="257"/>
      <c r="I855" s="257"/>
      <c r="J855" s="257"/>
      <c r="K855" s="257"/>
      <c r="L855" s="257"/>
      <c r="M855" s="259"/>
      <c r="N855" s="10"/>
      <c r="O855" s="133"/>
      <c r="P855" s="133"/>
      <c r="Q855" s="10"/>
      <c r="R855" s="10"/>
      <c r="S855" s="10"/>
      <c r="T855" s="10"/>
      <c r="U855" s="10"/>
      <c r="V855" s="10"/>
      <c r="W855" s="10"/>
      <c r="X855" s="10"/>
    </row>
    <row r="856">
      <c r="A856" s="257"/>
      <c r="B856" s="257"/>
      <c r="C856" s="258"/>
      <c r="D856" s="257"/>
      <c r="E856" s="257"/>
      <c r="F856" s="257"/>
      <c r="G856" s="257"/>
      <c r="H856" s="257"/>
      <c r="I856" s="257"/>
      <c r="J856" s="257"/>
      <c r="K856" s="257"/>
      <c r="L856" s="257"/>
      <c r="M856" s="259"/>
      <c r="N856" s="10"/>
      <c r="O856" s="133"/>
      <c r="P856" s="133"/>
      <c r="Q856" s="10"/>
      <c r="R856" s="10"/>
      <c r="S856" s="10"/>
      <c r="T856" s="10"/>
      <c r="U856" s="10"/>
      <c r="V856" s="10"/>
      <c r="W856" s="10"/>
      <c r="X856" s="10"/>
    </row>
    <row r="857">
      <c r="A857" s="257"/>
      <c r="B857" s="257"/>
      <c r="C857" s="258"/>
      <c r="D857" s="257"/>
      <c r="E857" s="257"/>
      <c r="F857" s="257"/>
      <c r="G857" s="257"/>
      <c r="H857" s="257"/>
      <c r="I857" s="257"/>
      <c r="J857" s="257"/>
      <c r="K857" s="257"/>
      <c r="L857" s="257"/>
      <c r="M857" s="259"/>
      <c r="N857" s="10"/>
      <c r="O857" s="133"/>
      <c r="P857" s="133"/>
      <c r="Q857" s="10"/>
      <c r="R857" s="10"/>
      <c r="S857" s="10"/>
      <c r="T857" s="10"/>
      <c r="U857" s="10"/>
      <c r="V857" s="10"/>
      <c r="W857" s="10"/>
      <c r="X857" s="10"/>
    </row>
    <row r="858">
      <c r="A858" s="257"/>
      <c r="B858" s="257"/>
      <c r="C858" s="258"/>
      <c r="D858" s="257"/>
      <c r="E858" s="257"/>
      <c r="F858" s="257"/>
      <c r="G858" s="257"/>
      <c r="H858" s="257"/>
      <c r="I858" s="257"/>
      <c r="J858" s="257"/>
      <c r="K858" s="257"/>
      <c r="L858" s="257"/>
      <c r="M858" s="259"/>
      <c r="N858" s="10"/>
      <c r="O858" s="133"/>
      <c r="P858" s="133"/>
      <c r="Q858" s="10"/>
      <c r="R858" s="10"/>
      <c r="S858" s="10"/>
      <c r="T858" s="10"/>
      <c r="U858" s="10"/>
      <c r="V858" s="10"/>
      <c r="W858" s="10"/>
      <c r="X858" s="10"/>
    </row>
    <row r="859">
      <c r="A859" s="257"/>
      <c r="B859" s="257"/>
      <c r="C859" s="258"/>
      <c r="D859" s="257"/>
      <c r="E859" s="257"/>
      <c r="F859" s="257"/>
      <c r="G859" s="257"/>
      <c r="H859" s="257"/>
      <c r="I859" s="257"/>
      <c r="J859" s="257"/>
      <c r="K859" s="257"/>
      <c r="L859" s="257"/>
      <c r="M859" s="259"/>
      <c r="N859" s="10"/>
      <c r="O859" s="133"/>
      <c r="P859" s="133"/>
      <c r="Q859" s="10"/>
      <c r="R859" s="10"/>
      <c r="S859" s="10"/>
      <c r="T859" s="10"/>
      <c r="U859" s="10"/>
      <c r="V859" s="10"/>
      <c r="W859" s="10"/>
      <c r="X859" s="10"/>
    </row>
    <row r="860">
      <c r="A860" s="257"/>
      <c r="B860" s="257"/>
      <c r="C860" s="258"/>
      <c r="D860" s="257"/>
      <c r="E860" s="257"/>
      <c r="F860" s="257"/>
      <c r="G860" s="257"/>
      <c r="H860" s="257"/>
      <c r="I860" s="257"/>
      <c r="J860" s="257"/>
      <c r="K860" s="257"/>
      <c r="L860" s="257"/>
      <c r="M860" s="259"/>
      <c r="N860" s="10"/>
      <c r="O860" s="133"/>
      <c r="P860" s="133"/>
      <c r="Q860" s="10"/>
      <c r="R860" s="10"/>
      <c r="S860" s="10"/>
      <c r="T860" s="10"/>
      <c r="U860" s="10"/>
      <c r="V860" s="10"/>
      <c r="W860" s="10"/>
      <c r="X860" s="10"/>
    </row>
    <row r="861">
      <c r="A861" s="257"/>
      <c r="B861" s="257"/>
      <c r="C861" s="258"/>
      <c r="D861" s="257"/>
      <c r="E861" s="257"/>
      <c r="F861" s="257"/>
      <c r="G861" s="257"/>
      <c r="H861" s="257"/>
      <c r="I861" s="257"/>
      <c r="J861" s="257"/>
      <c r="K861" s="257"/>
      <c r="L861" s="257"/>
      <c r="M861" s="259"/>
      <c r="N861" s="10"/>
      <c r="O861" s="133"/>
      <c r="P861" s="133"/>
      <c r="Q861" s="10"/>
      <c r="R861" s="10"/>
      <c r="S861" s="10"/>
      <c r="T861" s="10"/>
      <c r="U861" s="10"/>
      <c r="V861" s="10"/>
      <c r="W861" s="10"/>
      <c r="X861" s="10"/>
    </row>
    <row r="862">
      <c r="A862" s="257"/>
      <c r="B862" s="257"/>
      <c r="C862" s="258"/>
      <c r="D862" s="257"/>
      <c r="E862" s="257"/>
      <c r="F862" s="257"/>
      <c r="G862" s="257"/>
      <c r="H862" s="257"/>
      <c r="I862" s="257"/>
      <c r="J862" s="257"/>
      <c r="K862" s="257"/>
      <c r="L862" s="257"/>
      <c r="M862" s="259"/>
      <c r="N862" s="10"/>
      <c r="O862" s="133"/>
      <c r="P862" s="133"/>
      <c r="Q862" s="10"/>
      <c r="R862" s="10"/>
      <c r="S862" s="10"/>
      <c r="T862" s="10"/>
      <c r="U862" s="10"/>
      <c r="V862" s="10"/>
      <c r="W862" s="10"/>
      <c r="X862" s="10"/>
    </row>
    <row r="863">
      <c r="A863" s="257"/>
      <c r="B863" s="257"/>
      <c r="C863" s="258"/>
      <c r="D863" s="257"/>
      <c r="E863" s="257"/>
      <c r="F863" s="257"/>
      <c r="G863" s="257"/>
      <c r="H863" s="257"/>
      <c r="I863" s="257"/>
      <c r="J863" s="257"/>
      <c r="K863" s="257"/>
      <c r="L863" s="257"/>
      <c r="M863" s="259"/>
      <c r="N863" s="10"/>
      <c r="O863" s="133"/>
      <c r="P863" s="133"/>
      <c r="Q863" s="10"/>
      <c r="R863" s="10"/>
      <c r="S863" s="10"/>
      <c r="T863" s="10"/>
      <c r="U863" s="10"/>
      <c r="V863" s="10"/>
      <c r="W863" s="10"/>
      <c r="X863" s="10"/>
    </row>
    <row r="864">
      <c r="A864" s="257"/>
      <c r="B864" s="257"/>
      <c r="C864" s="258"/>
      <c r="D864" s="257"/>
      <c r="E864" s="257"/>
      <c r="F864" s="257"/>
      <c r="G864" s="257"/>
      <c r="H864" s="257"/>
      <c r="I864" s="257"/>
      <c r="J864" s="257"/>
      <c r="K864" s="257"/>
      <c r="L864" s="257"/>
      <c r="M864" s="259"/>
      <c r="N864" s="10"/>
      <c r="O864" s="133"/>
      <c r="P864" s="133"/>
      <c r="Q864" s="10"/>
      <c r="R864" s="10"/>
      <c r="S864" s="10"/>
      <c r="T864" s="10"/>
      <c r="U864" s="10"/>
      <c r="V864" s="10"/>
      <c r="W864" s="10"/>
      <c r="X864" s="10"/>
    </row>
    <row r="865">
      <c r="A865" s="257"/>
      <c r="B865" s="257"/>
      <c r="C865" s="258"/>
      <c r="D865" s="257"/>
      <c r="E865" s="257"/>
      <c r="F865" s="257"/>
      <c r="G865" s="257"/>
      <c r="H865" s="257"/>
      <c r="I865" s="257"/>
      <c r="J865" s="257"/>
      <c r="K865" s="257"/>
      <c r="L865" s="257"/>
      <c r="M865" s="259"/>
      <c r="N865" s="10"/>
      <c r="O865" s="133"/>
      <c r="P865" s="133"/>
      <c r="Q865" s="10"/>
      <c r="R865" s="10"/>
      <c r="S865" s="10"/>
      <c r="T865" s="10"/>
      <c r="U865" s="10"/>
      <c r="V865" s="10"/>
      <c r="W865" s="10"/>
      <c r="X865" s="10"/>
    </row>
    <row r="866">
      <c r="A866" s="257"/>
      <c r="B866" s="257"/>
      <c r="C866" s="258"/>
      <c r="D866" s="257"/>
      <c r="E866" s="257"/>
      <c r="F866" s="257"/>
      <c r="G866" s="257"/>
      <c r="H866" s="257"/>
      <c r="I866" s="257"/>
      <c r="J866" s="257"/>
      <c r="K866" s="257"/>
      <c r="L866" s="257"/>
      <c r="M866" s="259"/>
      <c r="N866" s="10"/>
      <c r="O866" s="133"/>
      <c r="P866" s="133"/>
      <c r="Q866" s="10"/>
      <c r="R866" s="10"/>
      <c r="S866" s="10"/>
      <c r="T866" s="10"/>
      <c r="U866" s="10"/>
      <c r="V866" s="10"/>
      <c r="W866" s="10"/>
      <c r="X866" s="10"/>
    </row>
    <row r="867">
      <c r="A867" s="257"/>
      <c r="B867" s="257"/>
      <c r="C867" s="258"/>
      <c r="D867" s="257"/>
      <c r="E867" s="257"/>
      <c r="F867" s="257"/>
      <c r="G867" s="257"/>
      <c r="H867" s="257"/>
      <c r="I867" s="257"/>
      <c r="J867" s="257"/>
      <c r="K867" s="257"/>
      <c r="L867" s="257"/>
      <c r="M867" s="259"/>
      <c r="N867" s="10"/>
      <c r="O867" s="133"/>
      <c r="P867" s="133"/>
      <c r="Q867" s="10"/>
      <c r="R867" s="10"/>
      <c r="S867" s="10"/>
      <c r="T867" s="10"/>
      <c r="U867" s="10"/>
      <c r="V867" s="10"/>
      <c r="W867" s="10"/>
      <c r="X867" s="10"/>
    </row>
    <row r="868">
      <c r="A868" s="257"/>
      <c r="B868" s="257"/>
      <c r="C868" s="258"/>
      <c r="D868" s="257"/>
      <c r="E868" s="257"/>
      <c r="F868" s="257"/>
      <c r="G868" s="257"/>
      <c r="H868" s="257"/>
      <c r="I868" s="257"/>
      <c r="J868" s="257"/>
      <c r="K868" s="257"/>
      <c r="L868" s="257"/>
      <c r="M868" s="259"/>
      <c r="N868" s="10"/>
      <c r="O868" s="133"/>
      <c r="P868" s="133"/>
      <c r="Q868" s="10"/>
      <c r="R868" s="10"/>
      <c r="S868" s="10"/>
      <c r="T868" s="10"/>
      <c r="U868" s="10"/>
      <c r="V868" s="10"/>
      <c r="W868" s="10"/>
      <c r="X868" s="10"/>
    </row>
    <row r="869">
      <c r="A869" s="257"/>
      <c r="B869" s="257"/>
      <c r="C869" s="258"/>
      <c r="D869" s="257"/>
      <c r="E869" s="257"/>
      <c r="F869" s="257"/>
      <c r="G869" s="257"/>
      <c r="H869" s="257"/>
      <c r="I869" s="257"/>
      <c r="J869" s="257"/>
      <c r="K869" s="257"/>
      <c r="L869" s="257"/>
      <c r="M869" s="259"/>
      <c r="N869" s="10"/>
      <c r="O869" s="133"/>
      <c r="P869" s="133"/>
      <c r="Q869" s="10"/>
      <c r="R869" s="10"/>
      <c r="S869" s="10"/>
      <c r="T869" s="10"/>
      <c r="U869" s="10"/>
      <c r="V869" s="10"/>
      <c r="W869" s="10"/>
      <c r="X869" s="10"/>
    </row>
    <row r="870">
      <c r="A870" s="257"/>
      <c r="B870" s="257"/>
      <c r="C870" s="258"/>
      <c r="D870" s="257"/>
      <c r="E870" s="257"/>
      <c r="F870" s="257"/>
      <c r="G870" s="257"/>
      <c r="H870" s="257"/>
      <c r="I870" s="257"/>
      <c r="J870" s="257"/>
      <c r="K870" s="257"/>
      <c r="L870" s="257"/>
      <c r="M870" s="259"/>
      <c r="N870" s="10"/>
      <c r="O870" s="133"/>
      <c r="P870" s="133"/>
      <c r="Q870" s="10"/>
      <c r="R870" s="10"/>
      <c r="S870" s="10"/>
      <c r="T870" s="10"/>
      <c r="U870" s="10"/>
      <c r="V870" s="10"/>
      <c r="W870" s="10"/>
      <c r="X870" s="10"/>
    </row>
    <row r="871">
      <c r="A871" s="257"/>
      <c r="B871" s="257"/>
      <c r="C871" s="258"/>
      <c r="D871" s="257"/>
      <c r="E871" s="257"/>
      <c r="F871" s="257"/>
      <c r="G871" s="257"/>
      <c r="H871" s="257"/>
      <c r="I871" s="257"/>
      <c r="J871" s="257"/>
      <c r="K871" s="257"/>
      <c r="L871" s="257"/>
      <c r="M871" s="259"/>
      <c r="N871" s="10"/>
      <c r="O871" s="133"/>
      <c r="P871" s="133"/>
      <c r="Q871" s="10"/>
      <c r="R871" s="10"/>
      <c r="S871" s="10"/>
      <c r="T871" s="10"/>
      <c r="U871" s="10"/>
      <c r="V871" s="10"/>
      <c r="W871" s="10"/>
      <c r="X871" s="10"/>
    </row>
    <row r="872">
      <c r="A872" s="257"/>
      <c r="B872" s="257"/>
      <c r="C872" s="258"/>
      <c r="D872" s="257"/>
      <c r="E872" s="257"/>
      <c r="F872" s="257"/>
      <c r="G872" s="257"/>
      <c r="H872" s="257"/>
      <c r="I872" s="257"/>
      <c r="J872" s="257"/>
      <c r="K872" s="257"/>
      <c r="L872" s="257"/>
      <c r="M872" s="259"/>
      <c r="N872" s="10"/>
      <c r="O872" s="133"/>
      <c r="P872" s="133"/>
      <c r="Q872" s="10"/>
      <c r="R872" s="10"/>
      <c r="S872" s="10"/>
      <c r="T872" s="10"/>
      <c r="U872" s="10"/>
      <c r="V872" s="10"/>
      <c r="W872" s="10"/>
      <c r="X872" s="10"/>
    </row>
    <row r="873">
      <c r="A873" s="257"/>
      <c r="B873" s="257"/>
      <c r="C873" s="258"/>
      <c r="D873" s="257"/>
      <c r="E873" s="257"/>
      <c r="F873" s="257"/>
      <c r="G873" s="257"/>
      <c r="H873" s="257"/>
      <c r="I873" s="257"/>
      <c r="J873" s="257"/>
      <c r="K873" s="257"/>
      <c r="L873" s="257"/>
      <c r="M873" s="259"/>
      <c r="N873" s="10"/>
      <c r="O873" s="133"/>
      <c r="P873" s="133"/>
      <c r="Q873" s="10"/>
      <c r="R873" s="10"/>
      <c r="S873" s="10"/>
      <c r="T873" s="10"/>
      <c r="U873" s="10"/>
      <c r="V873" s="10"/>
      <c r="W873" s="10"/>
      <c r="X873" s="10"/>
    </row>
    <row r="874">
      <c r="A874" s="257"/>
      <c r="B874" s="257"/>
      <c r="C874" s="258"/>
      <c r="D874" s="257"/>
      <c r="E874" s="257"/>
      <c r="F874" s="257"/>
      <c r="G874" s="257"/>
      <c r="H874" s="257"/>
      <c r="I874" s="257"/>
      <c r="J874" s="257"/>
      <c r="K874" s="257"/>
      <c r="L874" s="257"/>
      <c r="M874" s="259"/>
      <c r="N874" s="10"/>
      <c r="O874" s="133"/>
      <c r="P874" s="133"/>
      <c r="Q874" s="10"/>
      <c r="R874" s="10"/>
      <c r="S874" s="10"/>
      <c r="T874" s="10"/>
      <c r="U874" s="10"/>
      <c r="V874" s="10"/>
      <c r="W874" s="10"/>
      <c r="X874" s="10"/>
    </row>
    <row r="875">
      <c r="A875" s="257"/>
      <c r="B875" s="257"/>
      <c r="C875" s="258"/>
      <c r="D875" s="257"/>
      <c r="E875" s="257"/>
      <c r="F875" s="257"/>
      <c r="G875" s="257"/>
      <c r="H875" s="257"/>
      <c r="I875" s="257"/>
      <c r="J875" s="257"/>
      <c r="K875" s="257"/>
      <c r="L875" s="257"/>
      <c r="M875" s="259"/>
      <c r="N875" s="10"/>
      <c r="O875" s="133"/>
      <c r="P875" s="133"/>
      <c r="Q875" s="10"/>
      <c r="R875" s="10"/>
      <c r="S875" s="10"/>
      <c r="T875" s="10"/>
      <c r="U875" s="10"/>
      <c r="V875" s="10"/>
      <c r="W875" s="10"/>
      <c r="X875" s="10"/>
    </row>
    <row r="876">
      <c r="A876" s="257"/>
      <c r="B876" s="257"/>
      <c r="C876" s="258"/>
      <c r="D876" s="257"/>
      <c r="E876" s="257"/>
      <c r="F876" s="257"/>
      <c r="G876" s="257"/>
      <c r="H876" s="257"/>
      <c r="I876" s="257"/>
      <c r="J876" s="257"/>
      <c r="K876" s="257"/>
      <c r="L876" s="257"/>
      <c r="M876" s="259"/>
      <c r="N876" s="10"/>
      <c r="O876" s="133"/>
      <c r="P876" s="133"/>
      <c r="Q876" s="10"/>
      <c r="R876" s="10"/>
      <c r="S876" s="10"/>
      <c r="T876" s="10"/>
      <c r="U876" s="10"/>
      <c r="V876" s="10"/>
      <c r="W876" s="10"/>
      <c r="X876" s="10"/>
    </row>
    <row r="877">
      <c r="A877" s="257"/>
      <c r="B877" s="257"/>
      <c r="C877" s="258"/>
      <c r="D877" s="257"/>
      <c r="E877" s="257"/>
      <c r="F877" s="257"/>
      <c r="G877" s="257"/>
      <c r="H877" s="257"/>
      <c r="I877" s="257"/>
      <c r="J877" s="257"/>
      <c r="K877" s="257"/>
      <c r="L877" s="257"/>
      <c r="M877" s="259"/>
      <c r="N877" s="10"/>
      <c r="O877" s="133"/>
      <c r="P877" s="133"/>
      <c r="Q877" s="10"/>
      <c r="R877" s="10"/>
      <c r="S877" s="10"/>
      <c r="T877" s="10"/>
      <c r="U877" s="10"/>
      <c r="V877" s="10"/>
      <c r="W877" s="10"/>
      <c r="X877" s="10"/>
    </row>
    <row r="878">
      <c r="A878" s="257"/>
      <c r="B878" s="257"/>
      <c r="C878" s="258"/>
      <c r="D878" s="257"/>
      <c r="E878" s="257"/>
      <c r="F878" s="257"/>
      <c r="G878" s="257"/>
      <c r="H878" s="257"/>
      <c r="I878" s="257"/>
      <c r="J878" s="257"/>
      <c r="K878" s="257"/>
      <c r="L878" s="257"/>
      <c r="M878" s="259"/>
      <c r="N878" s="10"/>
      <c r="O878" s="133"/>
      <c r="P878" s="133"/>
      <c r="Q878" s="10"/>
      <c r="R878" s="10"/>
      <c r="S878" s="10"/>
      <c r="T878" s="10"/>
      <c r="U878" s="10"/>
      <c r="V878" s="10"/>
      <c r="W878" s="10"/>
      <c r="X878" s="10"/>
    </row>
    <row r="879">
      <c r="A879" s="257"/>
      <c r="B879" s="257"/>
      <c r="C879" s="258"/>
      <c r="D879" s="257"/>
      <c r="E879" s="257"/>
      <c r="F879" s="257"/>
      <c r="G879" s="257"/>
      <c r="H879" s="257"/>
      <c r="I879" s="257"/>
      <c r="J879" s="257"/>
      <c r="K879" s="257"/>
      <c r="L879" s="257"/>
      <c r="M879" s="259"/>
      <c r="N879" s="10"/>
      <c r="O879" s="133"/>
      <c r="P879" s="133"/>
      <c r="Q879" s="10"/>
      <c r="R879" s="10"/>
      <c r="S879" s="10"/>
      <c r="T879" s="10"/>
      <c r="U879" s="10"/>
      <c r="V879" s="10"/>
      <c r="W879" s="10"/>
      <c r="X879" s="10"/>
    </row>
    <row r="880">
      <c r="A880" s="257"/>
      <c r="B880" s="257"/>
      <c r="C880" s="258"/>
      <c r="D880" s="257"/>
      <c r="E880" s="257"/>
      <c r="F880" s="257"/>
      <c r="G880" s="257"/>
      <c r="H880" s="257"/>
      <c r="I880" s="257"/>
      <c r="J880" s="257"/>
      <c r="K880" s="257"/>
      <c r="L880" s="257"/>
      <c r="M880" s="259"/>
      <c r="N880" s="10"/>
      <c r="O880" s="133"/>
      <c r="P880" s="133"/>
      <c r="Q880" s="10"/>
      <c r="R880" s="10"/>
      <c r="S880" s="10"/>
      <c r="T880" s="10"/>
      <c r="U880" s="10"/>
      <c r="V880" s="10"/>
      <c r="W880" s="10"/>
      <c r="X880" s="10"/>
    </row>
    <row r="881">
      <c r="A881" s="257"/>
      <c r="B881" s="257"/>
      <c r="C881" s="258"/>
      <c r="D881" s="257"/>
      <c r="E881" s="257"/>
      <c r="F881" s="257"/>
      <c r="G881" s="257"/>
      <c r="H881" s="257"/>
      <c r="I881" s="257"/>
      <c r="J881" s="257"/>
      <c r="K881" s="257"/>
      <c r="L881" s="257"/>
      <c r="M881" s="259"/>
      <c r="N881" s="10"/>
      <c r="O881" s="133"/>
      <c r="P881" s="133"/>
      <c r="Q881" s="10"/>
      <c r="R881" s="10"/>
      <c r="S881" s="10"/>
      <c r="T881" s="10"/>
      <c r="U881" s="10"/>
      <c r="V881" s="10"/>
      <c r="W881" s="10"/>
      <c r="X881" s="10"/>
    </row>
    <row r="882">
      <c r="A882" s="257"/>
      <c r="B882" s="257"/>
      <c r="C882" s="258"/>
      <c r="D882" s="257"/>
      <c r="E882" s="257"/>
      <c r="F882" s="257"/>
      <c r="G882" s="257"/>
      <c r="H882" s="257"/>
      <c r="I882" s="257"/>
      <c r="J882" s="257"/>
      <c r="K882" s="257"/>
      <c r="L882" s="257"/>
      <c r="M882" s="259"/>
      <c r="N882" s="10"/>
      <c r="O882" s="133"/>
      <c r="P882" s="133"/>
      <c r="Q882" s="10"/>
      <c r="R882" s="10"/>
      <c r="S882" s="10"/>
      <c r="T882" s="10"/>
      <c r="U882" s="10"/>
      <c r="V882" s="10"/>
      <c r="W882" s="10"/>
      <c r="X882" s="10"/>
    </row>
    <row r="883">
      <c r="A883" s="257"/>
      <c r="B883" s="257"/>
      <c r="C883" s="258"/>
      <c r="D883" s="257"/>
      <c r="E883" s="257"/>
      <c r="F883" s="257"/>
      <c r="G883" s="257"/>
      <c r="H883" s="257"/>
      <c r="I883" s="257"/>
      <c r="J883" s="257"/>
      <c r="K883" s="257"/>
      <c r="L883" s="257"/>
      <c r="M883" s="259"/>
      <c r="N883" s="10"/>
      <c r="O883" s="133"/>
      <c r="P883" s="133"/>
      <c r="Q883" s="10"/>
      <c r="R883" s="10"/>
      <c r="S883" s="10"/>
      <c r="T883" s="10"/>
      <c r="U883" s="10"/>
      <c r="V883" s="10"/>
      <c r="W883" s="10"/>
      <c r="X883" s="10"/>
    </row>
    <row r="884">
      <c r="A884" s="257"/>
      <c r="B884" s="257"/>
      <c r="C884" s="258"/>
      <c r="D884" s="257"/>
      <c r="E884" s="257"/>
      <c r="F884" s="257"/>
      <c r="G884" s="257"/>
      <c r="H884" s="257"/>
      <c r="I884" s="257"/>
      <c r="J884" s="257"/>
      <c r="K884" s="257"/>
      <c r="L884" s="257"/>
      <c r="M884" s="259"/>
      <c r="N884" s="10"/>
      <c r="O884" s="133"/>
      <c r="P884" s="133"/>
      <c r="Q884" s="10"/>
      <c r="R884" s="10"/>
      <c r="S884" s="10"/>
      <c r="T884" s="10"/>
      <c r="U884" s="10"/>
      <c r="V884" s="10"/>
      <c r="W884" s="10"/>
      <c r="X884" s="10"/>
    </row>
    <row r="885">
      <c r="A885" s="257"/>
      <c r="B885" s="257"/>
      <c r="C885" s="258"/>
      <c r="D885" s="257"/>
      <c r="E885" s="257"/>
      <c r="F885" s="257"/>
      <c r="G885" s="257"/>
      <c r="H885" s="257"/>
      <c r="I885" s="257"/>
      <c r="J885" s="257"/>
      <c r="K885" s="257"/>
      <c r="L885" s="257"/>
      <c r="M885" s="259"/>
      <c r="N885" s="10"/>
      <c r="O885" s="133"/>
      <c r="P885" s="133"/>
      <c r="Q885" s="10"/>
      <c r="R885" s="10"/>
      <c r="S885" s="10"/>
      <c r="T885" s="10"/>
      <c r="U885" s="10"/>
      <c r="V885" s="10"/>
      <c r="W885" s="10"/>
      <c r="X885" s="10"/>
    </row>
    <row r="886">
      <c r="A886" s="257"/>
      <c r="B886" s="257"/>
      <c r="C886" s="258"/>
      <c r="D886" s="257"/>
      <c r="E886" s="257"/>
      <c r="F886" s="257"/>
      <c r="G886" s="257"/>
      <c r="H886" s="257"/>
      <c r="I886" s="257"/>
      <c r="J886" s="257"/>
      <c r="K886" s="257"/>
      <c r="L886" s="257"/>
      <c r="M886" s="259"/>
      <c r="N886" s="10"/>
      <c r="O886" s="133"/>
      <c r="P886" s="133"/>
      <c r="Q886" s="10"/>
      <c r="R886" s="10"/>
      <c r="S886" s="10"/>
      <c r="T886" s="10"/>
      <c r="U886" s="10"/>
      <c r="V886" s="10"/>
      <c r="W886" s="10"/>
      <c r="X886" s="10"/>
    </row>
    <row r="887">
      <c r="A887" s="257"/>
      <c r="B887" s="257"/>
      <c r="C887" s="258"/>
      <c r="D887" s="257"/>
      <c r="E887" s="257"/>
      <c r="F887" s="257"/>
      <c r="G887" s="257"/>
      <c r="H887" s="257"/>
      <c r="I887" s="257"/>
      <c r="J887" s="257"/>
      <c r="K887" s="257"/>
      <c r="L887" s="257"/>
      <c r="M887" s="259"/>
      <c r="N887" s="10"/>
      <c r="O887" s="133"/>
      <c r="P887" s="133"/>
      <c r="Q887" s="10"/>
      <c r="R887" s="10"/>
      <c r="S887" s="10"/>
      <c r="T887" s="10"/>
      <c r="U887" s="10"/>
      <c r="V887" s="10"/>
      <c r="W887" s="10"/>
      <c r="X887" s="10"/>
    </row>
    <row r="888">
      <c r="A888" s="257"/>
      <c r="B888" s="257"/>
      <c r="C888" s="258"/>
      <c r="D888" s="257"/>
      <c r="E888" s="257"/>
      <c r="F888" s="257"/>
      <c r="G888" s="257"/>
      <c r="H888" s="257"/>
      <c r="I888" s="257"/>
      <c r="J888" s="257"/>
      <c r="K888" s="257"/>
      <c r="L888" s="257"/>
      <c r="M888" s="259"/>
      <c r="N888" s="10"/>
      <c r="O888" s="133"/>
      <c r="P888" s="133"/>
      <c r="Q888" s="10"/>
      <c r="R888" s="10"/>
      <c r="S888" s="10"/>
      <c r="T888" s="10"/>
      <c r="U888" s="10"/>
      <c r="V888" s="10"/>
      <c r="W888" s="10"/>
      <c r="X888" s="10"/>
    </row>
    <row r="889">
      <c r="A889" s="257"/>
      <c r="B889" s="257"/>
      <c r="C889" s="258"/>
      <c r="D889" s="257"/>
      <c r="E889" s="257"/>
      <c r="F889" s="257"/>
      <c r="G889" s="257"/>
      <c r="H889" s="257"/>
      <c r="I889" s="257"/>
      <c r="J889" s="257"/>
      <c r="K889" s="257"/>
      <c r="L889" s="257"/>
      <c r="M889" s="259"/>
      <c r="N889" s="10"/>
      <c r="O889" s="133"/>
      <c r="P889" s="133"/>
      <c r="Q889" s="10"/>
      <c r="R889" s="10"/>
      <c r="S889" s="10"/>
      <c r="T889" s="10"/>
      <c r="U889" s="10"/>
      <c r="V889" s="10"/>
      <c r="W889" s="10"/>
      <c r="X889" s="10"/>
    </row>
    <row r="890">
      <c r="A890" s="257"/>
      <c r="B890" s="257"/>
      <c r="C890" s="258"/>
      <c r="D890" s="257"/>
      <c r="E890" s="257"/>
      <c r="F890" s="257"/>
      <c r="G890" s="257"/>
      <c r="H890" s="257"/>
      <c r="I890" s="257"/>
      <c r="J890" s="257"/>
      <c r="K890" s="257"/>
      <c r="L890" s="257"/>
      <c r="M890" s="259"/>
      <c r="N890" s="10"/>
      <c r="O890" s="133"/>
      <c r="P890" s="133"/>
      <c r="Q890" s="10"/>
      <c r="R890" s="10"/>
      <c r="S890" s="10"/>
      <c r="T890" s="10"/>
      <c r="U890" s="10"/>
      <c r="V890" s="10"/>
      <c r="W890" s="10"/>
      <c r="X890" s="10"/>
    </row>
    <row r="891">
      <c r="A891" s="257"/>
      <c r="B891" s="257"/>
      <c r="C891" s="258"/>
      <c r="D891" s="257"/>
      <c r="E891" s="257"/>
      <c r="F891" s="257"/>
      <c r="G891" s="257"/>
      <c r="H891" s="257"/>
      <c r="I891" s="257"/>
      <c r="J891" s="257"/>
      <c r="K891" s="257"/>
      <c r="L891" s="257"/>
      <c r="M891" s="259"/>
      <c r="N891" s="10"/>
      <c r="O891" s="133"/>
      <c r="P891" s="133"/>
      <c r="Q891" s="10"/>
      <c r="R891" s="10"/>
      <c r="S891" s="10"/>
      <c r="T891" s="10"/>
      <c r="U891" s="10"/>
      <c r="V891" s="10"/>
      <c r="W891" s="10"/>
      <c r="X891" s="10"/>
    </row>
    <row r="892">
      <c r="A892" s="257"/>
      <c r="B892" s="257"/>
      <c r="C892" s="258"/>
      <c r="D892" s="257"/>
      <c r="E892" s="257"/>
      <c r="F892" s="257"/>
      <c r="G892" s="257"/>
      <c r="H892" s="257"/>
      <c r="I892" s="257"/>
      <c r="J892" s="257"/>
      <c r="K892" s="257"/>
      <c r="L892" s="257"/>
      <c r="M892" s="259"/>
      <c r="N892" s="10"/>
      <c r="O892" s="133"/>
      <c r="P892" s="133"/>
      <c r="Q892" s="10"/>
      <c r="R892" s="10"/>
      <c r="S892" s="10"/>
      <c r="T892" s="10"/>
      <c r="U892" s="10"/>
      <c r="V892" s="10"/>
      <c r="W892" s="10"/>
      <c r="X892" s="10"/>
    </row>
    <row r="893">
      <c r="A893" s="257"/>
      <c r="B893" s="257"/>
      <c r="C893" s="258"/>
      <c r="D893" s="257"/>
      <c r="E893" s="257"/>
      <c r="F893" s="257"/>
      <c r="G893" s="257"/>
      <c r="H893" s="257"/>
      <c r="I893" s="257"/>
      <c r="J893" s="257"/>
      <c r="K893" s="257"/>
      <c r="L893" s="257"/>
      <c r="M893" s="259"/>
      <c r="N893" s="10"/>
      <c r="O893" s="133"/>
      <c r="P893" s="133"/>
      <c r="Q893" s="10"/>
      <c r="R893" s="10"/>
      <c r="S893" s="10"/>
      <c r="T893" s="10"/>
      <c r="U893" s="10"/>
      <c r="V893" s="10"/>
      <c r="W893" s="10"/>
      <c r="X893" s="10"/>
    </row>
    <row r="894">
      <c r="A894" s="257"/>
      <c r="B894" s="257"/>
      <c r="C894" s="258"/>
      <c r="D894" s="257"/>
      <c r="E894" s="257"/>
      <c r="F894" s="257"/>
      <c r="G894" s="257"/>
      <c r="H894" s="257"/>
      <c r="I894" s="257"/>
      <c r="J894" s="257"/>
      <c r="K894" s="257"/>
      <c r="L894" s="257"/>
      <c r="M894" s="259"/>
      <c r="N894" s="10"/>
      <c r="O894" s="133"/>
      <c r="P894" s="133"/>
      <c r="Q894" s="10"/>
      <c r="R894" s="10"/>
      <c r="S894" s="10"/>
      <c r="T894" s="10"/>
      <c r="U894" s="10"/>
      <c r="V894" s="10"/>
      <c r="W894" s="10"/>
      <c r="X894" s="10"/>
    </row>
    <row r="895">
      <c r="A895" s="257"/>
      <c r="B895" s="257"/>
      <c r="C895" s="258"/>
      <c r="D895" s="257"/>
      <c r="E895" s="257"/>
      <c r="F895" s="257"/>
      <c r="G895" s="257"/>
      <c r="H895" s="257"/>
      <c r="I895" s="257"/>
      <c r="J895" s="257"/>
      <c r="K895" s="257"/>
      <c r="L895" s="257"/>
      <c r="M895" s="259"/>
      <c r="N895" s="10"/>
      <c r="O895" s="133"/>
      <c r="P895" s="133"/>
      <c r="Q895" s="10"/>
      <c r="R895" s="10"/>
      <c r="S895" s="10"/>
      <c r="T895" s="10"/>
      <c r="U895" s="10"/>
      <c r="V895" s="10"/>
      <c r="W895" s="10"/>
      <c r="X895" s="10"/>
    </row>
    <row r="896">
      <c r="A896" s="257"/>
      <c r="B896" s="257"/>
      <c r="C896" s="258"/>
      <c r="D896" s="257"/>
      <c r="E896" s="257"/>
      <c r="F896" s="257"/>
      <c r="G896" s="257"/>
      <c r="H896" s="257"/>
      <c r="I896" s="257"/>
      <c r="J896" s="257"/>
      <c r="K896" s="257"/>
      <c r="L896" s="257"/>
      <c r="M896" s="259"/>
      <c r="N896" s="10"/>
      <c r="O896" s="133"/>
      <c r="P896" s="133"/>
      <c r="Q896" s="10"/>
      <c r="R896" s="10"/>
      <c r="S896" s="10"/>
      <c r="T896" s="10"/>
      <c r="U896" s="10"/>
      <c r="V896" s="10"/>
      <c r="W896" s="10"/>
      <c r="X896" s="10"/>
    </row>
    <row r="897">
      <c r="A897" s="257"/>
      <c r="B897" s="257"/>
      <c r="C897" s="258"/>
      <c r="D897" s="257"/>
      <c r="E897" s="257"/>
      <c r="F897" s="257"/>
      <c r="G897" s="257"/>
      <c r="H897" s="257"/>
      <c r="I897" s="257"/>
      <c r="J897" s="257"/>
      <c r="K897" s="257"/>
      <c r="L897" s="257"/>
      <c r="M897" s="259"/>
      <c r="N897" s="10"/>
      <c r="O897" s="133"/>
      <c r="P897" s="133"/>
      <c r="Q897" s="10"/>
      <c r="R897" s="10"/>
      <c r="S897" s="10"/>
      <c r="T897" s="10"/>
      <c r="U897" s="10"/>
      <c r="V897" s="10"/>
      <c r="W897" s="10"/>
      <c r="X897" s="10"/>
    </row>
    <row r="898">
      <c r="A898" s="257"/>
      <c r="B898" s="257"/>
      <c r="C898" s="258"/>
      <c r="D898" s="257"/>
      <c r="E898" s="257"/>
      <c r="F898" s="257"/>
      <c r="G898" s="257"/>
      <c r="H898" s="257"/>
      <c r="I898" s="257"/>
      <c r="J898" s="257"/>
      <c r="K898" s="257"/>
      <c r="L898" s="257"/>
      <c r="M898" s="259"/>
      <c r="N898" s="10"/>
      <c r="O898" s="133"/>
      <c r="P898" s="133"/>
      <c r="Q898" s="10"/>
      <c r="R898" s="10"/>
      <c r="S898" s="10"/>
      <c r="T898" s="10"/>
      <c r="U898" s="10"/>
      <c r="V898" s="10"/>
      <c r="W898" s="10"/>
      <c r="X898" s="10"/>
    </row>
    <row r="899">
      <c r="A899" s="257"/>
      <c r="B899" s="257"/>
      <c r="C899" s="258"/>
      <c r="D899" s="257"/>
      <c r="E899" s="257"/>
      <c r="F899" s="257"/>
      <c r="G899" s="257"/>
      <c r="H899" s="257"/>
      <c r="I899" s="257"/>
      <c r="J899" s="257"/>
      <c r="K899" s="257"/>
      <c r="L899" s="257"/>
      <c r="M899" s="259"/>
      <c r="N899" s="10"/>
      <c r="O899" s="133"/>
      <c r="P899" s="133"/>
      <c r="Q899" s="10"/>
      <c r="R899" s="10"/>
      <c r="S899" s="10"/>
      <c r="T899" s="10"/>
      <c r="U899" s="10"/>
      <c r="V899" s="10"/>
      <c r="W899" s="10"/>
      <c r="X899" s="10"/>
    </row>
    <row r="900">
      <c r="A900" s="257"/>
      <c r="B900" s="257"/>
      <c r="C900" s="258"/>
      <c r="D900" s="257"/>
      <c r="E900" s="257"/>
      <c r="F900" s="257"/>
      <c r="G900" s="257"/>
      <c r="H900" s="257"/>
      <c r="I900" s="257"/>
      <c r="J900" s="257"/>
      <c r="K900" s="257"/>
      <c r="L900" s="257"/>
      <c r="M900" s="259"/>
      <c r="N900" s="10"/>
      <c r="O900" s="133"/>
      <c r="P900" s="133"/>
      <c r="Q900" s="10"/>
      <c r="R900" s="10"/>
      <c r="S900" s="10"/>
      <c r="T900" s="10"/>
      <c r="U900" s="10"/>
      <c r="V900" s="10"/>
      <c r="W900" s="10"/>
      <c r="X900" s="10"/>
    </row>
    <row r="901">
      <c r="A901" s="257"/>
      <c r="B901" s="257"/>
      <c r="C901" s="258"/>
      <c r="D901" s="257"/>
      <c r="E901" s="257"/>
      <c r="F901" s="257"/>
      <c r="G901" s="257"/>
      <c r="H901" s="257"/>
      <c r="I901" s="257"/>
      <c r="J901" s="257"/>
      <c r="K901" s="257"/>
      <c r="L901" s="257"/>
      <c r="M901" s="259"/>
      <c r="N901" s="10"/>
      <c r="O901" s="133"/>
      <c r="P901" s="133"/>
      <c r="Q901" s="10"/>
      <c r="R901" s="10"/>
      <c r="S901" s="10"/>
      <c r="T901" s="10"/>
      <c r="U901" s="10"/>
      <c r="V901" s="10"/>
      <c r="W901" s="10"/>
      <c r="X901" s="10"/>
    </row>
    <row r="902">
      <c r="A902" s="257"/>
      <c r="B902" s="257"/>
      <c r="C902" s="258"/>
      <c r="D902" s="257"/>
      <c r="E902" s="257"/>
      <c r="F902" s="257"/>
      <c r="G902" s="257"/>
      <c r="H902" s="257"/>
      <c r="I902" s="257"/>
      <c r="J902" s="257"/>
      <c r="K902" s="257"/>
      <c r="L902" s="257"/>
      <c r="M902" s="259"/>
      <c r="N902" s="10"/>
      <c r="O902" s="133"/>
      <c r="P902" s="133"/>
      <c r="Q902" s="10"/>
      <c r="R902" s="10"/>
      <c r="S902" s="10"/>
      <c r="T902" s="10"/>
      <c r="U902" s="10"/>
      <c r="V902" s="10"/>
      <c r="W902" s="10"/>
      <c r="X902" s="10"/>
    </row>
    <row r="903">
      <c r="A903" s="257"/>
      <c r="B903" s="257"/>
      <c r="C903" s="258"/>
      <c r="D903" s="257"/>
      <c r="E903" s="257"/>
      <c r="F903" s="257"/>
      <c r="G903" s="257"/>
      <c r="H903" s="257"/>
      <c r="I903" s="257"/>
      <c r="J903" s="257"/>
      <c r="K903" s="257"/>
      <c r="L903" s="257"/>
      <c r="M903" s="259"/>
      <c r="N903" s="10"/>
      <c r="O903" s="133"/>
      <c r="P903" s="133"/>
      <c r="Q903" s="10"/>
      <c r="R903" s="10"/>
      <c r="S903" s="10"/>
      <c r="T903" s="10"/>
      <c r="U903" s="10"/>
      <c r="V903" s="10"/>
      <c r="W903" s="10"/>
      <c r="X903" s="10"/>
    </row>
    <row r="904">
      <c r="A904" s="257"/>
      <c r="B904" s="257"/>
      <c r="C904" s="258"/>
      <c r="D904" s="257"/>
      <c r="E904" s="257"/>
      <c r="F904" s="257"/>
      <c r="G904" s="257"/>
      <c r="H904" s="257"/>
      <c r="I904" s="257"/>
      <c r="J904" s="257"/>
      <c r="K904" s="257"/>
      <c r="L904" s="257"/>
      <c r="M904" s="259"/>
      <c r="N904" s="10"/>
      <c r="O904" s="133"/>
      <c r="P904" s="133"/>
      <c r="Q904" s="10"/>
      <c r="R904" s="10"/>
      <c r="S904" s="10"/>
      <c r="T904" s="10"/>
      <c r="U904" s="10"/>
      <c r="V904" s="10"/>
      <c r="W904" s="10"/>
      <c r="X904" s="10"/>
    </row>
    <row r="905">
      <c r="A905" s="257"/>
      <c r="B905" s="257"/>
      <c r="C905" s="258"/>
      <c r="D905" s="257"/>
      <c r="E905" s="257"/>
      <c r="F905" s="257"/>
      <c r="G905" s="257"/>
      <c r="H905" s="257"/>
      <c r="I905" s="257"/>
      <c r="J905" s="257"/>
      <c r="K905" s="257"/>
      <c r="L905" s="257"/>
      <c r="M905" s="259"/>
      <c r="N905" s="10"/>
      <c r="O905" s="133"/>
      <c r="P905" s="133"/>
      <c r="Q905" s="10"/>
      <c r="R905" s="10"/>
      <c r="S905" s="10"/>
      <c r="T905" s="10"/>
      <c r="U905" s="10"/>
      <c r="V905" s="10"/>
      <c r="W905" s="10"/>
      <c r="X905" s="10"/>
    </row>
    <row r="906">
      <c r="A906" s="257"/>
      <c r="B906" s="257"/>
      <c r="C906" s="258"/>
      <c r="D906" s="257"/>
      <c r="E906" s="257"/>
      <c r="F906" s="257"/>
      <c r="G906" s="257"/>
      <c r="H906" s="257"/>
      <c r="I906" s="257"/>
      <c r="J906" s="257"/>
      <c r="K906" s="257"/>
      <c r="L906" s="257"/>
      <c r="M906" s="259"/>
      <c r="N906" s="10"/>
      <c r="O906" s="133"/>
      <c r="P906" s="133"/>
      <c r="Q906" s="10"/>
      <c r="R906" s="10"/>
      <c r="S906" s="10"/>
      <c r="T906" s="10"/>
      <c r="U906" s="10"/>
      <c r="V906" s="10"/>
      <c r="W906" s="10"/>
      <c r="X906" s="10"/>
    </row>
    <row r="907">
      <c r="A907" s="257"/>
      <c r="B907" s="257"/>
      <c r="C907" s="258"/>
      <c r="D907" s="257"/>
      <c r="E907" s="257"/>
      <c r="F907" s="257"/>
      <c r="G907" s="257"/>
      <c r="H907" s="257"/>
      <c r="I907" s="257"/>
      <c r="J907" s="257"/>
      <c r="K907" s="257"/>
      <c r="L907" s="257"/>
      <c r="M907" s="259"/>
      <c r="N907" s="10"/>
      <c r="O907" s="133"/>
      <c r="P907" s="133"/>
      <c r="Q907" s="10"/>
      <c r="R907" s="10"/>
      <c r="S907" s="10"/>
      <c r="T907" s="10"/>
      <c r="U907" s="10"/>
      <c r="V907" s="10"/>
      <c r="W907" s="10"/>
      <c r="X907" s="10"/>
    </row>
    <row r="908">
      <c r="A908" s="257"/>
      <c r="B908" s="257"/>
      <c r="C908" s="258"/>
      <c r="D908" s="257"/>
      <c r="E908" s="257"/>
      <c r="F908" s="257"/>
      <c r="G908" s="257"/>
      <c r="H908" s="257"/>
      <c r="I908" s="257"/>
      <c r="J908" s="257"/>
      <c r="K908" s="257"/>
      <c r="L908" s="257"/>
      <c r="M908" s="259"/>
      <c r="N908" s="10"/>
      <c r="O908" s="133"/>
      <c r="P908" s="133"/>
      <c r="Q908" s="10"/>
      <c r="R908" s="10"/>
      <c r="S908" s="10"/>
      <c r="T908" s="10"/>
      <c r="U908" s="10"/>
      <c r="V908" s="10"/>
      <c r="W908" s="10"/>
      <c r="X908" s="10"/>
    </row>
    <row r="909">
      <c r="A909" s="257"/>
      <c r="B909" s="257"/>
      <c r="C909" s="258"/>
      <c r="D909" s="257"/>
      <c r="E909" s="257"/>
      <c r="F909" s="257"/>
      <c r="G909" s="257"/>
      <c r="H909" s="257"/>
      <c r="I909" s="257"/>
      <c r="J909" s="257"/>
      <c r="K909" s="257"/>
      <c r="L909" s="257"/>
      <c r="M909" s="259"/>
      <c r="N909" s="10"/>
      <c r="O909" s="133"/>
      <c r="P909" s="133"/>
      <c r="Q909" s="10"/>
      <c r="R909" s="10"/>
      <c r="S909" s="10"/>
      <c r="T909" s="10"/>
      <c r="U909" s="10"/>
      <c r="V909" s="10"/>
      <c r="W909" s="10"/>
      <c r="X909" s="10"/>
    </row>
    <row r="910">
      <c r="A910" s="257"/>
      <c r="B910" s="257"/>
      <c r="C910" s="258"/>
      <c r="D910" s="257"/>
      <c r="E910" s="257"/>
      <c r="F910" s="257"/>
      <c r="G910" s="257"/>
      <c r="H910" s="257"/>
      <c r="I910" s="257"/>
      <c r="J910" s="257"/>
      <c r="K910" s="257"/>
      <c r="L910" s="257"/>
      <c r="M910" s="259"/>
      <c r="N910" s="10"/>
      <c r="O910" s="133"/>
      <c r="P910" s="133"/>
      <c r="Q910" s="10"/>
      <c r="R910" s="10"/>
      <c r="S910" s="10"/>
      <c r="T910" s="10"/>
      <c r="U910" s="10"/>
      <c r="V910" s="10"/>
      <c r="W910" s="10"/>
      <c r="X910" s="10"/>
    </row>
    <row r="911">
      <c r="A911" s="257"/>
      <c r="B911" s="257"/>
      <c r="C911" s="258"/>
      <c r="D911" s="257"/>
      <c r="E911" s="257"/>
      <c r="F911" s="257"/>
      <c r="G911" s="257"/>
      <c r="H911" s="257"/>
      <c r="I911" s="257"/>
      <c r="J911" s="257"/>
      <c r="K911" s="257"/>
      <c r="L911" s="257"/>
      <c r="M911" s="259"/>
      <c r="N911" s="10"/>
      <c r="O911" s="133"/>
      <c r="P911" s="133"/>
      <c r="Q911" s="10"/>
      <c r="R911" s="10"/>
      <c r="S911" s="10"/>
      <c r="T911" s="10"/>
      <c r="U911" s="10"/>
      <c r="V911" s="10"/>
      <c r="W911" s="10"/>
      <c r="X911" s="10"/>
    </row>
    <row r="912">
      <c r="A912" s="257"/>
      <c r="B912" s="257"/>
      <c r="C912" s="258"/>
      <c r="D912" s="257"/>
      <c r="E912" s="257"/>
      <c r="F912" s="257"/>
      <c r="G912" s="257"/>
      <c r="H912" s="257"/>
      <c r="I912" s="257"/>
      <c r="J912" s="257"/>
      <c r="K912" s="257"/>
      <c r="L912" s="257"/>
      <c r="M912" s="259"/>
      <c r="N912" s="10"/>
      <c r="O912" s="133"/>
      <c r="P912" s="133"/>
      <c r="Q912" s="10"/>
      <c r="R912" s="10"/>
      <c r="S912" s="10"/>
      <c r="T912" s="10"/>
      <c r="U912" s="10"/>
      <c r="V912" s="10"/>
      <c r="W912" s="10"/>
      <c r="X912" s="10"/>
    </row>
    <row r="913">
      <c r="A913" s="257"/>
      <c r="B913" s="257"/>
      <c r="C913" s="258"/>
      <c r="D913" s="257"/>
      <c r="E913" s="257"/>
      <c r="F913" s="257"/>
      <c r="G913" s="257"/>
      <c r="H913" s="257"/>
      <c r="I913" s="257"/>
      <c r="J913" s="257"/>
      <c r="K913" s="257"/>
      <c r="L913" s="257"/>
      <c r="M913" s="259"/>
      <c r="N913" s="10"/>
      <c r="O913" s="133"/>
      <c r="P913" s="133"/>
      <c r="Q913" s="10"/>
      <c r="R913" s="10"/>
      <c r="S913" s="10"/>
      <c r="T913" s="10"/>
      <c r="U913" s="10"/>
      <c r="V913" s="10"/>
      <c r="W913" s="10"/>
      <c r="X913" s="10"/>
    </row>
    <row r="914">
      <c r="A914" s="257"/>
      <c r="B914" s="257"/>
      <c r="C914" s="258"/>
      <c r="D914" s="257"/>
      <c r="E914" s="257"/>
      <c r="F914" s="257"/>
      <c r="G914" s="257"/>
      <c r="H914" s="257"/>
      <c r="I914" s="257"/>
      <c r="J914" s="257"/>
      <c r="K914" s="257"/>
      <c r="L914" s="257"/>
      <c r="M914" s="259"/>
      <c r="N914" s="10"/>
      <c r="O914" s="133"/>
      <c r="P914" s="133"/>
      <c r="Q914" s="10"/>
      <c r="R914" s="10"/>
      <c r="S914" s="10"/>
      <c r="T914" s="10"/>
      <c r="U914" s="10"/>
      <c r="V914" s="10"/>
      <c r="W914" s="10"/>
      <c r="X914" s="10"/>
    </row>
    <row r="915">
      <c r="A915" s="257"/>
      <c r="B915" s="257"/>
      <c r="C915" s="258"/>
      <c r="D915" s="257"/>
      <c r="E915" s="257"/>
      <c r="F915" s="257"/>
      <c r="G915" s="257"/>
      <c r="H915" s="257"/>
      <c r="I915" s="257"/>
      <c r="J915" s="257"/>
      <c r="K915" s="257"/>
      <c r="L915" s="257"/>
      <c r="M915" s="259"/>
      <c r="N915" s="10"/>
      <c r="O915" s="133"/>
      <c r="P915" s="133"/>
      <c r="Q915" s="10"/>
      <c r="R915" s="10"/>
      <c r="S915" s="10"/>
      <c r="T915" s="10"/>
      <c r="U915" s="10"/>
      <c r="V915" s="10"/>
      <c r="W915" s="10"/>
      <c r="X915" s="10"/>
    </row>
    <row r="916">
      <c r="A916" s="257"/>
      <c r="B916" s="257"/>
      <c r="C916" s="258"/>
      <c r="D916" s="257"/>
      <c r="E916" s="257"/>
      <c r="F916" s="257"/>
      <c r="G916" s="257"/>
      <c r="H916" s="257"/>
      <c r="I916" s="257"/>
      <c r="J916" s="257"/>
      <c r="K916" s="257"/>
      <c r="L916" s="257"/>
      <c r="M916" s="259"/>
      <c r="N916" s="10"/>
      <c r="O916" s="133"/>
      <c r="P916" s="133"/>
      <c r="Q916" s="10"/>
      <c r="R916" s="10"/>
      <c r="S916" s="10"/>
      <c r="T916" s="10"/>
      <c r="U916" s="10"/>
      <c r="V916" s="10"/>
      <c r="W916" s="10"/>
      <c r="X916" s="10"/>
    </row>
    <row r="917">
      <c r="A917" s="257"/>
      <c r="B917" s="257"/>
      <c r="C917" s="258"/>
      <c r="D917" s="257"/>
      <c r="E917" s="257"/>
      <c r="F917" s="257"/>
      <c r="G917" s="257"/>
      <c r="H917" s="257"/>
      <c r="I917" s="257"/>
      <c r="J917" s="257"/>
      <c r="K917" s="257"/>
      <c r="L917" s="257"/>
      <c r="M917" s="259"/>
      <c r="N917" s="10"/>
      <c r="O917" s="133"/>
      <c r="P917" s="133"/>
      <c r="Q917" s="10"/>
      <c r="R917" s="10"/>
      <c r="S917" s="10"/>
      <c r="T917" s="10"/>
      <c r="U917" s="10"/>
      <c r="V917" s="10"/>
      <c r="W917" s="10"/>
      <c r="X917" s="10"/>
    </row>
    <row r="918">
      <c r="A918" s="257"/>
      <c r="B918" s="257"/>
      <c r="C918" s="258"/>
      <c r="D918" s="257"/>
      <c r="E918" s="257"/>
      <c r="F918" s="257"/>
      <c r="G918" s="257"/>
      <c r="H918" s="257"/>
      <c r="I918" s="257"/>
      <c r="J918" s="257"/>
      <c r="K918" s="257"/>
      <c r="L918" s="257"/>
      <c r="M918" s="259"/>
      <c r="N918" s="10"/>
      <c r="O918" s="133"/>
      <c r="P918" s="133"/>
      <c r="Q918" s="10"/>
      <c r="R918" s="10"/>
      <c r="S918" s="10"/>
      <c r="T918" s="10"/>
      <c r="U918" s="10"/>
      <c r="V918" s="10"/>
      <c r="W918" s="10"/>
      <c r="X918" s="10"/>
    </row>
    <row r="919">
      <c r="A919" s="257"/>
      <c r="B919" s="257"/>
      <c r="C919" s="258"/>
      <c r="D919" s="257"/>
      <c r="E919" s="257"/>
      <c r="F919" s="257"/>
      <c r="G919" s="257"/>
      <c r="H919" s="257"/>
      <c r="I919" s="257"/>
      <c r="J919" s="257"/>
      <c r="K919" s="257"/>
      <c r="L919" s="257"/>
      <c r="M919" s="259"/>
      <c r="N919" s="10"/>
      <c r="O919" s="133"/>
      <c r="P919" s="133"/>
      <c r="Q919" s="10"/>
      <c r="R919" s="10"/>
      <c r="S919" s="10"/>
      <c r="T919" s="10"/>
      <c r="U919" s="10"/>
      <c r="V919" s="10"/>
      <c r="W919" s="10"/>
      <c r="X919" s="10"/>
    </row>
    <row r="920">
      <c r="A920" s="257"/>
      <c r="B920" s="257"/>
      <c r="C920" s="258"/>
      <c r="D920" s="257"/>
      <c r="E920" s="257"/>
      <c r="F920" s="257"/>
      <c r="G920" s="257"/>
      <c r="H920" s="257"/>
      <c r="I920" s="257"/>
      <c r="J920" s="257"/>
      <c r="K920" s="257"/>
      <c r="L920" s="257"/>
      <c r="M920" s="259"/>
      <c r="N920" s="10"/>
      <c r="O920" s="133"/>
      <c r="P920" s="133"/>
      <c r="Q920" s="10"/>
      <c r="R920" s="10"/>
      <c r="S920" s="10"/>
      <c r="T920" s="10"/>
      <c r="U920" s="10"/>
      <c r="V920" s="10"/>
      <c r="W920" s="10"/>
      <c r="X920" s="10"/>
    </row>
    <row r="921">
      <c r="A921" s="257"/>
      <c r="B921" s="257"/>
      <c r="C921" s="258"/>
      <c r="D921" s="257"/>
      <c r="E921" s="257"/>
      <c r="F921" s="257"/>
      <c r="G921" s="257"/>
      <c r="H921" s="257"/>
      <c r="I921" s="257"/>
      <c r="J921" s="257"/>
      <c r="K921" s="257"/>
      <c r="L921" s="257"/>
      <c r="M921" s="259"/>
      <c r="N921" s="10"/>
      <c r="O921" s="133"/>
      <c r="P921" s="133"/>
      <c r="Q921" s="10"/>
      <c r="R921" s="10"/>
      <c r="S921" s="10"/>
      <c r="T921" s="10"/>
      <c r="U921" s="10"/>
      <c r="V921" s="10"/>
      <c r="W921" s="10"/>
      <c r="X921" s="10"/>
    </row>
    <row r="922">
      <c r="A922" s="257"/>
      <c r="B922" s="257"/>
      <c r="C922" s="258"/>
      <c r="D922" s="257"/>
      <c r="E922" s="257"/>
      <c r="F922" s="257"/>
      <c r="G922" s="257"/>
      <c r="H922" s="257"/>
      <c r="I922" s="257"/>
      <c r="J922" s="257"/>
      <c r="K922" s="257"/>
      <c r="L922" s="257"/>
      <c r="M922" s="259"/>
      <c r="N922" s="10"/>
      <c r="O922" s="133"/>
      <c r="P922" s="133"/>
      <c r="Q922" s="10"/>
      <c r="R922" s="10"/>
      <c r="S922" s="10"/>
      <c r="T922" s="10"/>
      <c r="U922" s="10"/>
      <c r="V922" s="10"/>
      <c r="W922" s="10"/>
      <c r="X922" s="10"/>
    </row>
    <row r="923">
      <c r="A923" s="257"/>
      <c r="B923" s="257"/>
      <c r="C923" s="258"/>
      <c r="D923" s="257"/>
      <c r="E923" s="257"/>
      <c r="F923" s="257"/>
      <c r="G923" s="257"/>
      <c r="H923" s="257"/>
      <c r="I923" s="257"/>
      <c r="J923" s="257"/>
      <c r="K923" s="257"/>
      <c r="L923" s="257"/>
      <c r="M923" s="259"/>
      <c r="N923" s="10"/>
      <c r="O923" s="133"/>
      <c r="P923" s="133"/>
      <c r="Q923" s="10"/>
      <c r="R923" s="10"/>
      <c r="S923" s="10"/>
      <c r="T923" s="10"/>
      <c r="U923" s="10"/>
      <c r="V923" s="10"/>
      <c r="W923" s="10"/>
      <c r="X923" s="10"/>
    </row>
    <row r="924">
      <c r="A924" s="257"/>
      <c r="B924" s="257"/>
      <c r="C924" s="258"/>
      <c r="D924" s="257"/>
      <c r="E924" s="257"/>
      <c r="F924" s="257"/>
      <c r="G924" s="257"/>
      <c r="H924" s="257"/>
      <c r="I924" s="257"/>
      <c r="J924" s="257"/>
      <c r="K924" s="257"/>
      <c r="L924" s="257"/>
      <c r="M924" s="259"/>
      <c r="N924" s="10"/>
      <c r="O924" s="133"/>
      <c r="P924" s="133"/>
      <c r="Q924" s="10"/>
      <c r="R924" s="10"/>
      <c r="S924" s="10"/>
      <c r="T924" s="10"/>
      <c r="U924" s="10"/>
      <c r="V924" s="10"/>
      <c r="W924" s="10"/>
      <c r="X924" s="10"/>
    </row>
    <row r="925">
      <c r="A925" s="257"/>
      <c r="B925" s="257"/>
      <c r="C925" s="258"/>
      <c r="D925" s="257"/>
      <c r="E925" s="257"/>
      <c r="F925" s="257"/>
      <c r="G925" s="257"/>
      <c r="H925" s="257"/>
      <c r="I925" s="257"/>
      <c r="J925" s="257"/>
      <c r="K925" s="257"/>
      <c r="L925" s="257"/>
      <c r="M925" s="259"/>
      <c r="N925" s="10"/>
      <c r="O925" s="133"/>
      <c r="P925" s="133"/>
      <c r="Q925" s="10"/>
      <c r="R925" s="10"/>
      <c r="S925" s="10"/>
      <c r="T925" s="10"/>
      <c r="U925" s="10"/>
      <c r="V925" s="10"/>
      <c r="W925" s="10"/>
      <c r="X925" s="10"/>
    </row>
    <row r="926">
      <c r="A926" s="257"/>
      <c r="B926" s="257"/>
      <c r="C926" s="258"/>
      <c r="D926" s="257"/>
      <c r="E926" s="257"/>
      <c r="F926" s="257"/>
      <c r="G926" s="257"/>
      <c r="H926" s="257"/>
      <c r="I926" s="257"/>
      <c r="J926" s="257"/>
      <c r="K926" s="257"/>
      <c r="L926" s="257"/>
      <c r="M926" s="259"/>
      <c r="N926" s="10"/>
      <c r="O926" s="133"/>
      <c r="P926" s="133"/>
      <c r="Q926" s="10"/>
      <c r="R926" s="10"/>
      <c r="S926" s="10"/>
      <c r="T926" s="10"/>
      <c r="U926" s="10"/>
      <c r="V926" s="10"/>
      <c r="W926" s="10"/>
      <c r="X926" s="10"/>
    </row>
    <row r="927">
      <c r="A927" s="257"/>
      <c r="B927" s="257"/>
      <c r="C927" s="258"/>
      <c r="D927" s="257"/>
      <c r="E927" s="257"/>
      <c r="F927" s="257"/>
      <c r="G927" s="257"/>
      <c r="H927" s="257"/>
      <c r="I927" s="257"/>
      <c r="J927" s="257"/>
      <c r="K927" s="257"/>
      <c r="L927" s="257"/>
      <c r="M927" s="259"/>
      <c r="N927" s="10"/>
      <c r="O927" s="133"/>
      <c r="P927" s="133"/>
      <c r="Q927" s="10"/>
      <c r="R927" s="10"/>
      <c r="S927" s="10"/>
      <c r="T927" s="10"/>
      <c r="U927" s="10"/>
      <c r="V927" s="10"/>
      <c r="W927" s="10"/>
      <c r="X927" s="10"/>
    </row>
    <row r="928">
      <c r="A928" s="257"/>
      <c r="B928" s="257"/>
      <c r="C928" s="258"/>
      <c r="D928" s="257"/>
      <c r="E928" s="257"/>
      <c r="F928" s="257"/>
      <c r="G928" s="257"/>
      <c r="H928" s="257"/>
      <c r="I928" s="257"/>
      <c r="J928" s="257"/>
      <c r="K928" s="257"/>
      <c r="L928" s="257"/>
      <c r="M928" s="259"/>
      <c r="N928" s="10"/>
      <c r="O928" s="133"/>
      <c r="P928" s="133"/>
      <c r="Q928" s="10"/>
      <c r="R928" s="10"/>
      <c r="S928" s="10"/>
      <c r="T928" s="10"/>
      <c r="U928" s="10"/>
      <c r="V928" s="10"/>
      <c r="W928" s="10"/>
      <c r="X928" s="10"/>
    </row>
    <row r="929">
      <c r="A929" s="257"/>
      <c r="B929" s="257"/>
      <c r="C929" s="258"/>
      <c r="D929" s="257"/>
      <c r="E929" s="257"/>
      <c r="F929" s="257"/>
      <c r="G929" s="257"/>
      <c r="H929" s="257"/>
      <c r="I929" s="257"/>
      <c r="J929" s="257"/>
      <c r="K929" s="257"/>
      <c r="L929" s="257"/>
      <c r="M929" s="259"/>
      <c r="N929" s="10"/>
      <c r="O929" s="133"/>
      <c r="P929" s="133"/>
      <c r="Q929" s="10"/>
      <c r="R929" s="10"/>
      <c r="S929" s="10"/>
      <c r="T929" s="10"/>
      <c r="U929" s="10"/>
      <c r="V929" s="10"/>
      <c r="W929" s="10"/>
      <c r="X929" s="10"/>
    </row>
    <row r="930">
      <c r="A930" s="257"/>
      <c r="B930" s="257"/>
      <c r="C930" s="258"/>
      <c r="D930" s="257"/>
      <c r="E930" s="257"/>
      <c r="F930" s="257"/>
      <c r="G930" s="257"/>
      <c r="H930" s="257"/>
      <c r="I930" s="257"/>
      <c r="J930" s="257"/>
      <c r="K930" s="257"/>
      <c r="L930" s="257"/>
      <c r="M930" s="259"/>
      <c r="N930" s="10"/>
      <c r="O930" s="133"/>
      <c r="P930" s="133"/>
      <c r="Q930" s="10"/>
      <c r="R930" s="10"/>
      <c r="S930" s="10"/>
      <c r="T930" s="10"/>
      <c r="U930" s="10"/>
      <c r="V930" s="10"/>
      <c r="W930" s="10"/>
      <c r="X930" s="10"/>
    </row>
    <row r="931">
      <c r="A931" s="257"/>
      <c r="B931" s="257"/>
      <c r="C931" s="258"/>
      <c r="D931" s="257"/>
      <c r="E931" s="257"/>
      <c r="F931" s="257"/>
      <c r="G931" s="257"/>
      <c r="H931" s="257"/>
      <c r="I931" s="257"/>
      <c r="J931" s="257"/>
      <c r="K931" s="257"/>
      <c r="L931" s="257"/>
      <c r="M931" s="259"/>
      <c r="N931" s="10"/>
      <c r="O931" s="133"/>
      <c r="P931" s="133"/>
      <c r="Q931" s="10"/>
      <c r="R931" s="10"/>
      <c r="S931" s="10"/>
      <c r="T931" s="10"/>
      <c r="U931" s="10"/>
      <c r="V931" s="10"/>
      <c r="W931" s="10"/>
      <c r="X931" s="10"/>
    </row>
    <row r="932">
      <c r="A932" s="257"/>
      <c r="B932" s="257"/>
      <c r="C932" s="258"/>
      <c r="D932" s="257"/>
      <c r="E932" s="257"/>
      <c r="F932" s="257"/>
      <c r="G932" s="257"/>
      <c r="H932" s="257"/>
      <c r="I932" s="257"/>
      <c r="J932" s="257"/>
      <c r="K932" s="257"/>
      <c r="L932" s="257"/>
      <c r="M932" s="259"/>
      <c r="N932" s="10"/>
      <c r="O932" s="133"/>
      <c r="P932" s="133"/>
      <c r="Q932" s="10"/>
      <c r="R932" s="10"/>
      <c r="S932" s="10"/>
      <c r="T932" s="10"/>
      <c r="U932" s="10"/>
      <c r="V932" s="10"/>
      <c r="W932" s="10"/>
      <c r="X932" s="10"/>
    </row>
    <row r="933">
      <c r="A933" s="257"/>
      <c r="B933" s="257"/>
      <c r="C933" s="258"/>
      <c r="D933" s="257"/>
      <c r="E933" s="257"/>
      <c r="F933" s="257"/>
      <c r="G933" s="257"/>
      <c r="H933" s="257"/>
      <c r="I933" s="257"/>
      <c r="J933" s="257"/>
      <c r="K933" s="257"/>
      <c r="L933" s="257"/>
      <c r="M933" s="259"/>
      <c r="N933" s="10"/>
      <c r="O933" s="133"/>
      <c r="P933" s="133"/>
      <c r="Q933" s="10"/>
      <c r="R933" s="10"/>
      <c r="S933" s="10"/>
      <c r="T933" s="10"/>
      <c r="U933" s="10"/>
      <c r="V933" s="10"/>
      <c r="W933" s="10"/>
      <c r="X933" s="10"/>
    </row>
    <row r="934">
      <c r="A934" s="257"/>
      <c r="B934" s="257"/>
      <c r="C934" s="258"/>
      <c r="D934" s="257"/>
      <c r="E934" s="257"/>
      <c r="F934" s="257"/>
      <c r="G934" s="257"/>
      <c r="H934" s="257"/>
      <c r="I934" s="257"/>
      <c r="J934" s="257"/>
      <c r="K934" s="257"/>
      <c r="L934" s="257"/>
      <c r="M934" s="259"/>
      <c r="N934" s="10"/>
      <c r="O934" s="133"/>
      <c r="P934" s="133"/>
      <c r="Q934" s="10"/>
      <c r="R934" s="10"/>
      <c r="S934" s="10"/>
      <c r="T934" s="10"/>
      <c r="U934" s="10"/>
      <c r="V934" s="10"/>
      <c r="W934" s="10"/>
      <c r="X934" s="10"/>
    </row>
    <row r="935">
      <c r="A935" s="257"/>
      <c r="B935" s="257"/>
      <c r="C935" s="258"/>
      <c r="D935" s="257"/>
      <c r="E935" s="257"/>
      <c r="F935" s="257"/>
      <c r="G935" s="257"/>
      <c r="H935" s="257"/>
      <c r="I935" s="257"/>
      <c r="J935" s="257"/>
      <c r="K935" s="257"/>
      <c r="L935" s="257"/>
      <c r="M935" s="259"/>
      <c r="N935" s="10"/>
      <c r="O935" s="133"/>
      <c r="P935" s="133"/>
      <c r="Q935" s="10"/>
      <c r="R935" s="10"/>
      <c r="S935" s="10"/>
      <c r="T935" s="10"/>
      <c r="U935" s="10"/>
      <c r="V935" s="10"/>
      <c r="W935" s="10"/>
      <c r="X935" s="10"/>
    </row>
    <row r="936">
      <c r="A936" s="257"/>
      <c r="B936" s="257"/>
      <c r="C936" s="258"/>
      <c r="D936" s="257"/>
      <c r="E936" s="257"/>
      <c r="F936" s="257"/>
      <c r="G936" s="257"/>
      <c r="H936" s="257"/>
      <c r="I936" s="257"/>
      <c r="J936" s="257"/>
      <c r="K936" s="257"/>
      <c r="L936" s="257"/>
      <c r="M936" s="259"/>
      <c r="N936" s="10"/>
      <c r="O936" s="133"/>
      <c r="P936" s="133"/>
      <c r="Q936" s="10"/>
      <c r="R936" s="10"/>
      <c r="S936" s="10"/>
      <c r="T936" s="10"/>
      <c r="U936" s="10"/>
      <c r="V936" s="10"/>
      <c r="W936" s="10"/>
      <c r="X936" s="10"/>
    </row>
    <row r="937">
      <c r="A937" s="257"/>
      <c r="B937" s="257"/>
      <c r="C937" s="258"/>
      <c r="D937" s="257"/>
      <c r="E937" s="257"/>
      <c r="F937" s="257"/>
      <c r="G937" s="257"/>
      <c r="H937" s="257"/>
      <c r="I937" s="257"/>
      <c r="J937" s="257"/>
      <c r="K937" s="257"/>
      <c r="L937" s="257"/>
      <c r="M937" s="259"/>
      <c r="N937" s="10"/>
      <c r="O937" s="133"/>
      <c r="P937" s="133"/>
      <c r="Q937" s="10"/>
      <c r="R937" s="10"/>
      <c r="S937" s="10"/>
      <c r="T937" s="10"/>
      <c r="U937" s="10"/>
      <c r="V937" s="10"/>
      <c r="W937" s="10"/>
      <c r="X937" s="10"/>
    </row>
    <row r="938">
      <c r="A938" s="257"/>
      <c r="B938" s="257"/>
      <c r="C938" s="258"/>
      <c r="D938" s="257"/>
      <c r="E938" s="257"/>
      <c r="F938" s="257"/>
      <c r="G938" s="257"/>
      <c r="H938" s="257"/>
      <c r="I938" s="257"/>
      <c r="J938" s="257"/>
      <c r="K938" s="257"/>
      <c r="L938" s="257"/>
      <c r="M938" s="259"/>
      <c r="N938" s="10"/>
      <c r="O938" s="133"/>
      <c r="P938" s="133"/>
      <c r="Q938" s="10"/>
      <c r="R938" s="10"/>
      <c r="S938" s="10"/>
      <c r="T938" s="10"/>
      <c r="U938" s="10"/>
      <c r="V938" s="10"/>
      <c r="W938" s="10"/>
      <c r="X938" s="10"/>
    </row>
    <row r="939">
      <c r="A939" s="257"/>
      <c r="B939" s="257"/>
      <c r="C939" s="258"/>
      <c r="D939" s="257"/>
      <c r="E939" s="257"/>
      <c r="F939" s="257"/>
      <c r="G939" s="257"/>
      <c r="H939" s="257"/>
      <c r="I939" s="257"/>
      <c r="J939" s="257"/>
      <c r="K939" s="257"/>
      <c r="L939" s="257"/>
      <c r="M939" s="259"/>
      <c r="N939" s="10"/>
      <c r="O939" s="133"/>
      <c r="P939" s="133"/>
      <c r="Q939" s="10"/>
      <c r="R939" s="10"/>
      <c r="S939" s="10"/>
      <c r="T939" s="10"/>
      <c r="U939" s="10"/>
      <c r="V939" s="10"/>
      <c r="W939" s="10"/>
      <c r="X939" s="10"/>
    </row>
    <row r="940">
      <c r="A940" s="257"/>
      <c r="B940" s="257"/>
      <c r="C940" s="258"/>
      <c r="D940" s="257"/>
      <c r="E940" s="257"/>
      <c r="F940" s="257"/>
      <c r="G940" s="257"/>
      <c r="H940" s="257"/>
      <c r="I940" s="257"/>
      <c r="J940" s="257"/>
      <c r="K940" s="257"/>
      <c r="L940" s="257"/>
      <c r="M940" s="259"/>
      <c r="N940" s="10"/>
      <c r="O940" s="133"/>
      <c r="P940" s="133"/>
      <c r="Q940" s="10"/>
      <c r="R940" s="10"/>
      <c r="S940" s="10"/>
      <c r="T940" s="10"/>
      <c r="U940" s="10"/>
      <c r="V940" s="10"/>
      <c r="W940" s="10"/>
      <c r="X940" s="10"/>
    </row>
    <row r="941">
      <c r="A941" s="257"/>
      <c r="B941" s="257"/>
      <c r="C941" s="258"/>
      <c r="D941" s="257"/>
      <c r="E941" s="257"/>
      <c r="F941" s="257"/>
      <c r="G941" s="257"/>
      <c r="H941" s="257"/>
      <c r="I941" s="257"/>
      <c r="J941" s="257"/>
      <c r="K941" s="257"/>
      <c r="L941" s="257"/>
      <c r="M941" s="259"/>
      <c r="N941" s="10"/>
      <c r="O941" s="133"/>
      <c r="P941" s="133"/>
      <c r="Q941" s="10"/>
      <c r="R941" s="10"/>
      <c r="S941" s="10"/>
      <c r="T941" s="10"/>
      <c r="U941" s="10"/>
      <c r="V941" s="10"/>
      <c r="W941" s="10"/>
      <c r="X941" s="10"/>
    </row>
    <row r="942">
      <c r="A942" s="257"/>
      <c r="B942" s="257"/>
      <c r="C942" s="258"/>
      <c r="D942" s="257"/>
      <c r="E942" s="257"/>
      <c r="F942" s="257"/>
      <c r="G942" s="257"/>
      <c r="H942" s="257"/>
      <c r="I942" s="257"/>
      <c r="J942" s="257"/>
      <c r="K942" s="257"/>
      <c r="L942" s="257"/>
      <c r="M942" s="259"/>
      <c r="N942" s="10"/>
      <c r="O942" s="133"/>
      <c r="P942" s="133"/>
      <c r="Q942" s="10"/>
      <c r="R942" s="10"/>
      <c r="S942" s="10"/>
      <c r="T942" s="10"/>
      <c r="U942" s="10"/>
      <c r="V942" s="10"/>
      <c r="W942" s="10"/>
      <c r="X942" s="10"/>
    </row>
    <row r="943">
      <c r="A943" s="257"/>
      <c r="B943" s="257"/>
      <c r="C943" s="258"/>
      <c r="D943" s="257"/>
      <c r="E943" s="257"/>
      <c r="F943" s="257"/>
      <c r="G943" s="257"/>
      <c r="H943" s="257"/>
      <c r="I943" s="257"/>
      <c r="J943" s="257"/>
      <c r="K943" s="257"/>
      <c r="L943" s="257"/>
      <c r="M943" s="259"/>
      <c r="N943" s="10"/>
      <c r="O943" s="133"/>
      <c r="P943" s="133"/>
      <c r="Q943" s="10"/>
      <c r="R943" s="10"/>
      <c r="S943" s="10"/>
      <c r="T943" s="10"/>
      <c r="U943" s="10"/>
      <c r="V943" s="10"/>
      <c r="W943" s="10"/>
      <c r="X943" s="10"/>
    </row>
    <row r="944">
      <c r="A944" s="257"/>
      <c r="B944" s="257"/>
      <c r="C944" s="258"/>
      <c r="D944" s="257"/>
      <c r="E944" s="257"/>
      <c r="F944" s="257"/>
      <c r="G944" s="257"/>
      <c r="H944" s="257"/>
      <c r="I944" s="257"/>
      <c r="J944" s="257"/>
      <c r="K944" s="257"/>
      <c r="L944" s="257"/>
      <c r="M944" s="259"/>
      <c r="N944" s="10"/>
      <c r="O944" s="133"/>
      <c r="P944" s="133"/>
      <c r="Q944" s="10"/>
      <c r="R944" s="10"/>
      <c r="S944" s="10"/>
      <c r="T944" s="10"/>
      <c r="U944" s="10"/>
      <c r="V944" s="10"/>
      <c r="W944" s="10"/>
      <c r="X944" s="10"/>
    </row>
    <row r="945">
      <c r="A945" s="257"/>
      <c r="B945" s="257"/>
      <c r="C945" s="258"/>
      <c r="D945" s="257"/>
      <c r="E945" s="257"/>
      <c r="F945" s="257"/>
      <c r="G945" s="257"/>
      <c r="H945" s="257"/>
      <c r="I945" s="257"/>
      <c r="J945" s="257"/>
      <c r="K945" s="257"/>
      <c r="L945" s="257"/>
      <c r="M945" s="259"/>
      <c r="N945" s="10"/>
      <c r="O945" s="133"/>
      <c r="P945" s="133"/>
      <c r="Q945" s="10"/>
      <c r="R945" s="10"/>
      <c r="S945" s="10"/>
      <c r="T945" s="10"/>
      <c r="U945" s="10"/>
      <c r="V945" s="10"/>
      <c r="W945" s="10"/>
      <c r="X945" s="10"/>
    </row>
    <row r="946">
      <c r="A946" s="257"/>
      <c r="B946" s="257"/>
      <c r="C946" s="258"/>
      <c r="D946" s="257"/>
      <c r="E946" s="257"/>
      <c r="F946" s="257"/>
      <c r="G946" s="257"/>
      <c r="H946" s="257"/>
      <c r="I946" s="257"/>
      <c r="J946" s="257"/>
      <c r="K946" s="257"/>
      <c r="L946" s="257"/>
      <c r="M946" s="259"/>
      <c r="N946" s="10"/>
      <c r="O946" s="133"/>
      <c r="P946" s="133"/>
      <c r="Q946" s="10"/>
      <c r="R946" s="10"/>
      <c r="S946" s="10"/>
      <c r="T946" s="10"/>
      <c r="U946" s="10"/>
      <c r="V946" s="10"/>
      <c r="W946" s="10"/>
      <c r="X946" s="10"/>
    </row>
    <row r="947">
      <c r="A947" s="257"/>
      <c r="B947" s="257"/>
      <c r="C947" s="258"/>
      <c r="D947" s="257"/>
      <c r="E947" s="257"/>
      <c r="F947" s="257"/>
      <c r="G947" s="257"/>
      <c r="H947" s="257"/>
      <c r="I947" s="257"/>
      <c r="J947" s="257"/>
      <c r="K947" s="257"/>
      <c r="L947" s="257"/>
      <c r="M947" s="259"/>
      <c r="N947" s="10"/>
      <c r="O947" s="133"/>
      <c r="P947" s="133"/>
      <c r="Q947" s="10"/>
      <c r="R947" s="10"/>
      <c r="S947" s="10"/>
      <c r="T947" s="10"/>
      <c r="U947" s="10"/>
      <c r="V947" s="10"/>
      <c r="W947" s="10"/>
      <c r="X947" s="10"/>
    </row>
    <row r="948">
      <c r="A948" s="257"/>
      <c r="B948" s="257"/>
      <c r="C948" s="258"/>
      <c r="D948" s="257"/>
      <c r="E948" s="257"/>
      <c r="F948" s="257"/>
      <c r="G948" s="257"/>
      <c r="H948" s="257"/>
      <c r="I948" s="257"/>
      <c r="J948" s="257"/>
      <c r="K948" s="257"/>
      <c r="L948" s="257"/>
      <c r="M948" s="259"/>
      <c r="N948" s="10"/>
      <c r="O948" s="133"/>
      <c r="P948" s="133"/>
      <c r="Q948" s="10"/>
      <c r="R948" s="10"/>
      <c r="S948" s="10"/>
      <c r="T948" s="10"/>
      <c r="U948" s="10"/>
      <c r="V948" s="10"/>
      <c r="W948" s="10"/>
      <c r="X948" s="10"/>
    </row>
    <row r="949">
      <c r="A949" s="257"/>
      <c r="B949" s="257"/>
      <c r="C949" s="258"/>
      <c r="D949" s="257"/>
      <c r="E949" s="257"/>
      <c r="F949" s="257"/>
      <c r="G949" s="257"/>
      <c r="H949" s="257"/>
      <c r="I949" s="257"/>
      <c r="J949" s="257"/>
      <c r="K949" s="257"/>
      <c r="L949" s="257"/>
      <c r="M949" s="259"/>
      <c r="N949" s="10"/>
      <c r="O949" s="133"/>
      <c r="P949" s="133"/>
      <c r="Q949" s="10"/>
      <c r="R949" s="10"/>
      <c r="S949" s="10"/>
      <c r="T949" s="10"/>
      <c r="U949" s="10"/>
      <c r="V949" s="10"/>
      <c r="W949" s="10"/>
      <c r="X949" s="10"/>
    </row>
    <row r="950">
      <c r="A950" s="257"/>
      <c r="B950" s="257"/>
      <c r="C950" s="258"/>
      <c r="D950" s="257"/>
      <c r="E950" s="257"/>
      <c r="F950" s="257"/>
      <c r="G950" s="257"/>
      <c r="H950" s="257"/>
      <c r="I950" s="257"/>
      <c r="J950" s="257"/>
      <c r="K950" s="257"/>
      <c r="L950" s="257"/>
      <c r="M950" s="259"/>
      <c r="N950" s="10"/>
      <c r="O950" s="133"/>
      <c r="P950" s="133"/>
      <c r="Q950" s="10"/>
      <c r="R950" s="10"/>
      <c r="S950" s="10"/>
      <c r="T950" s="10"/>
      <c r="U950" s="10"/>
      <c r="V950" s="10"/>
      <c r="W950" s="10"/>
      <c r="X950" s="10"/>
    </row>
    <row r="951">
      <c r="A951" s="257"/>
      <c r="B951" s="257"/>
      <c r="C951" s="258"/>
      <c r="D951" s="257"/>
      <c r="E951" s="257"/>
      <c r="F951" s="257"/>
      <c r="G951" s="257"/>
      <c r="H951" s="257"/>
      <c r="I951" s="257"/>
      <c r="J951" s="257"/>
      <c r="K951" s="257"/>
      <c r="L951" s="257"/>
      <c r="M951" s="259"/>
      <c r="N951" s="10"/>
      <c r="O951" s="133"/>
      <c r="P951" s="133"/>
      <c r="Q951" s="10"/>
      <c r="R951" s="10"/>
      <c r="S951" s="10"/>
      <c r="T951" s="10"/>
      <c r="U951" s="10"/>
      <c r="V951" s="10"/>
      <c r="W951" s="10"/>
      <c r="X951" s="10"/>
    </row>
    <row r="952">
      <c r="A952" s="257"/>
      <c r="B952" s="257"/>
      <c r="C952" s="258"/>
      <c r="D952" s="257"/>
      <c r="E952" s="257"/>
      <c r="F952" s="257"/>
      <c r="G952" s="257"/>
      <c r="H952" s="257"/>
      <c r="I952" s="257"/>
      <c r="J952" s="257"/>
      <c r="K952" s="257"/>
      <c r="L952" s="257"/>
      <c r="M952" s="259"/>
      <c r="N952" s="10"/>
      <c r="O952" s="133"/>
      <c r="P952" s="133"/>
      <c r="Q952" s="10"/>
      <c r="R952" s="10"/>
      <c r="S952" s="10"/>
      <c r="T952" s="10"/>
      <c r="U952" s="10"/>
      <c r="V952" s="10"/>
      <c r="W952" s="10"/>
      <c r="X952" s="10"/>
    </row>
    <row r="953">
      <c r="A953" s="257"/>
      <c r="B953" s="257"/>
      <c r="C953" s="258"/>
      <c r="D953" s="257"/>
      <c r="E953" s="257"/>
      <c r="F953" s="257"/>
      <c r="G953" s="257"/>
      <c r="H953" s="257"/>
      <c r="I953" s="257"/>
      <c r="J953" s="257"/>
      <c r="K953" s="257"/>
      <c r="L953" s="257"/>
      <c r="M953" s="259"/>
      <c r="N953" s="10"/>
      <c r="O953" s="133"/>
      <c r="P953" s="133"/>
      <c r="Q953" s="10"/>
      <c r="R953" s="10"/>
      <c r="S953" s="10"/>
      <c r="T953" s="10"/>
      <c r="U953" s="10"/>
      <c r="V953" s="10"/>
      <c r="W953" s="10"/>
      <c r="X953" s="10"/>
    </row>
    <row r="954">
      <c r="A954" s="257"/>
      <c r="B954" s="257"/>
      <c r="C954" s="258"/>
      <c r="D954" s="257"/>
      <c r="E954" s="257"/>
      <c r="F954" s="257"/>
      <c r="G954" s="257"/>
      <c r="H954" s="257"/>
      <c r="I954" s="257"/>
      <c r="J954" s="257"/>
      <c r="K954" s="257"/>
      <c r="L954" s="257"/>
      <c r="M954" s="259"/>
      <c r="N954" s="10"/>
      <c r="O954" s="133"/>
      <c r="P954" s="133"/>
      <c r="Q954" s="10"/>
      <c r="R954" s="10"/>
      <c r="S954" s="10"/>
      <c r="T954" s="10"/>
      <c r="U954" s="10"/>
      <c r="V954" s="10"/>
      <c r="W954" s="10"/>
      <c r="X954" s="10"/>
    </row>
    <row r="955">
      <c r="A955" s="257"/>
      <c r="B955" s="257"/>
      <c r="C955" s="258"/>
      <c r="D955" s="257"/>
      <c r="E955" s="257"/>
      <c r="F955" s="257"/>
      <c r="G955" s="257"/>
      <c r="H955" s="257"/>
      <c r="I955" s="257"/>
      <c r="J955" s="257"/>
      <c r="K955" s="257"/>
      <c r="L955" s="257"/>
      <c r="M955" s="259"/>
      <c r="N955" s="10"/>
      <c r="O955" s="133"/>
      <c r="P955" s="133"/>
      <c r="Q955" s="10"/>
      <c r="R955" s="10"/>
      <c r="S955" s="10"/>
      <c r="T955" s="10"/>
      <c r="U955" s="10"/>
      <c r="V955" s="10"/>
      <c r="W955" s="10"/>
      <c r="X955" s="10"/>
    </row>
    <row r="956">
      <c r="A956" s="257"/>
      <c r="B956" s="257"/>
      <c r="C956" s="258"/>
      <c r="D956" s="257"/>
      <c r="E956" s="257"/>
      <c r="F956" s="257"/>
      <c r="G956" s="257"/>
      <c r="H956" s="257"/>
      <c r="I956" s="257"/>
      <c r="J956" s="257"/>
      <c r="K956" s="257"/>
      <c r="L956" s="257"/>
      <c r="M956" s="259"/>
      <c r="N956" s="10"/>
      <c r="O956" s="133"/>
      <c r="P956" s="133"/>
      <c r="Q956" s="10"/>
      <c r="R956" s="10"/>
      <c r="S956" s="10"/>
      <c r="T956" s="10"/>
      <c r="U956" s="10"/>
      <c r="V956" s="10"/>
      <c r="W956" s="10"/>
      <c r="X956" s="10"/>
    </row>
    <row r="957">
      <c r="A957" s="257"/>
      <c r="B957" s="257"/>
      <c r="C957" s="258"/>
      <c r="D957" s="257"/>
      <c r="E957" s="257"/>
      <c r="F957" s="257"/>
      <c r="G957" s="257"/>
      <c r="H957" s="257"/>
      <c r="I957" s="257"/>
      <c r="J957" s="257"/>
      <c r="K957" s="257"/>
      <c r="L957" s="257"/>
      <c r="M957" s="259"/>
      <c r="N957" s="10"/>
      <c r="O957" s="133"/>
      <c r="P957" s="133"/>
      <c r="Q957" s="10"/>
      <c r="R957" s="10"/>
      <c r="S957" s="10"/>
      <c r="T957" s="10"/>
      <c r="U957" s="10"/>
      <c r="V957" s="10"/>
      <c r="W957" s="10"/>
      <c r="X957" s="10"/>
    </row>
    <row r="958">
      <c r="A958" s="257"/>
      <c r="B958" s="257"/>
      <c r="C958" s="258"/>
      <c r="D958" s="257"/>
      <c r="E958" s="257"/>
      <c r="F958" s="257"/>
      <c r="G958" s="257"/>
      <c r="H958" s="257"/>
      <c r="I958" s="257"/>
      <c r="J958" s="257"/>
      <c r="K958" s="257"/>
      <c r="L958" s="257"/>
      <c r="M958" s="259"/>
      <c r="N958" s="10"/>
      <c r="O958" s="133"/>
      <c r="P958" s="133"/>
      <c r="Q958" s="10"/>
      <c r="R958" s="10"/>
      <c r="S958" s="10"/>
      <c r="T958" s="10"/>
      <c r="U958" s="10"/>
      <c r="V958" s="10"/>
      <c r="W958" s="10"/>
      <c r="X958" s="10"/>
    </row>
    <row r="959">
      <c r="A959" s="257"/>
      <c r="B959" s="257"/>
      <c r="C959" s="258"/>
      <c r="D959" s="257"/>
      <c r="E959" s="257"/>
      <c r="F959" s="257"/>
      <c r="G959" s="257"/>
      <c r="H959" s="257"/>
      <c r="I959" s="257"/>
      <c r="J959" s="257"/>
      <c r="K959" s="257"/>
      <c r="L959" s="257"/>
      <c r="M959" s="259"/>
      <c r="N959" s="10"/>
      <c r="O959" s="133"/>
      <c r="P959" s="133"/>
      <c r="Q959" s="10"/>
      <c r="R959" s="10"/>
      <c r="S959" s="10"/>
      <c r="T959" s="10"/>
      <c r="U959" s="10"/>
      <c r="V959" s="10"/>
      <c r="W959" s="10"/>
      <c r="X959" s="10"/>
    </row>
    <row r="960">
      <c r="A960" s="257"/>
      <c r="B960" s="257"/>
      <c r="C960" s="258"/>
      <c r="D960" s="257"/>
      <c r="E960" s="257"/>
      <c r="F960" s="257"/>
      <c r="G960" s="257"/>
      <c r="H960" s="257"/>
      <c r="I960" s="257"/>
      <c r="J960" s="257"/>
      <c r="K960" s="257"/>
      <c r="L960" s="257"/>
      <c r="M960" s="259"/>
      <c r="N960" s="10"/>
      <c r="O960" s="133"/>
      <c r="P960" s="133"/>
      <c r="Q960" s="10"/>
      <c r="R960" s="10"/>
      <c r="S960" s="10"/>
      <c r="T960" s="10"/>
      <c r="U960" s="10"/>
      <c r="V960" s="10"/>
      <c r="W960" s="10"/>
      <c r="X960" s="10"/>
    </row>
    <row r="961">
      <c r="A961" s="257"/>
      <c r="B961" s="257"/>
      <c r="C961" s="258"/>
      <c r="D961" s="257"/>
      <c r="E961" s="257"/>
      <c r="F961" s="257"/>
      <c r="G961" s="257"/>
      <c r="H961" s="257"/>
      <c r="I961" s="257"/>
      <c r="J961" s="257"/>
      <c r="K961" s="257"/>
      <c r="L961" s="257"/>
      <c r="M961" s="259"/>
      <c r="N961" s="10"/>
      <c r="O961" s="133"/>
      <c r="P961" s="133"/>
      <c r="Q961" s="10"/>
      <c r="R961" s="10"/>
      <c r="S961" s="10"/>
      <c r="T961" s="10"/>
      <c r="U961" s="10"/>
      <c r="V961" s="10"/>
      <c r="W961" s="10"/>
      <c r="X961" s="10"/>
    </row>
    <row r="962">
      <c r="A962" s="257"/>
      <c r="B962" s="257"/>
      <c r="C962" s="258"/>
      <c r="D962" s="257"/>
      <c r="E962" s="257"/>
      <c r="F962" s="257"/>
      <c r="G962" s="257"/>
      <c r="H962" s="257"/>
      <c r="I962" s="257"/>
      <c r="J962" s="257"/>
      <c r="K962" s="257"/>
      <c r="L962" s="257"/>
      <c r="M962" s="259"/>
      <c r="N962" s="10"/>
      <c r="O962" s="133"/>
      <c r="P962" s="133"/>
      <c r="Q962" s="10"/>
      <c r="R962" s="10"/>
      <c r="S962" s="10"/>
      <c r="T962" s="10"/>
      <c r="U962" s="10"/>
      <c r="V962" s="10"/>
      <c r="W962" s="10"/>
      <c r="X962" s="10"/>
    </row>
    <row r="963">
      <c r="A963" s="257"/>
      <c r="B963" s="257"/>
      <c r="C963" s="258"/>
      <c r="D963" s="257"/>
      <c r="E963" s="257"/>
      <c r="F963" s="257"/>
      <c r="G963" s="257"/>
      <c r="H963" s="257"/>
      <c r="I963" s="257"/>
      <c r="J963" s="257"/>
      <c r="K963" s="257"/>
      <c r="L963" s="257"/>
      <c r="M963" s="259"/>
      <c r="N963" s="10"/>
      <c r="O963" s="133"/>
      <c r="P963" s="133"/>
      <c r="Q963" s="10"/>
      <c r="R963" s="10"/>
      <c r="S963" s="10"/>
      <c r="T963" s="10"/>
      <c r="U963" s="10"/>
      <c r="V963" s="10"/>
      <c r="W963" s="10"/>
      <c r="X963" s="10"/>
    </row>
    <row r="964">
      <c r="A964" s="257"/>
      <c r="B964" s="257"/>
      <c r="C964" s="258"/>
      <c r="D964" s="257"/>
      <c r="E964" s="257"/>
      <c r="F964" s="257"/>
      <c r="G964" s="257"/>
      <c r="H964" s="257"/>
      <c r="I964" s="257"/>
      <c r="J964" s="257"/>
      <c r="K964" s="257"/>
      <c r="L964" s="257"/>
      <c r="M964" s="259"/>
      <c r="N964" s="10"/>
      <c r="O964" s="133"/>
      <c r="P964" s="133"/>
      <c r="Q964" s="10"/>
      <c r="R964" s="10"/>
      <c r="S964" s="10"/>
      <c r="T964" s="10"/>
      <c r="U964" s="10"/>
      <c r="V964" s="10"/>
      <c r="W964" s="10"/>
      <c r="X964" s="10"/>
    </row>
    <row r="965">
      <c r="A965" s="257"/>
      <c r="B965" s="257"/>
      <c r="C965" s="258"/>
      <c r="D965" s="257"/>
      <c r="E965" s="257"/>
      <c r="F965" s="257"/>
      <c r="G965" s="257"/>
      <c r="H965" s="257"/>
      <c r="I965" s="257"/>
      <c r="J965" s="257"/>
      <c r="K965" s="257"/>
      <c r="L965" s="257"/>
      <c r="M965" s="259"/>
      <c r="N965" s="10"/>
      <c r="O965" s="133"/>
      <c r="P965" s="133"/>
      <c r="Q965" s="10"/>
      <c r="R965" s="10"/>
      <c r="S965" s="10"/>
      <c r="T965" s="10"/>
      <c r="U965" s="10"/>
      <c r="V965" s="10"/>
      <c r="W965" s="10"/>
      <c r="X965" s="10"/>
    </row>
    <row r="966">
      <c r="A966" s="257"/>
      <c r="B966" s="257"/>
      <c r="C966" s="258"/>
      <c r="D966" s="257"/>
      <c r="E966" s="257"/>
      <c r="F966" s="257"/>
      <c r="G966" s="257"/>
      <c r="H966" s="257"/>
      <c r="I966" s="257"/>
      <c r="J966" s="257"/>
      <c r="K966" s="257"/>
      <c r="L966" s="257"/>
      <c r="M966" s="259"/>
      <c r="N966" s="10"/>
      <c r="O966" s="133"/>
      <c r="P966" s="133"/>
      <c r="Q966" s="10"/>
      <c r="R966" s="10"/>
      <c r="S966" s="10"/>
      <c r="T966" s="10"/>
      <c r="U966" s="10"/>
      <c r="V966" s="10"/>
      <c r="W966" s="10"/>
      <c r="X966" s="10"/>
    </row>
    <row r="967">
      <c r="A967" s="257"/>
      <c r="B967" s="257"/>
      <c r="C967" s="258"/>
      <c r="D967" s="257"/>
      <c r="E967" s="257"/>
      <c r="F967" s="257"/>
      <c r="G967" s="257"/>
      <c r="H967" s="257"/>
      <c r="I967" s="257"/>
      <c r="J967" s="257"/>
      <c r="K967" s="257"/>
      <c r="L967" s="257"/>
      <c r="M967" s="259"/>
      <c r="N967" s="10"/>
      <c r="O967" s="133"/>
      <c r="P967" s="133"/>
      <c r="Q967" s="10"/>
      <c r="R967" s="10"/>
      <c r="S967" s="10"/>
      <c r="T967" s="10"/>
      <c r="U967" s="10"/>
      <c r="V967" s="10"/>
      <c r="W967" s="10"/>
      <c r="X967" s="10"/>
    </row>
    <row r="968">
      <c r="A968" s="257"/>
      <c r="B968" s="257"/>
      <c r="C968" s="258"/>
      <c r="D968" s="257"/>
      <c r="E968" s="257"/>
      <c r="F968" s="257"/>
      <c r="G968" s="257"/>
      <c r="H968" s="257"/>
      <c r="I968" s="257"/>
      <c r="J968" s="257"/>
      <c r="K968" s="257"/>
      <c r="L968" s="257"/>
      <c r="M968" s="259"/>
      <c r="N968" s="10"/>
      <c r="O968" s="133"/>
      <c r="P968" s="133"/>
      <c r="Q968" s="10"/>
      <c r="R968" s="10"/>
      <c r="S968" s="10"/>
      <c r="T968" s="10"/>
      <c r="U968" s="10"/>
      <c r="V968" s="10"/>
      <c r="W968" s="10"/>
      <c r="X968" s="10"/>
    </row>
    <row r="969">
      <c r="A969" s="257"/>
      <c r="B969" s="257"/>
      <c r="C969" s="258"/>
      <c r="D969" s="257"/>
      <c r="E969" s="257"/>
      <c r="F969" s="257"/>
      <c r="G969" s="257"/>
      <c r="H969" s="257"/>
      <c r="I969" s="257"/>
      <c r="J969" s="257"/>
      <c r="K969" s="257"/>
      <c r="L969" s="257"/>
      <c r="M969" s="259"/>
      <c r="N969" s="10"/>
      <c r="O969" s="133"/>
      <c r="P969" s="133"/>
      <c r="Q969" s="10"/>
      <c r="R969" s="10"/>
      <c r="S969" s="10"/>
      <c r="T969" s="10"/>
      <c r="U969" s="10"/>
      <c r="V969" s="10"/>
      <c r="W969" s="10"/>
      <c r="X969" s="10"/>
    </row>
    <row r="970">
      <c r="A970" s="257"/>
      <c r="B970" s="257"/>
      <c r="C970" s="258"/>
      <c r="D970" s="257"/>
      <c r="E970" s="257"/>
      <c r="F970" s="257"/>
      <c r="G970" s="257"/>
      <c r="H970" s="257"/>
      <c r="I970" s="257"/>
      <c r="J970" s="257"/>
      <c r="K970" s="257"/>
      <c r="L970" s="257"/>
      <c r="M970" s="259"/>
      <c r="N970" s="10"/>
      <c r="O970" s="133"/>
      <c r="P970" s="133"/>
      <c r="Q970" s="10"/>
      <c r="R970" s="10"/>
      <c r="S970" s="10"/>
      <c r="T970" s="10"/>
      <c r="U970" s="10"/>
      <c r="V970" s="10"/>
      <c r="W970" s="10"/>
      <c r="X970" s="10"/>
    </row>
    <row r="971">
      <c r="A971" s="257"/>
      <c r="B971" s="257"/>
      <c r="C971" s="258"/>
      <c r="D971" s="257"/>
      <c r="E971" s="257"/>
      <c r="F971" s="257"/>
      <c r="G971" s="257"/>
      <c r="H971" s="257"/>
      <c r="I971" s="257"/>
      <c r="J971" s="257"/>
      <c r="K971" s="257"/>
      <c r="L971" s="257"/>
      <c r="M971" s="259"/>
      <c r="N971" s="10"/>
      <c r="O971" s="133"/>
      <c r="P971" s="133"/>
      <c r="Q971" s="10"/>
      <c r="R971" s="10"/>
      <c r="S971" s="10"/>
      <c r="T971" s="10"/>
      <c r="U971" s="10"/>
      <c r="V971" s="10"/>
      <c r="W971" s="10"/>
      <c r="X971" s="10"/>
    </row>
    <row r="972">
      <c r="A972" s="257"/>
      <c r="B972" s="257"/>
      <c r="C972" s="258"/>
      <c r="D972" s="257"/>
      <c r="E972" s="257"/>
      <c r="F972" s="257"/>
      <c r="G972" s="257"/>
      <c r="H972" s="257"/>
      <c r="I972" s="257"/>
      <c r="J972" s="257"/>
      <c r="K972" s="257"/>
      <c r="L972" s="257"/>
      <c r="M972" s="259"/>
      <c r="N972" s="10"/>
      <c r="O972" s="133"/>
      <c r="P972" s="133"/>
      <c r="Q972" s="10"/>
      <c r="R972" s="10"/>
      <c r="S972" s="10"/>
      <c r="T972" s="10"/>
      <c r="U972" s="10"/>
      <c r="V972" s="10"/>
      <c r="W972" s="10"/>
      <c r="X972" s="10"/>
    </row>
    <row r="973">
      <c r="A973" s="257"/>
      <c r="B973" s="257"/>
      <c r="C973" s="258"/>
      <c r="D973" s="257"/>
      <c r="E973" s="257"/>
      <c r="F973" s="257"/>
      <c r="G973" s="257"/>
      <c r="H973" s="257"/>
      <c r="I973" s="257"/>
      <c r="J973" s="257"/>
      <c r="K973" s="257"/>
      <c r="L973" s="257"/>
      <c r="M973" s="259"/>
      <c r="N973" s="10"/>
      <c r="O973" s="133"/>
      <c r="P973" s="133"/>
      <c r="Q973" s="10"/>
      <c r="R973" s="10"/>
      <c r="S973" s="10"/>
      <c r="T973" s="10"/>
      <c r="U973" s="10"/>
      <c r="V973" s="10"/>
      <c r="W973" s="10"/>
      <c r="X973" s="10"/>
    </row>
    <row r="974">
      <c r="A974" s="257"/>
      <c r="B974" s="257"/>
      <c r="C974" s="258"/>
      <c r="D974" s="257"/>
      <c r="E974" s="257"/>
      <c r="F974" s="257"/>
      <c r="G974" s="257"/>
      <c r="H974" s="257"/>
      <c r="I974" s="257"/>
      <c r="J974" s="257"/>
      <c r="K974" s="257"/>
      <c r="L974" s="257"/>
      <c r="M974" s="259"/>
      <c r="N974" s="10"/>
      <c r="O974" s="133"/>
      <c r="P974" s="133"/>
      <c r="Q974" s="10"/>
      <c r="R974" s="10"/>
      <c r="S974" s="10"/>
      <c r="T974" s="10"/>
      <c r="U974" s="10"/>
      <c r="V974" s="10"/>
      <c r="W974" s="10"/>
      <c r="X974" s="10"/>
    </row>
    <row r="975">
      <c r="A975" s="257"/>
      <c r="B975" s="257"/>
      <c r="C975" s="258"/>
      <c r="D975" s="257"/>
      <c r="E975" s="257"/>
      <c r="F975" s="257"/>
      <c r="G975" s="257"/>
      <c r="H975" s="257"/>
      <c r="I975" s="257"/>
      <c r="J975" s="257"/>
      <c r="K975" s="257"/>
      <c r="L975" s="257"/>
      <c r="M975" s="259"/>
      <c r="N975" s="10"/>
      <c r="O975" s="133"/>
      <c r="P975" s="133"/>
      <c r="Q975" s="10"/>
      <c r="R975" s="10"/>
      <c r="S975" s="10"/>
      <c r="T975" s="10"/>
      <c r="U975" s="10"/>
      <c r="V975" s="10"/>
      <c r="W975" s="10"/>
      <c r="X975" s="10"/>
    </row>
    <row r="976">
      <c r="A976" s="257"/>
      <c r="B976" s="257"/>
      <c r="C976" s="258"/>
      <c r="D976" s="257"/>
      <c r="E976" s="257"/>
      <c r="F976" s="257"/>
      <c r="G976" s="257"/>
      <c r="H976" s="257"/>
      <c r="I976" s="257"/>
      <c r="J976" s="257"/>
      <c r="K976" s="257"/>
      <c r="L976" s="257"/>
      <c r="M976" s="259"/>
      <c r="N976" s="10"/>
      <c r="O976" s="133"/>
      <c r="P976" s="133"/>
      <c r="Q976" s="10"/>
      <c r="R976" s="10"/>
      <c r="S976" s="10"/>
      <c r="T976" s="10"/>
      <c r="U976" s="10"/>
      <c r="V976" s="10"/>
      <c r="W976" s="10"/>
      <c r="X976" s="10"/>
    </row>
    <row r="977">
      <c r="A977" s="257"/>
      <c r="B977" s="257"/>
      <c r="C977" s="258"/>
      <c r="D977" s="257"/>
      <c r="E977" s="257"/>
      <c r="F977" s="257"/>
      <c r="G977" s="257"/>
      <c r="H977" s="257"/>
      <c r="I977" s="257"/>
      <c r="J977" s="257"/>
      <c r="K977" s="257"/>
      <c r="L977" s="257"/>
      <c r="M977" s="259"/>
      <c r="N977" s="10"/>
      <c r="O977" s="133"/>
      <c r="P977" s="133"/>
      <c r="Q977" s="10"/>
      <c r="R977" s="10"/>
      <c r="S977" s="10"/>
      <c r="T977" s="10"/>
      <c r="U977" s="10"/>
      <c r="V977" s="10"/>
      <c r="W977" s="10"/>
      <c r="X977" s="10"/>
    </row>
    <row r="978">
      <c r="A978" s="257"/>
      <c r="B978" s="257"/>
      <c r="C978" s="258"/>
      <c r="D978" s="257"/>
      <c r="E978" s="257"/>
      <c r="F978" s="257"/>
      <c r="G978" s="257"/>
      <c r="H978" s="257"/>
      <c r="I978" s="257"/>
      <c r="J978" s="257"/>
      <c r="K978" s="257"/>
      <c r="L978" s="257"/>
      <c r="M978" s="259"/>
      <c r="N978" s="10"/>
      <c r="O978" s="133"/>
      <c r="P978" s="133"/>
      <c r="Q978" s="10"/>
      <c r="R978" s="10"/>
      <c r="S978" s="10"/>
      <c r="T978" s="10"/>
      <c r="U978" s="10"/>
      <c r="V978" s="10"/>
      <c r="W978" s="10"/>
      <c r="X978" s="10"/>
    </row>
    <row r="979">
      <c r="A979" s="257"/>
      <c r="B979" s="257"/>
      <c r="C979" s="258"/>
      <c r="D979" s="257"/>
      <c r="E979" s="257"/>
      <c r="F979" s="257"/>
      <c r="G979" s="257"/>
      <c r="H979" s="257"/>
      <c r="I979" s="257"/>
      <c r="J979" s="257"/>
      <c r="K979" s="257"/>
      <c r="L979" s="257"/>
      <c r="M979" s="259"/>
      <c r="N979" s="10"/>
      <c r="O979" s="133"/>
      <c r="P979" s="133"/>
      <c r="Q979" s="10"/>
      <c r="R979" s="10"/>
      <c r="S979" s="10"/>
      <c r="T979" s="10"/>
      <c r="U979" s="10"/>
      <c r="V979" s="10"/>
      <c r="W979" s="10"/>
      <c r="X979" s="10"/>
    </row>
    <row r="980">
      <c r="A980" s="257"/>
      <c r="B980" s="257"/>
      <c r="C980" s="258"/>
      <c r="D980" s="257"/>
      <c r="E980" s="257"/>
      <c r="F980" s="257"/>
      <c r="G980" s="257"/>
      <c r="H980" s="257"/>
      <c r="I980" s="257"/>
      <c r="J980" s="257"/>
      <c r="K980" s="257"/>
      <c r="L980" s="257"/>
      <c r="M980" s="259"/>
      <c r="N980" s="10"/>
      <c r="O980" s="133"/>
      <c r="P980" s="133"/>
      <c r="Q980" s="10"/>
      <c r="R980" s="10"/>
      <c r="S980" s="10"/>
      <c r="T980" s="10"/>
      <c r="U980" s="10"/>
      <c r="V980" s="10"/>
      <c r="W980" s="10"/>
      <c r="X980" s="10"/>
    </row>
    <row r="981">
      <c r="A981" s="257"/>
      <c r="B981" s="257"/>
      <c r="C981" s="258"/>
      <c r="D981" s="257"/>
      <c r="E981" s="257"/>
      <c r="F981" s="257"/>
      <c r="G981" s="257"/>
      <c r="H981" s="257"/>
      <c r="I981" s="257"/>
      <c r="J981" s="257"/>
      <c r="K981" s="257"/>
      <c r="L981" s="257"/>
      <c r="M981" s="259"/>
      <c r="N981" s="10"/>
      <c r="O981" s="133"/>
      <c r="P981" s="133"/>
      <c r="Q981" s="10"/>
      <c r="R981" s="10"/>
      <c r="S981" s="10"/>
      <c r="T981" s="10"/>
      <c r="U981" s="10"/>
      <c r="V981" s="10"/>
      <c r="W981" s="10"/>
      <c r="X981" s="10"/>
    </row>
    <row r="982">
      <c r="A982" s="257"/>
      <c r="B982" s="257"/>
      <c r="C982" s="258"/>
      <c r="D982" s="257"/>
      <c r="E982" s="257"/>
      <c r="F982" s="257"/>
      <c r="G982" s="257"/>
      <c r="H982" s="257"/>
      <c r="I982" s="257"/>
      <c r="J982" s="257"/>
      <c r="K982" s="257"/>
      <c r="L982" s="257"/>
      <c r="M982" s="259"/>
      <c r="N982" s="10"/>
      <c r="O982" s="133"/>
      <c r="P982" s="133"/>
      <c r="Q982" s="10"/>
      <c r="R982" s="10"/>
      <c r="S982" s="10"/>
      <c r="T982" s="10"/>
      <c r="U982" s="10"/>
      <c r="V982" s="10"/>
      <c r="W982" s="10"/>
      <c r="X982" s="10"/>
    </row>
    <row r="983">
      <c r="A983" s="257"/>
      <c r="B983" s="257"/>
      <c r="C983" s="258"/>
      <c r="D983" s="257"/>
      <c r="E983" s="257"/>
      <c r="F983" s="257"/>
      <c r="G983" s="257"/>
      <c r="H983" s="257"/>
      <c r="I983" s="257"/>
      <c r="J983" s="257"/>
      <c r="K983" s="257"/>
      <c r="L983" s="257"/>
      <c r="M983" s="259"/>
      <c r="N983" s="10"/>
      <c r="O983" s="133"/>
      <c r="P983" s="133"/>
      <c r="Q983" s="10"/>
      <c r="R983" s="10"/>
      <c r="S983" s="10"/>
      <c r="T983" s="10"/>
      <c r="U983" s="10"/>
      <c r="V983" s="10"/>
      <c r="W983" s="10"/>
      <c r="X983" s="10"/>
    </row>
    <row r="984">
      <c r="A984" s="257"/>
      <c r="B984" s="257"/>
      <c r="C984" s="258"/>
      <c r="D984" s="257"/>
      <c r="E984" s="257"/>
      <c r="F984" s="257"/>
      <c r="G984" s="257"/>
      <c r="H984" s="257"/>
      <c r="I984" s="257"/>
      <c r="J984" s="257"/>
      <c r="K984" s="257"/>
      <c r="L984" s="257"/>
      <c r="M984" s="259"/>
      <c r="N984" s="10"/>
      <c r="O984" s="133"/>
      <c r="P984" s="133"/>
      <c r="Q984" s="10"/>
      <c r="R984" s="10"/>
      <c r="S984" s="10"/>
      <c r="T984" s="10"/>
      <c r="U984" s="10"/>
      <c r="V984" s="10"/>
      <c r="W984" s="10"/>
      <c r="X984" s="10"/>
    </row>
    <row r="985">
      <c r="A985" s="257"/>
      <c r="B985" s="257"/>
      <c r="C985" s="258"/>
      <c r="D985" s="257"/>
      <c r="E985" s="257"/>
      <c r="F985" s="257"/>
      <c r="G985" s="257"/>
      <c r="H985" s="257"/>
      <c r="I985" s="257"/>
      <c r="J985" s="257"/>
      <c r="K985" s="257"/>
      <c r="L985" s="257"/>
      <c r="M985" s="259"/>
      <c r="N985" s="10"/>
      <c r="O985" s="133"/>
      <c r="P985" s="133"/>
      <c r="Q985" s="10"/>
      <c r="R985" s="10"/>
      <c r="S985" s="10"/>
      <c r="T985" s="10"/>
      <c r="U985" s="10"/>
      <c r="V985" s="10"/>
      <c r="W985" s="10"/>
      <c r="X985" s="10"/>
    </row>
    <row r="986">
      <c r="A986" s="257"/>
      <c r="B986" s="257"/>
      <c r="C986" s="258"/>
      <c r="D986" s="257"/>
      <c r="E986" s="257"/>
      <c r="F986" s="257"/>
      <c r="G986" s="257"/>
      <c r="H986" s="257"/>
      <c r="I986" s="257"/>
      <c r="J986" s="257"/>
      <c r="K986" s="257"/>
      <c r="L986" s="257"/>
      <c r="M986" s="259"/>
      <c r="N986" s="10"/>
      <c r="O986" s="133"/>
      <c r="P986" s="133"/>
      <c r="Q986" s="10"/>
      <c r="R986" s="10"/>
      <c r="S986" s="10"/>
      <c r="T986" s="10"/>
      <c r="U986" s="10"/>
      <c r="V986" s="10"/>
      <c r="W986" s="10"/>
      <c r="X986" s="10"/>
    </row>
    <row r="987">
      <c r="A987" s="257"/>
      <c r="B987" s="257"/>
      <c r="C987" s="258"/>
      <c r="D987" s="257"/>
      <c r="E987" s="257"/>
      <c r="F987" s="257"/>
      <c r="G987" s="257"/>
      <c r="H987" s="257"/>
      <c r="I987" s="257"/>
      <c r="J987" s="257"/>
      <c r="K987" s="257"/>
      <c r="L987" s="257"/>
      <c r="M987" s="259"/>
      <c r="N987" s="10"/>
      <c r="O987" s="133"/>
      <c r="P987" s="133"/>
      <c r="Q987" s="10"/>
      <c r="R987" s="10"/>
      <c r="S987" s="10"/>
      <c r="T987" s="10"/>
      <c r="U987" s="10"/>
      <c r="V987" s="10"/>
      <c r="W987" s="10"/>
      <c r="X987" s="10"/>
    </row>
    <row r="988">
      <c r="A988" s="257"/>
      <c r="B988" s="257"/>
      <c r="C988" s="258"/>
      <c r="D988" s="257"/>
      <c r="E988" s="257"/>
      <c r="F988" s="257"/>
      <c r="G988" s="257"/>
      <c r="H988" s="257"/>
      <c r="I988" s="257"/>
      <c r="J988" s="257"/>
      <c r="K988" s="257"/>
      <c r="L988" s="257"/>
      <c r="M988" s="259"/>
      <c r="N988" s="10"/>
      <c r="O988" s="133"/>
      <c r="P988" s="133"/>
      <c r="Q988" s="10"/>
      <c r="R988" s="10"/>
      <c r="S988" s="10"/>
      <c r="T988" s="10"/>
      <c r="U988" s="10"/>
      <c r="V988" s="10"/>
      <c r="W988" s="10"/>
      <c r="X988" s="10"/>
    </row>
    <row r="989">
      <c r="A989" s="257"/>
      <c r="B989" s="257"/>
      <c r="C989" s="258"/>
      <c r="D989" s="257"/>
      <c r="E989" s="257"/>
      <c r="F989" s="257"/>
      <c r="G989" s="257"/>
      <c r="H989" s="257"/>
      <c r="I989" s="257"/>
      <c r="J989" s="257"/>
      <c r="K989" s="257"/>
      <c r="L989" s="257"/>
      <c r="M989" s="259"/>
      <c r="N989" s="10"/>
      <c r="O989" s="133"/>
      <c r="P989" s="133"/>
      <c r="Q989" s="10"/>
      <c r="R989" s="10"/>
      <c r="S989" s="10"/>
      <c r="T989" s="10"/>
      <c r="U989" s="10"/>
      <c r="V989" s="10"/>
      <c r="W989" s="10"/>
      <c r="X989" s="10"/>
    </row>
    <row r="990">
      <c r="A990" s="257"/>
      <c r="B990" s="257"/>
      <c r="C990" s="258"/>
      <c r="D990" s="257"/>
      <c r="E990" s="257"/>
      <c r="F990" s="257"/>
      <c r="G990" s="257"/>
      <c r="H990" s="257"/>
      <c r="I990" s="257"/>
      <c r="J990" s="257"/>
      <c r="K990" s="257"/>
      <c r="L990" s="257"/>
      <c r="M990" s="259"/>
      <c r="N990" s="10"/>
      <c r="O990" s="133"/>
      <c r="P990" s="133"/>
      <c r="Q990" s="10"/>
      <c r="R990" s="10"/>
      <c r="S990" s="10"/>
      <c r="T990" s="10"/>
      <c r="U990" s="10"/>
      <c r="V990" s="10"/>
      <c r="W990" s="10"/>
      <c r="X990" s="10"/>
    </row>
    <row r="991">
      <c r="A991" s="257"/>
      <c r="B991" s="257"/>
      <c r="C991" s="258"/>
      <c r="D991" s="257"/>
      <c r="E991" s="257"/>
      <c r="F991" s="257"/>
      <c r="G991" s="257"/>
      <c r="H991" s="257"/>
      <c r="I991" s="257"/>
      <c r="J991" s="257"/>
      <c r="K991" s="257"/>
      <c r="L991" s="257"/>
      <c r="M991" s="259"/>
      <c r="N991" s="10"/>
      <c r="O991" s="133"/>
      <c r="P991" s="133"/>
      <c r="Q991" s="10"/>
      <c r="R991" s="10"/>
      <c r="S991" s="10"/>
      <c r="T991" s="10"/>
      <c r="U991" s="10"/>
      <c r="V991" s="10"/>
      <c r="W991" s="10"/>
      <c r="X991" s="10"/>
    </row>
    <row r="992">
      <c r="A992" s="257"/>
      <c r="B992" s="257"/>
      <c r="C992" s="258"/>
      <c r="D992" s="257"/>
      <c r="E992" s="257"/>
      <c r="F992" s="257"/>
      <c r="G992" s="257"/>
      <c r="H992" s="257"/>
      <c r="I992" s="257"/>
      <c r="J992" s="257"/>
      <c r="K992" s="257"/>
      <c r="L992" s="257"/>
      <c r="M992" s="259"/>
      <c r="N992" s="10"/>
      <c r="O992" s="133"/>
      <c r="P992" s="133"/>
      <c r="Q992" s="10"/>
      <c r="R992" s="10"/>
      <c r="S992" s="10"/>
      <c r="T992" s="10"/>
      <c r="U992" s="10"/>
      <c r="V992" s="10"/>
      <c r="W992" s="10"/>
      <c r="X992" s="10"/>
    </row>
    <row r="993">
      <c r="A993" s="257"/>
      <c r="B993" s="257"/>
      <c r="C993" s="258"/>
      <c r="D993" s="257"/>
      <c r="E993" s="257"/>
      <c r="F993" s="257"/>
      <c r="G993" s="257"/>
      <c r="H993" s="257"/>
      <c r="I993" s="257"/>
      <c r="J993" s="257"/>
      <c r="K993" s="257"/>
      <c r="L993" s="257"/>
      <c r="M993" s="259"/>
      <c r="N993" s="10"/>
      <c r="O993" s="133"/>
      <c r="P993" s="133"/>
      <c r="Q993" s="10"/>
      <c r="R993" s="10"/>
      <c r="S993" s="10"/>
      <c r="T993" s="10"/>
      <c r="U993" s="10"/>
      <c r="V993" s="10"/>
      <c r="W993" s="10"/>
      <c r="X993" s="10"/>
    </row>
    <row r="994">
      <c r="A994" s="257"/>
      <c r="B994" s="257"/>
      <c r="C994" s="258"/>
      <c r="D994" s="257"/>
      <c r="E994" s="257"/>
      <c r="F994" s="257"/>
      <c r="G994" s="257"/>
      <c r="H994" s="257"/>
      <c r="I994" s="257"/>
      <c r="J994" s="257"/>
      <c r="K994" s="257"/>
      <c r="L994" s="257"/>
      <c r="M994" s="259"/>
      <c r="N994" s="10"/>
      <c r="O994" s="133"/>
      <c r="P994" s="133"/>
      <c r="Q994" s="10"/>
      <c r="R994" s="10"/>
      <c r="S994" s="10"/>
      <c r="T994" s="10"/>
      <c r="U994" s="10"/>
      <c r="V994" s="10"/>
      <c r="W994" s="10"/>
      <c r="X994" s="10"/>
    </row>
    <row r="995">
      <c r="A995" s="257"/>
      <c r="B995" s="257"/>
      <c r="C995" s="258"/>
      <c r="D995" s="257"/>
      <c r="E995" s="257"/>
      <c r="F995" s="257"/>
      <c r="G995" s="257"/>
      <c r="H995" s="257"/>
      <c r="I995" s="257"/>
      <c r="J995" s="257"/>
      <c r="K995" s="257"/>
      <c r="L995" s="257"/>
      <c r="M995" s="259"/>
      <c r="N995" s="10"/>
      <c r="O995" s="133"/>
      <c r="P995" s="133"/>
      <c r="Q995" s="10"/>
      <c r="R995" s="10"/>
      <c r="S995" s="10"/>
      <c r="T995" s="10"/>
      <c r="U995" s="10"/>
      <c r="V995" s="10"/>
      <c r="W995" s="10"/>
      <c r="X995" s="10"/>
    </row>
    <row r="996">
      <c r="A996" s="257"/>
      <c r="B996" s="257"/>
      <c r="C996" s="258"/>
      <c r="D996" s="257"/>
      <c r="E996" s="257"/>
      <c r="F996" s="257"/>
      <c r="G996" s="257"/>
      <c r="H996" s="257"/>
      <c r="I996" s="257"/>
      <c r="J996" s="257"/>
      <c r="K996" s="257"/>
      <c r="L996" s="257"/>
      <c r="M996" s="259"/>
      <c r="N996" s="10"/>
      <c r="O996" s="133"/>
      <c r="P996" s="133"/>
      <c r="Q996" s="10"/>
      <c r="R996" s="10"/>
      <c r="S996" s="10"/>
      <c r="T996" s="10"/>
      <c r="U996" s="10"/>
      <c r="V996" s="10"/>
      <c r="W996" s="10"/>
      <c r="X996" s="10"/>
    </row>
    <row r="997">
      <c r="A997" s="257"/>
      <c r="B997" s="257"/>
      <c r="C997" s="258"/>
      <c r="D997" s="257"/>
      <c r="E997" s="257"/>
      <c r="F997" s="257"/>
      <c r="G997" s="257"/>
      <c r="H997" s="257"/>
      <c r="I997" s="257"/>
      <c r="J997" s="257"/>
      <c r="K997" s="257"/>
      <c r="L997" s="257"/>
      <c r="M997" s="259"/>
      <c r="N997" s="10"/>
      <c r="O997" s="133"/>
      <c r="P997" s="133"/>
      <c r="Q997" s="10"/>
      <c r="R997" s="10"/>
      <c r="S997" s="10"/>
      <c r="T997" s="10"/>
      <c r="U997" s="10"/>
      <c r="V997" s="10"/>
      <c r="W997" s="10"/>
      <c r="X997" s="10"/>
    </row>
    <row r="998">
      <c r="A998" s="257"/>
      <c r="B998" s="257"/>
      <c r="C998" s="258"/>
      <c r="D998" s="257"/>
      <c r="E998" s="257"/>
      <c r="F998" s="257"/>
      <c r="G998" s="257"/>
      <c r="H998" s="257"/>
      <c r="I998" s="257"/>
      <c r="J998" s="257"/>
      <c r="K998" s="257"/>
      <c r="L998" s="257"/>
      <c r="M998" s="259"/>
      <c r="N998" s="10"/>
      <c r="O998" s="133"/>
      <c r="P998" s="133"/>
      <c r="Q998" s="10"/>
      <c r="R998" s="10"/>
      <c r="S998" s="10"/>
      <c r="T998" s="10"/>
      <c r="U998" s="10"/>
      <c r="V998" s="10"/>
      <c r="W998" s="10"/>
      <c r="X998" s="10"/>
    </row>
    <row r="999">
      <c r="A999" s="257"/>
      <c r="B999" s="257"/>
      <c r="C999" s="258"/>
      <c r="D999" s="257"/>
      <c r="E999" s="257"/>
      <c r="F999" s="257"/>
      <c r="G999" s="257"/>
      <c r="H999" s="257"/>
      <c r="I999" s="257"/>
      <c r="J999" s="257"/>
      <c r="K999" s="257"/>
      <c r="L999" s="257"/>
      <c r="M999" s="259"/>
      <c r="N999" s="10"/>
      <c r="O999" s="133"/>
      <c r="P999" s="133"/>
      <c r="Q999" s="10"/>
      <c r="R999" s="10"/>
      <c r="S999" s="10"/>
      <c r="T999" s="10"/>
      <c r="U999" s="10"/>
      <c r="V999" s="10"/>
      <c r="W999" s="10"/>
      <c r="X999" s="10"/>
    </row>
    <row r="1000">
      <c r="A1000" s="257"/>
      <c r="B1000" s="257"/>
      <c r="C1000" s="258"/>
      <c r="D1000" s="257"/>
      <c r="E1000" s="257"/>
      <c r="F1000" s="257"/>
      <c r="G1000" s="257"/>
      <c r="H1000" s="257"/>
      <c r="I1000" s="257"/>
      <c r="J1000" s="257"/>
      <c r="K1000" s="257"/>
      <c r="L1000" s="257"/>
      <c r="M1000" s="259"/>
      <c r="N1000" s="10"/>
      <c r="O1000" s="133"/>
      <c r="P1000" s="133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257"/>
      <c r="B1001" s="257"/>
      <c r="C1001" s="258"/>
      <c r="D1001" s="257"/>
      <c r="E1001" s="257"/>
      <c r="F1001" s="257"/>
      <c r="G1001" s="257"/>
      <c r="H1001" s="257"/>
      <c r="I1001" s="257"/>
      <c r="J1001" s="257"/>
      <c r="K1001" s="257"/>
      <c r="L1001" s="257"/>
      <c r="M1001" s="259"/>
      <c r="N1001" s="10"/>
      <c r="O1001" s="133"/>
      <c r="P1001" s="133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257"/>
      <c r="B1002" s="257"/>
      <c r="C1002" s="258"/>
      <c r="D1002" s="257"/>
      <c r="E1002" s="257"/>
      <c r="F1002" s="257"/>
      <c r="G1002" s="257"/>
      <c r="H1002" s="257"/>
      <c r="I1002" s="257"/>
      <c r="J1002" s="257"/>
      <c r="K1002" s="257"/>
      <c r="L1002" s="257"/>
      <c r="M1002" s="259"/>
      <c r="N1002" s="10"/>
      <c r="O1002" s="133"/>
      <c r="P1002" s="133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257"/>
      <c r="B1003" s="257"/>
      <c r="C1003" s="258"/>
      <c r="D1003" s="257"/>
      <c r="E1003" s="257"/>
      <c r="F1003" s="257"/>
      <c r="G1003" s="257"/>
      <c r="H1003" s="257"/>
      <c r="I1003" s="257"/>
      <c r="J1003" s="257"/>
      <c r="K1003" s="257"/>
      <c r="L1003" s="257"/>
      <c r="M1003" s="259"/>
      <c r="N1003" s="10"/>
      <c r="O1003" s="133"/>
      <c r="P1003" s="133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257"/>
      <c r="B1004" s="257"/>
      <c r="C1004" s="258"/>
      <c r="D1004" s="257"/>
      <c r="E1004" s="257"/>
      <c r="F1004" s="257"/>
      <c r="G1004" s="257"/>
      <c r="H1004" s="257"/>
      <c r="I1004" s="257"/>
      <c r="J1004" s="257"/>
      <c r="K1004" s="257"/>
      <c r="L1004" s="257"/>
      <c r="M1004" s="259"/>
      <c r="N1004" s="10"/>
      <c r="O1004" s="133"/>
      <c r="P1004" s="133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257"/>
      <c r="B1005" s="257"/>
      <c r="C1005" s="258"/>
      <c r="D1005" s="257"/>
      <c r="E1005" s="257"/>
      <c r="F1005" s="257"/>
      <c r="G1005" s="257"/>
      <c r="H1005" s="257"/>
      <c r="I1005" s="257"/>
      <c r="J1005" s="257"/>
      <c r="K1005" s="257"/>
      <c r="L1005" s="257"/>
      <c r="M1005" s="259"/>
      <c r="N1005" s="10"/>
      <c r="O1005" s="133"/>
      <c r="P1005" s="133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257"/>
      <c r="B1006" s="257"/>
      <c r="C1006" s="258"/>
      <c r="D1006" s="257"/>
      <c r="E1006" s="257"/>
      <c r="F1006" s="257"/>
      <c r="G1006" s="257"/>
      <c r="H1006" s="257"/>
      <c r="I1006" s="257"/>
      <c r="J1006" s="257"/>
      <c r="K1006" s="257"/>
      <c r="L1006" s="257"/>
      <c r="M1006" s="259"/>
      <c r="N1006" s="10"/>
      <c r="O1006" s="133"/>
      <c r="P1006" s="133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257"/>
      <c r="B1007" s="257"/>
      <c r="C1007" s="258"/>
      <c r="D1007" s="257"/>
      <c r="E1007" s="257"/>
      <c r="F1007" s="257"/>
      <c r="G1007" s="257"/>
      <c r="H1007" s="257"/>
      <c r="I1007" s="257"/>
      <c r="J1007" s="257"/>
      <c r="K1007" s="257"/>
      <c r="L1007" s="257"/>
      <c r="M1007" s="259"/>
      <c r="N1007" s="10"/>
      <c r="O1007" s="133"/>
      <c r="P1007" s="133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257"/>
      <c r="B1008" s="257"/>
      <c r="C1008" s="258"/>
      <c r="D1008" s="257"/>
      <c r="E1008" s="257"/>
      <c r="F1008" s="257"/>
      <c r="G1008" s="257"/>
      <c r="H1008" s="257"/>
      <c r="I1008" s="257"/>
      <c r="J1008" s="257"/>
      <c r="K1008" s="257"/>
      <c r="L1008" s="257"/>
      <c r="M1008" s="259"/>
      <c r="N1008" s="10"/>
      <c r="O1008" s="133"/>
      <c r="P1008" s="133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257"/>
      <c r="B1009" s="257"/>
      <c r="C1009" s="258"/>
      <c r="D1009" s="257"/>
      <c r="E1009" s="257"/>
      <c r="F1009" s="257"/>
      <c r="G1009" s="257"/>
      <c r="H1009" s="257"/>
      <c r="I1009" s="257"/>
      <c r="J1009" s="257"/>
      <c r="K1009" s="257"/>
      <c r="L1009" s="257"/>
      <c r="M1009" s="259"/>
      <c r="N1009" s="10"/>
      <c r="O1009" s="133"/>
      <c r="P1009" s="133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257"/>
      <c r="B1010" s="257"/>
      <c r="C1010" s="258"/>
      <c r="D1010" s="257"/>
      <c r="E1010" s="257"/>
      <c r="F1010" s="257"/>
      <c r="G1010" s="257"/>
      <c r="H1010" s="257"/>
      <c r="I1010" s="257"/>
      <c r="J1010" s="257"/>
      <c r="K1010" s="257"/>
      <c r="L1010" s="257"/>
      <c r="M1010" s="259"/>
      <c r="N1010" s="10"/>
      <c r="O1010" s="133"/>
      <c r="P1010" s="133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257"/>
      <c r="B1011" s="257"/>
      <c r="C1011" s="258"/>
      <c r="D1011" s="257"/>
      <c r="E1011" s="257"/>
      <c r="F1011" s="257"/>
      <c r="G1011" s="257"/>
      <c r="H1011" s="257"/>
      <c r="I1011" s="257"/>
      <c r="J1011" s="257"/>
      <c r="K1011" s="257"/>
      <c r="L1011" s="257"/>
      <c r="M1011" s="259"/>
      <c r="N1011" s="10"/>
      <c r="O1011" s="133"/>
      <c r="P1011" s="133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257"/>
      <c r="B1012" s="257"/>
      <c r="C1012" s="258"/>
      <c r="D1012" s="257"/>
      <c r="E1012" s="257"/>
      <c r="F1012" s="257"/>
      <c r="G1012" s="257"/>
      <c r="H1012" s="257"/>
      <c r="I1012" s="257"/>
      <c r="J1012" s="257"/>
      <c r="K1012" s="257"/>
      <c r="L1012" s="257"/>
      <c r="M1012" s="259"/>
      <c r="N1012" s="10"/>
      <c r="O1012" s="133"/>
      <c r="P1012" s="133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257"/>
      <c r="B1013" s="257"/>
      <c r="C1013" s="258"/>
      <c r="D1013" s="257"/>
      <c r="E1013" s="257"/>
      <c r="F1013" s="257"/>
      <c r="G1013" s="257"/>
      <c r="H1013" s="257"/>
      <c r="I1013" s="257"/>
      <c r="J1013" s="257"/>
      <c r="K1013" s="257"/>
      <c r="L1013" s="257"/>
      <c r="M1013" s="259"/>
      <c r="N1013" s="10"/>
      <c r="O1013" s="133"/>
      <c r="P1013" s="133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257"/>
      <c r="B1014" s="257"/>
      <c r="C1014" s="258"/>
      <c r="D1014" s="257"/>
      <c r="E1014" s="257"/>
      <c r="F1014" s="257"/>
      <c r="G1014" s="257"/>
      <c r="H1014" s="257"/>
      <c r="I1014" s="257"/>
      <c r="J1014" s="257"/>
      <c r="K1014" s="257"/>
      <c r="L1014" s="257"/>
      <c r="M1014" s="259"/>
      <c r="N1014" s="10"/>
      <c r="O1014" s="133"/>
      <c r="P1014" s="133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257"/>
      <c r="B1015" s="257"/>
      <c r="C1015" s="258"/>
      <c r="D1015" s="257"/>
      <c r="E1015" s="257"/>
      <c r="F1015" s="257"/>
      <c r="G1015" s="257"/>
      <c r="H1015" s="257"/>
      <c r="I1015" s="257"/>
      <c r="J1015" s="257"/>
      <c r="K1015" s="257"/>
      <c r="L1015" s="257"/>
      <c r="M1015" s="259"/>
      <c r="N1015" s="10"/>
      <c r="O1015" s="133"/>
      <c r="P1015" s="133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257"/>
      <c r="B1016" s="257"/>
      <c r="C1016" s="258"/>
      <c r="D1016" s="257"/>
      <c r="E1016" s="257"/>
      <c r="F1016" s="257"/>
      <c r="G1016" s="257"/>
      <c r="H1016" s="257"/>
      <c r="I1016" s="257"/>
      <c r="J1016" s="257"/>
      <c r="K1016" s="257"/>
      <c r="L1016" s="257"/>
      <c r="M1016" s="259"/>
      <c r="N1016" s="10"/>
      <c r="O1016" s="133"/>
      <c r="P1016" s="133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257"/>
      <c r="B1017" s="257"/>
      <c r="C1017" s="258"/>
      <c r="D1017" s="257"/>
      <c r="E1017" s="257"/>
      <c r="F1017" s="257"/>
      <c r="G1017" s="257"/>
      <c r="H1017" s="257"/>
      <c r="I1017" s="257"/>
      <c r="J1017" s="257"/>
      <c r="K1017" s="257"/>
      <c r="L1017" s="257"/>
      <c r="M1017" s="259"/>
      <c r="N1017" s="10"/>
      <c r="O1017" s="133"/>
      <c r="P1017" s="133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257"/>
      <c r="B1018" s="257"/>
      <c r="C1018" s="258"/>
      <c r="D1018" s="257"/>
      <c r="E1018" s="257"/>
      <c r="F1018" s="257"/>
      <c r="G1018" s="257"/>
      <c r="H1018" s="257"/>
      <c r="I1018" s="257"/>
      <c r="J1018" s="257"/>
      <c r="K1018" s="257"/>
      <c r="L1018" s="257"/>
      <c r="M1018" s="259"/>
      <c r="N1018" s="10"/>
      <c r="O1018" s="133"/>
      <c r="P1018" s="133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257"/>
      <c r="B1019" s="257"/>
      <c r="C1019" s="258"/>
      <c r="D1019" s="257"/>
      <c r="E1019" s="257"/>
      <c r="F1019" s="257"/>
      <c r="G1019" s="257"/>
      <c r="H1019" s="257"/>
      <c r="I1019" s="257"/>
      <c r="J1019" s="257"/>
      <c r="K1019" s="257"/>
      <c r="L1019" s="257"/>
      <c r="M1019" s="259"/>
      <c r="N1019" s="10"/>
      <c r="O1019" s="133"/>
      <c r="P1019" s="133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257"/>
      <c r="B1020" s="257"/>
      <c r="C1020" s="258"/>
      <c r="D1020" s="257"/>
      <c r="E1020" s="257"/>
      <c r="F1020" s="257"/>
      <c r="G1020" s="257"/>
      <c r="H1020" s="257"/>
      <c r="I1020" s="257"/>
      <c r="J1020" s="257"/>
      <c r="K1020" s="257"/>
      <c r="L1020" s="257"/>
      <c r="M1020" s="259"/>
      <c r="N1020" s="10"/>
      <c r="O1020" s="133"/>
      <c r="P1020" s="133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257"/>
      <c r="B1021" s="257"/>
      <c r="C1021" s="258"/>
      <c r="D1021" s="257"/>
      <c r="E1021" s="257"/>
      <c r="F1021" s="257"/>
      <c r="G1021" s="257"/>
      <c r="H1021" s="257"/>
      <c r="I1021" s="257"/>
      <c r="J1021" s="257"/>
      <c r="K1021" s="257"/>
      <c r="L1021" s="257"/>
      <c r="M1021" s="259"/>
      <c r="N1021" s="10"/>
      <c r="O1021" s="133"/>
      <c r="P1021" s="133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257"/>
      <c r="B1022" s="257"/>
      <c r="C1022" s="258"/>
      <c r="D1022" s="257"/>
      <c r="E1022" s="257"/>
      <c r="F1022" s="257"/>
      <c r="G1022" s="257"/>
      <c r="H1022" s="257"/>
      <c r="I1022" s="257"/>
      <c r="J1022" s="257"/>
      <c r="K1022" s="257"/>
      <c r="L1022" s="257"/>
      <c r="M1022" s="259"/>
      <c r="N1022" s="10"/>
      <c r="O1022" s="133"/>
      <c r="P1022" s="133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257"/>
      <c r="B1023" s="257"/>
      <c r="C1023" s="258"/>
      <c r="D1023" s="257"/>
      <c r="E1023" s="257"/>
      <c r="F1023" s="257"/>
      <c r="G1023" s="257"/>
      <c r="H1023" s="257"/>
      <c r="I1023" s="257"/>
      <c r="J1023" s="257"/>
      <c r="K1023" s="257"/>
      <c r="L1023" s="257"/>
      <c r="M1023" s="259"/>
      <c r="N1023" s="10"/>
      <c r="O1023" s="133"/>
      <c r="P1023" s="133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257"/>
      <c r="B1024" s="257"/>
      <c r="C1024" s="258"/>
      <c r="D1024" s="257"/>
      <c r="E1024" s="257"/>
      <c r="F1024" s="257"/>
      <c r="G1024" s="257"/>
      <c r="H1024" s="257"/>
      <c r="I1024" s="257"/>
      <c r="J1024" s="257"/>
      <c r="K1024" s="257"/>
      <c r="L1024" s="257"/>
      <c r="M1024" s="259"/>
      <c r="N1024" s="10"/>
      <c r="O1024" s="133"/>
      <c r="P1024" s="133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257"/>
      <c r="B1025" s="257"/>
      <c r="C1025" s="258"/>
      <c r="D1025" s="257"/>
      <c r="E1025" s="257"/>
      <c r="F1025" s="257"/>
      <c r="G1025" s="257"/>
      <c r="H1025" s="257"/>
      <c r="I1025" s="257"/>
      <c r="J1025" s="257"/>
      <c r="K1025" s="257"/>
      <c r="L1025" s="257"/>
      <c r="M1025" s="259"/>
      <c r="N1025" s="10"/>
      <c r="O1025" s="133"/>
      <c r="P1025" s="133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257"/>
      <c r="B1026" s="257"/>
      <c r="C1026" s="258"/>
      <c r="D1026" s="257"/>
      <c r="E1026" s="257"/>
      <c r="F1026" s="257"/>
      <c r="G1026" s="257"/>
      <c r="H1026" s="257"/>
      <c r="I1026" s="257"/>
      <c r="J1026" s="257"/>
      <c r="K1026" s="257"/>
      <c r="L1026" s="257"/>
      <c r="M1026" s="259"/>
      <c r="N1026" s="10"/>
      <c r="O1026" s="133"/>
      <c r="P1026" s="133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257"/>
      <c r="B1027" s="257"/>
      <c r="C1027" s="258"/>
      <c r="D1027" s="257"/>
      <c r="E1027" s="257"/>
      <c r="F1027" s="257"/>
      <c r="G1027" s="257"/>
      <c r="H1027" s="257"/>
      <c r="I1027" s="257"/>
      <c r="J1027" s="257"/>
      <c r="K1027" s="257"/>
      <c r="L1027" s="257"/>
      <c r="M1027" s="259"/>
      <c r="N1027" s="10"/>
      <c r="O1027" s="133"/>
      <c r="P1027" s="133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257"/>
      <c r="B1028" s="257"/>
      <c r="C1028" s="258"/>
      <c r="D1028" s="257"/>
      <c r="E1028" s="257"/>
      <c r="F1028" s="257"/>
      <c r="G1028" s="257"/>
      <c r="H1028" s="257"/>
      <c r="I1028" s="257"/>
      <c r="J1028" s="257"/>
      <c r="K1028" s="257"/>
      <c r="L1028" s="257"/>
      <c r="M1028" s="259"/>
      <c r="N1028" s="10"/>
      <c r="O1028" s="133"/>
      <c r="P1028" s="133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257"/>
      <c r="B1029" s="257"/>
      <c r="C1029" s="258"/>
      <c r="D1029" s="257"/>
      <c r="E1029" s="257"/>
      <c r="F1029" s="257"/>
      <c r="G1029" s="257"/>
      <c r="H1029" s="257"/>
      <c r="I1029" s="257"/>
      <c r="J1029" s="257"/>
      <c r="K1029" s="257"/>
      <c r="L1029" s="257"/>
      <c r="M1029" s="259"/>
      <c r="N1029" s="10"/>
      <c r="O1029" s="133"/>
      <c r="P1029" s="133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257"/>
      <c r="B1030" s="257"/>
      <c r="C1030" s="258"/>
      <c r="D1030" s="257"/>
      <c r="E1030" s="257"/>
      <c r="F1030" s="257"/>
      <c r="G1030" s="257"/>
      <c r="H1030" s="257"/>
      <c r="I1030" s="257"/>
      <c r="J1030" s="257"/>
      <c r="K1030" s="257"/>
      <c r="L1030" s="257"/>
      <c r="M1030" s="259"/>
      <c r="N1030" s="10"/>
      <c r="O1030" s="133"/>
      <c r="P1030" s="133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257"/>
      <c r="B1031" s="257"/>
      <c r="C1031" s="258"/>
      <c r="D1031" s="257"/>
      <c r="E1031" s="257"/>
      <c r="F1031" s="257"/>
      <c r="G1031" s="257"/>
      <c r="H1031" s="257"/>
      <c r="I1031" s="257"/>
      <c r="J1031" s="257"/>
      <c r="K1031" s="257"/>
      <c r="L1031" s="257"/>
      <c r="M1031" s="259"/>
      <c r="N1031" s="10"/>
      <c r="O1031" s="133"/>
      <c r="P1031" s="133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257"/>
      <c r="B1032" s="257"/>
      <c r="C1032" s="258"/>
      <c r="D1032" s="257"/>
      <c r="E1032" s="257"/>
      <c r="F1032" s="257"/>
      <c r="G1032" s="257"/>
      <c r="H1032" s="257"/>
      <c r="I1032" s="257"/>
      <c r="J1032" s="257"/>
      <c r="K1032" s="257"/>
      <c r="L1032" s="257"/>
      <c r="M1032" s="259"/>
      <c r="N1032" s="10"/>
      <c r="O1032" s="133"/>
      <c r="P1032" s="133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257"/>
      <c r="B1033" s="257"/>
      <c r="C1033" s="258"/>
      <c r="D1033" s="257"/>
      <c r="E1033" s="257"/>
      <c r="F1033" s="257"/>
      <c r="G1033" s="257"/>
      <c r="H1033" s="257"/>
      <c r="I1033" s="257"/>
      <c r="J1033" s="257"/>
      <c r="K1033" s="257"/>
      <c r="L1033" s="257"/>
      <c r="M1033" s="259"/>
      <c r="N1033" s="10"/>
      <c r="O1033" s="133"/>
      <c r="P1033" s="133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257"/>
      <c r="B1034" s="257"/>
      <c r="C1034" s="258"/>
      <c r="D1034" s="257"/>
      <c r="E1034" s="257"/>
      <c r="F1034" s="257"/>
      <c r="G1034" s="257"/>
      <c r="H1034" s="257"/>
      <c r="I1034" s="257"/>
      <c r="J1034" s="257"/>
      <c r="K1034" s="257"/>
      <c r="L1034" s="257"/>
      <c r="M1034" s="259"/>
      <c r="N1034" s="10"/>
      <c r="O1034" s="133"/>
      <c r="P1034" s="133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257"/>
      <c r="B1035" s="257"/>
      <c r="C1035" s="258"/>
      <c r="D1035" s="257"/>
      <c r="E1035" s="257"/>
      <c r="F1035" s="257"/>
      <c r="G1035" s="257"/>
      <c r="H1035" s="257"/>
      <c r="I1035" s="257"/>
      <c r="J1035" s="257"/>
      <c r="K1035" s="257"/>
      <c r="L1035" s="257"/>
      <c r="M1035" s="259"/>
      <c r="N1035" s="10"/>
      <c r="O1035" s="133"/>
      <c r="P1035" s="133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257"/>
      <c r="B1036" s="257"/>
      <c r="C1036" s="258"/>
      <c r="D1036" s="257"/>
      <c r="E1036" s="257"/>
      <c r="F1036" s="257"/>
      <c r="G1036" s="257"/>
      <c r="H1036" s="257"/>
      <c r="I1036" s="257"/>
      <c r="J1036" s="257"/>
      <c r="K1036" s="257"/>
      <c r="L1036" s="257"/>
      <c r="M1036" s="259"/>
      <c r="N1036" s="10"/>
      <c r="O1036" s="133"/>
      <c r="P1036" s="133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257"/>
      <c r="B1037" s="257"/>
      <c r="C1037" s="258"/>
      <c r="D1037" s="257"/>
      <c r="E1037" s="257"/>
      <c r="F1037" s="257"/>
      <c r="G1037" s="257"/>
      <c r="H1037" s="257"/>
      <c r="I1037" s="257"/>
      <c r="J1037" s="257"/>
      <c r="K1037" s="257"/>
      <c r="L1037" s="257"/>
      <c r="M1037" s="259"/>
      <c r="N1037" s="10"/>
      <c r="O1037" s="133"/>
      <c r="P1037" s="133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257"/>
      <c r="B1038" s="257"/>
      <c r="C1038" s="258"/>
      <c r="D1038" s="257"/>
      <c r="E1038" s="257"/>
      <c r="F1038" s="257"/>
      <c r="G1038" s="257"/>
      <c r="H1038" s="257"/>
      <c r="I1038" s="257"/>
      <c r="J1038" s="257"/>
      <c r="K1038" s="257"/>
      <c r="L1038" s="257"/>
      <c r="M1038" s="259"/>
      <c r="N1038" s="10"/>
      <c r="O1038" s="133"/>
      <c r="P1038" s="133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257"/>
      <c r="B1039" s="257"/>
      <c r="C1039" s="258"/>
      <c r="D1039" s="257"/>
      <c r="E1039" s="257"/>
      <c r="F1039" s="257"/>
      <c r="G1039" s="257"/>
      <c r="H1039" s="257"/>
      <c r="I1039" s="257"/>
      <c r="J1039" s="257"/>
      <c r="K1039" s="257"/>
      <c r="L1039" s="257"/>
      <c r="M1039" s="259"/>
      <c r="N1039" s="10"/>
      <c r="O1039" s="133"/>
      <c r="P1039" s="133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257"/>
      <c r="B1040" s="257"/>
      <c r="C1040" s="258"/>
      <c r="D1040" s="257"/>
      <c r="E1040" s="257"/>
      <c r="F1040" s="257"/>
      <c r="G1040" s="257"/>
      <c r="H1040" s="257"/>
      <c r="I1040" s="257"/>
      <c r="J1040" s="257"/>
      <c r="K1040" s="257"/>
      <c r="L1040" s="257"/>
      <c r="M1040" s="259"/>
      <c r="N1040" s="10"/>
      <c r="O1040" s="133"/>
      <c r="P1040" s="133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257"/>
      <c r="B1041" s="257"/>
      <c r="C1041" s="258"/>
      <c r="D1041" s="257"/>
      <c r="E1041" s="257"/>
      <c r="F1041" s="257"/>
      <c r="G1041" s="257"/>
      <c r="H1041" s="257"/>
      <c r="I1041" s="257"/>
      <c r="J1041" s="257"/>
      <c r="K1041" s="257"/>
      <c r="L1041" s="257"/>
      <c r="M1041" s="259"/>
      <c r="N1041" s="10"/>
      <c r="O1041" s="133"/>
      <c r="P1041" s="133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257"/>
      <c r="B1042" s="257"/>
      <c r="C1042" s="258"/>
      <c r="D1042" s="257"/>
      <c r="E1042" s="257"/>
      <c r="F1042" s="257"/>
      <c r="G1042" s="257"/>
      <c r="H1042" s="257"/>
      <c r="I1042" s="257"/>
      <c r="J1042" s="257"/>
      <c r="K1042" s="257"/>
      <c r="L1042" s="257"/>
      <c r="M1042" s="259"/>
      <c r="N1042" s="10"/>
      <c r="O1042" s="133"/>
      <c r="P1042" s="133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257"/>
      <c r="B1043" s="257"/>
      <c r="C1043" s="258"/>
      <c r="D1043" s="257"/>
      <c r="E1043" s="257"/>
      <c r="F1043" s="257"/>
      <c r="G1043" s="257"/>
      <c r="H1043" s="257"/>
      <c r="I1043" s="257"/>
      <c r="J1043" s="257"/>
      <c r="K1043" s="257"/>
      <c r="L1043" s="257"/>
      <c r="M1043" s="259"/>
      <c r="N1043" s="10"/>
      <c r="O1043" s="133"/>
      <c r="P1043" s="133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257"/>
      <c r="B1044" s="257"/>
      <c r="C1044" s="258"/>
      <c r="D1044" s="257"/>
      <c r="E1044" s="257"/>
      <c r="F1044" s="257"/>
      <c r="G1044" s="257"/>
      <c r="H1044" s="257"/>
      <c r="I1044" s="257"/>
      <c r="J1044" s="257"/>
      <c r="K1044" s="257"/>
      <c r="L1044" s="257"/>
      <c r="M1044" s="259"/>
      <c r="N1044" s="10"/>
      <c r="O1044" s="133"/>
      <c r="P1044" s="133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257"/>
      <c r="B1045" s="257"/>
      <c r="C1045" s="258"/>
      <c r="D1045" s="257"/>
      <c r="E1045" s="257"/>
      <c r="F1045" s="257"/>
      <c r="G1045" s="257"/>
      <c r="H1045" s="257"/>
      <c r="I1045" s="257"/>
      <c r="J1045" s="257"/>
      <c r="K1045" s="257"/>
      <c r="L1045" s="257"/>
      <c r="M1045" s="259"/>
      <c r="N1045" s="10"/>
      <c r="O1045" s="133"/>
      <c r="P1045" s="133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257"/>
      <c r="B1046" s="257"/>
      <c r="C1046" s="258"/>
      <c r="D1046" s="257"/>
      <c r="E1046" s="257"/>
      <c r="F1046" s="257"/>
      <c r="G1046" s="257"/>
      <c r="H1046" s="257"/>
      <c r="I1046" s="257"/>
      <c r="J1046" s="257"/>
      <c r="K1046" s="257"/>
      <c r="L1046" s="257"/>
      <c r="M1046" s="259"/>
      <c r="N1046" s="10"/>
      <c r="O1046" s="133"/>
      <c r="P1046" s="133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257"/>
      <c r="B1047" s="257"/>
      <c r="C1047" s="258"/>
      <c r="D1047" s="257"/>
      <c r="E1047" s="257"/>
      <c r="F1047" s="257"/>
      <c r="G1047" s="257"/>
      <c r="H1047" s="257"/>
      <c r="I1047" s="257"/>
      <c r="J1047" s="257"/>
      <c r="K1047" s="257"/>
      <c r="L1047" s="257"/>
      <c r="M1047" s="259"/>
      <c r="N1047" s="10"/>
      <c r="O1047" s="133"/>
      <c r="P1047" s="133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257"/>
      <c r="B1048" s="257"/>
      <c r="C1048" s="258"/>
      <c r="D1048" s="257"/>
      <c r="E1048" s="257"/>
      <c r="F1048" s="257"/>
      <c r="G1048" s="257"/>
      <c r="H1048" s="257"/>
      <c r="I1048" s="257"/>
      <c r="J1048" s="257"/>
      <c r="K1048" s="257"/>
      <c r="L1048" s="257"/>
      <c r="M1048" s="259"/>
      <c r="N1048" s="10"/>
      <c r="O1048" s="133"/>
      <c r="P1048" s="133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257"/>
      <c r="B1049" s="257"/>
      <c r="C1049" s="258"/>
      <c r="D1049" s="257"/>
      <c r="E1049" s="257"/>
      <c r="F1049" s="257"/>
      <c r="G1049" s="257"/>
      <c r="H1049" s="257"/>
      <c r="I1049" s="257"/>
      <c r="J1049" s="257"/>
      <c r="K1049" s="257"/>
      <c r="L1049" s="257"/>
      <c r="M1049" s="259"/>
      <c r="N1049" s="10"/>
      <c r="O1049" s="133"/>
      <c r="P1049" s="133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257"/>
      <c r="B1050" s="257"/>
      <c r="C1050" s="258"/>
      <c r="D1050" s="257"/>
      <c r="E1050" s="257"/>
      <c r="F1050" s="257"/>
      <c r="G1050" s="257"/>
      <c r="H1050" s="257"/>
      <c r="I1050" s="257"/>
      <c r="J1050" s="257"/>
      <c r="K1050" s="257"/>
      <c r="L1050" s="257"/>
      <c r="M1050" s="259"/>
      <c r="N1050" s="10"/>
      <c r="O1050" s="133"/>
      <c r="P1050" s="133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257"/>
      <c r="B1051" s="257"/>
      <c r="C1051" s="258"/>
      <c r="D1051" s="257"/>
      <c r="E1051" s="257"/>
      <c r="F1051" s="257"/>
      <c r="G1051" s="257"/>
      <c r="H1051" s="257"/>
      <c r="I1051" s="257"/>
      <c r="J1051" s="257"/>
      <c r="K1051" s="257"/>
      <c r="L1051" s="257"/>
      <c r="M1051" s="259"/>
      <c r="N1051" s="10"/>
      <c r="O1051" s="133"/>
      <c r="P1051" s="133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257"/>
      <c r="B1052" s="257"/>
      <c r="C1052" s="258"/>
      <c r="D1052" s="257"/>
      <c r="E1052" s="257"/>
      <c r="F1052" s="257"/>
      <c r="G1052" s="257"/>
      <c r="H1052" s="257"/>
      <c r="I1052" s="257"/>
      <c r="J1052" s="257"/>
      <c r="K1052" s="257"/>
      <c r="L1052" s="257"/>
      <c r="M1052" s="259"/>
      <c r="N1052" s="10"/>
      <c r="O1052" s="133"/>
      <c r="P1052" s="133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257"/>
      <c r="B1053" s="257"/>
      <c r="C1053" s="258"/>
      <c r="D1053" s="257"/>
      <c r="E1053" s="257"/>
      <c r="F1053" s="257"/>
      <c r="G1053" s="257"/>
      <c r="H1053" s="257"/>
      <c r="I1053" s="257"/>
      <c r="J1053" s="257"/>
      <c r="K1053" s="257"/>
      <c r="L1053" s="257"/>
      <c r="M1053" s="259"/>
      <c r="N1053" s="10"/>
      <c r="O1053" s="133"/>
      <c r="P1053" s="133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257"/>
      <c r="B1054" s="257"/>
      <c r="C1054" s="258"/>
      <c r="D1054" s="257"/>
      <c r="E1054" s="257"/>
      <c r="F1054" s="257"/>
      <c r="G1054" s="257"/>
      <c r="H1054" s="257"/>
      <c r="I1054" s="257"/>
      <c r="J1054" s="257"/>
      <c r="K1054" s="257"/>
      <c r="L1054" s="257"/>
      <c r="M1054" s="259"/>
      <c r="N1054" s="10"/>
      <c r="O1054" s="133"/>
      <c r="P1054" s="133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257"/>
      <c r="B1055" s="257"/>
      <c r="C1055" s="258"/>
      <c r="D1055" s="257"/>
      <c r="E1055" s="257"/>
      <c r="F1055" s="257"/>
      <c r="G1055" s="257"/>
      <c r="H1055" s="257"/>
      <c r="I1055" s="257"/>
      <c r="J1055" s="257"/>
      <c r="K1055" s="257"/>
      <c r="L1055" s="257"/>
      <c r="M1055" s="259"/>
      <c r="N1055" s="10"/>
      <c r="O1055" s="133"/>
      <c r="P1055" s="133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257"/>
      <c r="B1056" s="257"/>
      <c r="C1056" s="258"/>
      <c r="D1056" s="257"/>
      <c r="E1056" s="257"/>
      <c r="F1056" s="257"/>
      <c r="G1056" s="257"/>
      <c r="H1056" s="257"/>
      <c r="I1056" s="257"/>
      <c r="J1056" s="257"/>
      <c r="K1056" s="257"/>
      <c r="L1056" s="257"/>
      <c r="M1056" s="259"/>
      <c r="N1056" s="10"/>
      <c r="O1056" s="133"/>
      <c r="P1056" s="133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257"/>
      <c r="B1057" s="257"/>
      <c r="C1057" s="258"/>
      <c r="D1057" s="257"/>
      <c r="E1057" s="257"/>
      <c r="F1057" s="257"/>
      <c r="G1057" s="257"/>
      <c r="H1057" s="257"/>
      <c r="I1057" s="257"/>
      <c r="J1057" s="257"/>
      <c r="K1057" s="257"/>
      <c r="L1057" s="257"/>
      <c r="M1057" s="259"/>
      <c r="N1057" s="10"/>
      <c r="O1057" s="133"/>
      <c r="P1057" s="133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257"/>
      <c r="B1058" s="257"/>
      <c r="C1058" s="258"/>
      <c r="D1058" s="257"/>
      <c r="E1058" s="257"/>
      <c r="F1058" s="257"/>
      <c r="G1058" s="257"/>
      <c r="H1058" s="257"/>
      <c r="I1058" s="257"/>
      <c r="J1058" s="257"/>
      <c r="K1058" s="257"/>
      <c r="L1058" s="257"/>
      <c r="M1058" s="259"/>
      <c r="N1058" s="10"/>
      <c r="O1058" s="133"/>
      <c r="P1058" s="133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257"/>
      <c r="B1059" s="257"/>
      <c r="C1059" s="258"/>
      <c r="D1059" s="257"/>
      <c r="E1059" s="257"/>
      <c r="F1059" s="257"/>
      <c r="G1059" s="257"/>
      <c r="H1059" s="257"/>
      <c r="I1059" s="257"/>
      <c r="J1059" s="257"/>
      <c r="K1059" s="257"/>
      <c r="L1059" s="257"/>
      <c r="M1059" s="259"/>
      <c r="N1059" s="10"/>
      <c r="O1059" s="133"/>
      <c r="P1059" s="133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257"/>
      <c r="B1060" s="257"/>
      <c r="C1060" s="258"/>
      <c r="D1060" s="257"/>
      <c r="E1060" s="257"/>
      <c r="F1060" s="257"/>
      <c r="G1060" s="257"/>
      <c r="H1060" s="257"/>
      <c r="I1060" s="257"/>
      <c r="J1060" s="257"/>
      <c r="K1060" s="257"/>
      <c r="L1060" s="257"/>
      <c r="M1060" s="259"/>
      <c r="N1060" s="10"/>
      <c r="O1060" s="133"/>
      <c r="P1060" s="133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257"/>
      <c r="B1061" s="257"/>
      <c r="C1061" s="258"/>
      <c r="D1061" s="257"/>
      <c r="E1061" s="257"/>
      <c r="F1061" s="257"/>
      <c r="G1061" s="257"/>
      <c r="H1061" s="257"/>
      <c r="I1061" s="257"/>
      <c r="J1061" s="257"/>
      <c r="K1061" s="257"/>
      <c r="L1061" s="257"/>
      <c r="M1061" s="259"/>
      <c r="N1061" s="10"/>
      <c r="O1061" s="133"/>
      <c r="P1061" s="133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257"/>
      <c r="B1062" s="257"/>
      <c r="C1062" s="258"/>
      <c r="D1062" s="257"/>
      <c r="E1062" s="257"/>
      <c r="F1062" s="257"/>
      <c r="G1062" s="257"/>
      <c r="H1062" s="257"/>
      <c r="I1062" s="257"/>
      <c r="J1062" s="257"/>
      <c r="K1062" s="257"/>
      <c r="L1062" s="257"/>
      <c r="M1062" s="259"/>
      <c r="N1062" s="10"/>
      <c r="O1062" s="133"/>
      <c r="P1062" s="133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257"/>
      <c r="B1063" s="257"/>
      <c r="C1063" s="258"/>
      <c r="D1063" s="257"/>
      <c r="E1063" s="257"/>
      <c r="F1063" s="257"/>
      <c r="G1063" s="257"/>
      <c r="H1063" s="257"/>
      <c r="I1063" s="257"/>
      <c r="J1063" s="257"/>
      <c r="K1063" s="257"/>
      <c r="L1063" s="257"/>
      <c r="M1063" s="259"/>
      <c r="N1063" s="10"/>
      <c r="O1063" s="133"/>
      <c r="P1063" s="133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257"/>
      <c r="B1064" s="257"/>
      <c r="C1064" s="258"/>
      <c r="D1064" s="257"/>
      <c r="E1064" s="257"/>
      <c r="F1064" s="257"/>
      <c r="G1064" s="257"/>
      <c r="H1064" s="257"/>
      <c r="I1064" s="257"/>
      <c r="J1064" s="257"/>
      <c r="K1064" s="257"/>
      <c r="L1064" s="257"/>
      <c r="M1064" s="259"/>
      <c r="N1064" s="10"/>
      <c r="O1064" s="133"/>
      <c r="P1064" s="133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257"/>
      <c r="B1065" s="257"/>
      <c r="C1065" s="258"/>
      <c r="D1065" s="257"/>
      <c r="E1065" s="257"/>
      <c r="F1065" s="257"/>
      <c r="G1065" s="257"/>
      <c r="H1065" s="257"/>
      <c r="I1065" s="257"/>
      <c r="J1065" s="257"/>
      <c r="K1065" s="257"/>
      <c r="L1065" s="257"/>
      <c r="M1065" s="259"/>
      <c r="N1065" s="10"/>
      <c r="O1065" s="133"/>
      <c r="P1065" s="133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257"/>
      <c r="B1066" s="257"/>
      <c r="C1066" s="258"/>
      <c r="D1066" s="257"/>
      <c r="E1066" s="257"/>
      <c r="F1066" s="257"/>
      <c r="G1066" s="257"/>
      <c r="H1066" s="257"/>
      <c r="I1066" s="257"/>
      <c r="J1066" s="257"/>
      <c r="K1066" s="257"/>
      <c r="L1066" s="257"/>
      <c r="M1066" s="259"/>
      <c r="N1066" s="10"/>
      <c r="O1066" s="133"/>
      <c r="P1066" s="133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257"/>
      <c r="B1067" s="257"/>
      <c r="C1067" s="258"/>
      <c r="D1067" s="257"/>
      <c r="E1067" s="257"/>
      <c r="F1067" s="257"/>
      <c r="G1067" s="257"/>
      <c r="H1067" s="257"/>
      <c r="I1067" s="257"/>
      <c r="J1067" s="257"/>
      <c r="K1067" s="257"/>
      <c r="L1067" s="257"/>
      <c r="M1067" s="259"/>
      <c r="N1067" s="10"/>
      <c r="O1067" s="133"/>
      <c r="P1067" s="133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257"/>
      <c r="B1068" s="257"/>
      <c r="C1068" s="258"/>
      <c r="D1068" s="257"/>
      <c r="E1068" s="257"/>
      <c r="F1068" s="257"/>
      <c r="G1068" s="257"/>
      <c r="H1068" s="257"/>
      <c r="I1068" s="257"/>
      <c r="J1068" s="257"/>
      <c r="K1068" s="257"/>
      <c r="L1068" s="257"/>
      <c r="M1068" s="259"/>
      <c r="N1068" s="10"/>
      <c r="O1068" s="133"/>
      <c r="P1068" s="133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257"/>
      <c r="B1069" s="257"/>
      <c r="C1069" s="258"/>
      <c r="D1069" s="257"/>
      <c r="E1069" s="257"/>
      <c r="F1069" s="257"/>
      <c r="G1069" s="257"/>
      <c r="H1069" s="257"/>
      <c r="I1069" s="257"/>
      <c r="J1069" s="257"/>
      <c r="K1069" s="257"/>
      <c r="L1069" s="257"/>
      <c r="M1069" s="259"/>
      <c r="N1069" s="10"/>
      <c r="O1069" s="133"/>
      <c r="P1069" s="133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257"/>
      <c r="B1070" s="257"/>
      <c r="C1070" s="258"/>
      <c r="D1070" s="257"/>
      <c r="E1070" s="257"/>
      <c r="F1070" s="257"/>
      <c r="G1070" s="257"/>
      <c r="H1070" s="257"/>
      <c r="I1070" s="257"/>
      <c r="J1070" s="257"/>
      <c r="K1070" s="257"/>
      <c r="L1070" s="257"/>
      <c r="M1070" s="259"/>
      <c r="N1070" s="10"/>
      <c r="O1070" s="133"/>
      <c r="P1070" s="133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257"/>
      <c r="B1071" s="257"/>
      <c r="C1071" s="258"/>
      <c r="D1071" s="257"/>
      <c r="E1071" s="257"/>
      <c r="F1071" s="257"/>
      <c r="G1071" s="257"/>
      <c r="H1071" s="257"/>
      <c r="I1071" s="257"/>
      <c r="J1071" s="257"/>
      <c r="K1071" s="257"/>
      <c r="L1071" s="257"/>
      <c r="M1071" s="259"/>
      <c r="N1071" s="10"/>
      <c r="O1071" s="133"/>
      <c r="P1071" s="133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257"/>
      <c r="B1072" s="257"/>
      <c r="C1072" s="258"/>
      <c r="D1072" s="257"/>
      <c r="E1072" s="257"/>
      <c r="F1072" s="257"/>
      <c r="G1072" s="257"/>
      <c r="H1072" s="257"/>
      <c r="I1072" s="257"/>
      <c r="J1072" s="257"/>
      <c r="K1072" s="257"/>
      <c r="L1072" s="257"/>
      <c r="M1072" s="259"/>
      <c r="N1072" s="10"/>
      <c r="O1072" s="133"/>
      <c r="P1072" s="133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257"/>
      <c r="B1073" s="257"/>
      <c r="C1073" s="258"/>
      <c r="D1073" s="257"/>
      <c r="E1073" s="257"/>
      <c r="F1073" s="257"/>
      <c r="G1073" s="257"/>
      <c r="H1073" s="257"/>
      <c r="I1073" s="257"/>
      <c r="J1073" s="257"/>
      <c r="K1073" s="257"/>
      <c r="L1073" s="257"/>
      <c r="M1073" s="259"/>
      <c r="N1073" s="10"/>
      <c r="O1073" s="133"/>
      <c r="P1073" s="133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257"/>
      <c r="B1074" s="257"/>
      <c r="C1074" s="258"/>
      <c r="D1074" s="257"/>
      <c r="E1074" s="257"/>
      <c r="F1074" s="257"/>
      <c r="G1074" s="257"/>
      <c r="H1074" s="257"/>
      <c r="I1074" s="257"/>
      <c r="J1074" s="257"/>
      <c r="K1074" s="257"/>
      <c r="L1074" s="257"/>
      <c r="M1074" s="259"/>
      <c r="N1074" s="10"/>
      <c r="O1074" s="133"/>
      <c r="P1074" s="133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257"/>
      <c r="B1075" s="257"/>
      <c r="C1075" s="258"/>
      <c r="D1075" s="257"/>
      <c r="E1075" s="257"/>
      <c r="F1075" s="257"/>
      <c r="G1075" s="257"/>
      <c r="H1075" s="257"/>
      <c r="I1075" s="257"/>
      <c r="J1075" s="257"/>
      <c r="K1075" s="257"/>
      <c r="L1075" s="257"/>
      <c r="M1075" s="259"/>
      <c r="N1075" s="10"/>
      <c r="O1075" s="133"/>
      <c r="P1075" s="133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257"/>
      <c r="B1076" s="257"/>
      <c r="C1076" s="258"/>
      <c r="D1076" s="257"/>
      <c r="E1076" s="257"/>
      <c r="F1076" s="257"/>
      <c r="G1076" s="257"/>
      <c r="H1076" s="257"/>
      <c r="I1076" s="257"/>
      <c r="J1076" s="257"/>
      <c r="K1076" s="257"/>
      <c r="L1076" s="257"/>
      <c r="M1076" s="259"/>
      <c r="N1076" s="10"/>
      <c r="O1076" s="133"/>
      <c r="P1076" s="133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257"/>
      <c r="B1077" s="257"/>
      <c r="C1077" s="258"/>
      <c r="D1077" s="257"/>
      <c r="E1077" s="257"/>
      <c r="F1077" s="257"/>
      <c r="G1077" s="257"/>
      <c r="H1077" s="257"/>
      <c r="I1077" s="257"/>
      <c r="J1077" s="257"/>
      <c r="K1077" s="257"/>
      <c r="L1077" s="257"/>
      <c r="M1077" s="259"/>
      <c r="N1077" s="10"/>
      <c r="O1077" s="133"/>
      <c r="P1077" s="133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257"/>
      <c r="B1078" s="257"/>
      <c r="C1078" s="258"/>
      <c r="D1078" s="257"/>
      <c r="E1078" s="257"/>
      <c r="F1078" s="257"/>
      <c r="G1078" s="257"/>
      <c r="H1078" s="257"/>
      <c r="I1078" s="257"/>
      <c r="J1078" s="257"/>
      <c r="K1078" s="257"/>
      <c r="L1078" s="257"/>
      <c r="M1078" s="259"/>
      <c r="N1078" s="10"/>
      <c r="O1078" s="133"/>
      <c r="P1078" s="133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257"/>
      <c r="B1079" s="257"/>
      <c r="C1079" s="258"/>
      <c r="D1079" s="257"/>
      <c r="E1079" s="257"/>
      <c r="F1079" s="257"/>
      <c r="G1079" s="257"/>
      <c r="H1079" s="257"/>
      <c r="I1079" s="257"/>
      <c r="J1079" s="257"/>
      <c r="K1079" s="257"/>
      <c r="L1079" s="257"/>
      <c r="M1079" s="259"/>
      <c r="N1079" s="10"/>
      <c r="O1079" s="133"/>
      <c r="P1079" s="133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257"/>
      <c r="B1080" s="257"/>
      <c r="C1080" s="258"/>
      <c r="D1080" s="257"/>
      <c r="E1080" s="257"/>
      <c r="F1080" s="257"/>
      <c r="G1080" s="257"/>
      <c r="H1080" s="257"/>
      <c r="I1080" s="257"/>
      <c r="J1080" s="257"/>
      <c r="K1080" s="257"/>
      <c r="L1080" s="257"/>
      <c r="M1080" s="259"/>
      <c r="N1080" s="10"/>
      <c r="O1080" s="133"/>
      <c r="P1080" s="133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257"/>
      <c r="B1081" s="257"/>
      <c r="C1081" s="258"/>
      <c r="D1081" s="257"/>
      <c r="E1081" s="257"/>
      <c r="F1081" s="257"/>
      <c r="G1081" s="257"/>
      <c r="H1081" s="257"/>
      <c r="I1081" s="257"/>
      <c r="J1081" s="257"/>
      <c r="K1081" s="257"/>
      <c r="L1081" s="257"/>
      <c r="M1081" s="259"/>
      <c r="N1081" s="10"/>
      <c r="O1081" s="133"/>
      <c r="P1081" s="133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257"/>
      <c r="B1082" s="257"/>
      <c r="C1082" s="258"/>
      <c r="D1082" s="257"/>
      <c r="E1082" s="257"/>
      <c r="F1082" s="257"/>
      <c r="G1082" s="257"/>
      <c r="H1082" s="257"/>
      <c r="I1082" s="257"/>
      <c r="J1082" s="257"/>
      <c r="K1082" s="257"/>
      <c r="L1082" s="257"/>
      <c r="M1082" s="259"/>
      <c r="N1082" s="10"/>
      <c r="O1082" s="133"/>
      <c r="P1082" s="133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257"/>
      <c r="B1083" s="257"/>
      <c r="C1083" s="258"/>
      <c r="D1083" s="257"/>
      <c r="E1083" s="257"/>
      <c r="F1083" s="257"/>
      <c r="G1083" s="257"/>
      <c r="H1083" s="257"/>
      <c r="I1083" s="257"/>
      <c r="J1083" s="257"/>
      <c r="K1083" s="257"/>
      <c r="L1083" s="257"/>
      <c r="M1083" s="259"/>
      <c r="N1083" s="10"/>
      <c r="O1083" s="133"/>
      <c r="P1083" s="133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257"/>
      <c r="B1084" s="257"/>
      <c r="C1084" s="258"/>
      <c r="D1084" s="257"/>
      <c r="E1084" s="257"/>
      <c r="F1084" s="257"/>
      <c r="G1084" s="257"/>
      <c r="H1084" s="257"/>
      <c r="I1084" s="257"/>
      <c r="J1084" s="257"/>
      <c r="K1084" s="257"/>
      <c r="L1084" s="257"/>
      <c r="M1084" s="259"/>
      <c r="N1084" s="10"/>
      <c r="O1084" s="133"/>
      <c r="P1084" s="133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257"/>
      <c r="B1085" s="257"/>
      <c r="C1085" s="258"/>
      <c r="D1085" s="257"/>
      <c r="E1085" s="257"/>
      <c r="F1085" s="257"/>
      <c r="G1085" s="257"/>
      <c r="H1085" s="257"/>
      <c r="I1085" s="257"/>
      <c r="J1085" s="257"/>
      <c r="K1085" s="257"/>
      <c r="L1085" s="257"/>
      <c r="M1085" s="259"/>
      <c r="N1085" s="10"/>
      <c r="O1085" s="133"/>
      <c r="P1085" s="133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257"/>
      <c r="B1086" s="257"/>
      <c r="C1086" s="258"/>
      <c r="D1086" s="257"/>
      <c r="E1086" s="257"/>
      <c r="F1086" s="257"/>
      <c r="G1086" s="257"/>
      <c r="H1086" s="257"/>
      <c r="I1086" s="257"/>
      <c r="J1086" s="257"/>
      <c r="K1086" s="257"/>
      <c r="L1086" s="257"/>
      <c r="M1086" s="259"/>
      <c r="N1086" s="10"/>
      <c r="O1086" s="133"/>
      <c r="P1086" s="133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257"/>
      <c r="B1087" s="257"/>
      <c r="C1087" s="258"/>
      <c r="D1087" s="257"/>
      <c r="E1087" s="257"/>
      <c r="F1087" s="257"/>
      <c r="G1087" s="257"/>
      <c r="H1087" s="257"/>
      <c r="I1087" s="257"/>
      <c r="J1087" s="257"/>
      <c r="K1087" s="257"/>
      <c r="L1087" s="257"/>
      <c r="M1087" s="259"/>
      <c r="N1087" s="10"/>
      <c r="O1087" s="133"/>
      <c r="P1087" s="133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257"/>
      <c r="B1088" s="257"/>
      <c r="C1088" s="258"/>
      <c r="D1088" s="257"/>
      <c r="E1088" s="257"/>
      <c r="F1088" s="257"/>
      <c r="G1088" s="257"/>
      <c r="H1088" s="257"/>
      <c r="I1088" s="257"/>
      <c r="J1088" s="257"/>
      <c r="K1088" s="257"/>
      <c r="L1088" s="257"/>
      <c r="M1088" s="259"/>
      <c r="N1088" s="10"/>
      <c r="O1088" s="133"/>
      <c r="P1088" s="133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257"/>
      <c r="B1089" s="257"/>
      <c r="C1089" s="258"/>
      <c r="D1089" s="257"/>
      <c r="E1089" s="257"/>
      <c r="F1089" s="257"/>
      <c r="G1089" s="257"/>
      <c r="H1089" s="257"/>
      <c r="I1089" s="257"/>
      <c r="J1089" s="257"/>
      <c r="K1089" s="257"/>
      <c r="L1089" s="257"/>
      <c r="M1089" s="259"/>
      <c r="N1089" s="10"/>
      <c r="O1089" s="133"/>
      <c r="P1089" s="133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257"/>
      <c r="B1090" s="257"/>
      <c r="C1090" s="258"/>
      <c r="D1090" s="257"/>
      <c r="E1090" s="257"/>
      <c r="F1090" s="257"/>
      <c r="G1090" s="257"/>
      <c r="H1090" s="257"/>
      <c r="I1090" s="257"/>
      <c r="J1090" s="257"/>
      <c r="K1090" s="257"/>
      <c r="L1090" s="257"/>
      <c r="M1090" s="259"/>
      <c r="N1090" s="10"/>
      <c r="O1090" s="133"/>
      <c r="P1090" s="133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257"/>
      <c r="B1091" s="257"/>
      <c r="C1091" s="258"/>
      <c r="D1091" s="257"/>
      <c r="E1091" s="257"/>
      <c r="F1091" s="257"/>
      <c r="G1091" s="257"/>
      <c r="H1091" s="257"/>
      <c r="I1091" s="257"/>
      <c r="J1091" s="257"/>
      <c r="K1091" s="257"/>
      <c r="L1091" s="257"/>
      <c r="M1091" s="259"/>
      <c r="N1091" s="10"/>
      <c r="O1091" s="133"/>
      <c r="P1091" s="133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257"/>
      <c r="B1092" s="257"/>
      <c r="C1092" s="258"/>
      <c r="D1092" s="257"/>
      <c r="E1092" s="257"/>
      <c r="F1092" s="257"/>
      <c r="G1092" s="257"/>
      <c r="H1092" s="257"/>
      <c r="I1092" s="257"/>
      <c r="J1092" s="257"/>
      <c r="K1092" s="257"/>
      <c r="L1092" s="257"/>
      <c r="M1092" s="259"/>
      <c r="N1092" s="10"/>
      <c r="O1092" s="133"/>
      <c r="P1092" s="133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257"/>
      <c r="B1093" s="257"/>
      <c r="C1093" s="258"/>
      <c r="D1093" s="257"/>
      <c r="E1093" s="257"/>
      <c r="F1093" s="257"/>
      <c r="G1093" s="257"/>
      <c r="H1093" s="257"/>
      <c r="I1093" s="257"/>
      <c r="J1093" s="257"/>
      <c r="K1093" s="257"/>
      <c r="L1093" s="257"/>
      <c r="M1093" s="259"/>
      <c r="N1093" s="10"/>
      <c r="O1093" s="133"/>
      <c r="P1093" s="133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257"/>
      <c r="B1094" s="257"/>
      <c r="C1094" s="258"/>
      <c r="D1094" s="257"/>
      <c r="E1094" s="257"/>
      <c r="F1094" s="257"/>
      <c r="G1094" s="257"/>
      <c r="H1094" s="257"/>
      <c r="I1094" s="257"/>
      <c r="J1094" s="257"/>
      <c r="K1094" s="257"/>
      <c r="L1094" s="257"/>
      <c r="M1094" s="259"/>
      <c r="N1094" s="10"/>
      <c r="O1094" s="133"/>
      <c r="P1094" s="133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257"/>
      <c r="B1095" s="257"/>
      <c r="C1095" s="258"/>
      <c r="D1095" s="257"/>
      <c r="E1095" s="257"/>
      <c r="F1095" s="257"/>
      <c r="G1095" s="257"/>
      <c r="H1095" s="257"/>
      <c r="I1095" s="257"/>
      <c r="J1095" s="257"/>
      <c r="K1095" s="257"/>
      <c r="L1095" s="257"/>
      <c r="M1095" s="259"/>
      <c r="N1095" s="10"/>
      <c r="O1095" s="133"/>
      <c r="P1095" s="133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257"/>
      <c r="B1096" s="257"/>
      <c r="C1096" s="258"/>
      <c r="D1096" s="257"/>
      <c r="E1096" s="257"/>
      <c r="F1096" s="257"/>
      <c r="G1096" s="257"/>
      <c r="H1096" s="257"/>
      <c r="I1096" s="257"/>
      <c r="J1096" s="257"/>
      <c r="K1096" s="257"/>
      <c r="L1096" s="257"/>
      <c r="M1096" s="259"/>
      <c r="N1096" s="10"/>
      <c r="O1096" s="133"/>
      <c r="P1096" s="133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257"/>
      <c r="B1097" s="257"/>
      <c r="C1097" s="258"/>
      <c r="D1097" s="257"/>
      <c r="E1097" s="257"/>
      <c r="F1097" s="257"/>
      <c r="G1097" s="257"/>
      <c r="H1097" s="257"/>
      <c r="I1097" s="257"/>
      <c r="J1097" s="257"/>
      <c r="K1097" s="257"/>
      <c r="L1097" s="257"/>
      <c r="M1097" s="259"/>
      <c r="N1097" s="10"/>
      <c r="O1097" s="133"/>
      <c r="P1097" s="133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257"/>
      <c r="B1098" s="257"/>
      <c r="C1098" s="258"/>
      <c r="D1098" s="257"/>
      <c r="E1098" s="257"/>
      <c r="F1098" s="257"/>
      <c r="G1098" s="257"/>
      <c r="H1098" s="257"/>
      <c r="I1098" s="257"/>
      <c r="J1098" s="257"/>
      <c r="K1098" s="257"/>
      <c r="L1098" s="257"/>
      <c r="M1098" s="259"/>
      <c r="N1098" s="10"/>
      <c r="O1098" s="133"/>
      <c r="P1098" s="133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257"/>
      <c r="B1099" s="257"/>
      <c r="C1099" s="258"/>
      <c r="D1099" s="257"/>
      <c r="E1099" s="257"/>
      <c r="F1099" s="257"/>
      <c r="G1099" s="257"/>
      <c r="H1099" s="257"/>
      <c r="I1099" s="257"/>
      <c r="J1099" s="257"/>
      <c r="K1099" s="257"/>
      <c r="L1099" s="257"/>
      <c r="M1099" s="259"/>
      <c r="N1099" s="10"/>
      <c r="O1099" s="133"/>
      <c r="P1099" s="133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257"/>
      <c r="B1100" s="257"/>
      <c r="C1100" s="258"/>
      <c r="D1100" s="257"/>
      <c r="E1100" s="257"/>
      <c r="F1100" s="257"/>
      <c r="G1100" s="257"/>
      <c r="H1100" s="257"/>
      <c r="I1100" s="257"/>
      <c r="J1100" s="257"/>
      <c r="K1100" s="257"/>
      <c r="L1100" s="257"/>
      <c r="M1100" s="259"/>
      <c r="N1100" s="10"/>
      <c r="O1100" s="133"/>
      <c r="P1100" s="133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257"/>
      <c r="B1101" s="257"/>
      <c r="C1101" s="258"/>
      <c r="D1101" s="257"/>
      <c r="E1101" s="257"/>
      <c r="F1101" s="257"/>
      <c r="G1101" s="257"/>
      <c r="H1101" s="257"/>
      <c r="I1101" s="257"/>
      <c r="J1101" s="257"/>
      <c r="K1101" s="257"/>
      <c r="L1101" s="257"/>
      <c r="M1101" s="259"/>
      <c r="N1101" s="10"/>
      <c r="O1101" s="133"/>
      <c r="P1101" s="133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257"/>
      <c r="B1102" s="257"/>
      <c r="C1102" s="258"/>
      <c r="D1102" s="257"/>
      <c r="E1102" s="257"/>
      <c r="F1102" s="257"/>
      <c r="G1102" s="257"/>
      <c r="H1102" s="257"/>
      <c r="I1102" s="257"/>
      <c r="J1102" s="257"/>
      <c r="K1102" s="257"/>
      <c r="L1102" s="257"/>
      <c r="M1102" s="259"/>
      <c r="N1102" s="10"/>
      <c r="O1102" s="133"/>
      <c r="P1102" s="133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257"/>
      <c r="B1103" s="257"/>
      <c r="C1103" s="258"/>
      <c r="D1103" s="257"/>
      <c r="E1103" s="257"/>
      <c r="F1103" s="257"/>
      <c r="G1103" s="257"/>
      <c r="H1103" s="257"/>
      <c r="I1103" s="257"/>
      <c r="J1103" s="257"/>
      <c r="K1103" s="257"/>
      <c r="L1103" s="257"/>
      <c r="M1103" s="259"/>
      <c r="N1103" s="10"/>
      <c r="O1103" s="133"/>
      <c r="P1103" s="133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257"/>
      <c r="B1104" s="257"/>
      <c r="C1104" s="258"/>
      <c r="D1104" s="257"/>
      <c r="E1104" s="257"/>
      <c r="F1104" s="257"/>
      <c r="G1104" s="257"/>
      <c r="H1104" s="257"/>
      <c r="I1104" s="257"/>
      <c r="J1104" s="257"/>
      <c r="K1104" s="257"/>
      <c r="L1104" s="257"/>
      <c r="M1104" s="259"/>
      <c r="N1104" s="10"/>
      <c r="O1104" s="133"/>
      <c r="P1104" s="133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257"/>
      <c r="B1105" s="257"/>
      <c r="C1105" s="258"/>
      <c r="D1105" s="257"/>
      <c r="E1105" s="257"/>
      <c r="F1105" s="257"/>
      <c r="G1105" s="257"/>
      <c r="H1105" s="257"/>
      <c r="I1105" s="257"/>
      <c r="J1105" s="257"/>
      <c r="K1105" s="257"/>
      <c r="L1105" s="257"/>
      <c r="M1105" s="259"/>
      <c r="N1105" s="10"/>
      <c r="O1105" s="133"/>
      <c r="P1105" s="133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257"/>
      <c r="B1106" s="257"/>
      <c r="C1106" s="258"/>
      <c r="D1106" s="257"/>
      <c r="E1106" s="257"/>
      <c r="F1106" s="257"/>
      <c r="G1106" s="257"/>
      <c r="H1106" s="257"/>
      <c r="I1106" s="257"/>
      <c r="J1106" s="257"/>
      <c r="K1106" s="257"/>
      <c r="L1106" s="257"/>
      <c r="M1106" s="259"/>
      <c r="N1106" s="10"/>
      <c r="O1106" s="133"/>
      <c r="P1106" s="133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257"/>
      <c r="B1107" s="257"/>
      <c r="C1107" s="258"/>
      <c r="D1107" s="257"/>
      <c r="E1107" s="257"/>
      <c r="F1107" s="257"/>
      <c r="G1107" s="257"/>
      <c r="H1107" s="257"/>
      <c r="I1107" s="257"/>
      <c r="J1107" s="257"/>
      <c r="K1107" s="257"/>
      <c r="L1107" s="257"/>
      <c r="M1107" s="259"/>
      <c r="N1107" s="10"/>
      <c r="O1107" s="133"/>
      <c r="P1107" s="133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257"/>
      <c r="B1108" s="257"/>
      <c r="C1108" s="258"/>
      <c r="D1108" s="257"/>
      <c r="E1108" s="257"/>
      <c r="F1108" s="257"/>
      <c r="G1108" s="257"/>
      <c r="H1108" s="257"/>
      <c r="I1108" s="257"/>
      <c r="J1108" s="257"/>
      <c r="K1108" s="257"/>
      <c r="L1108" s="257"/>
      <c r="M1108" s="259"/>
      <c r="N1108" s="10"/>
      <c r="O1108" s="133"/>
      <c r="P1108" s="133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257"/>
      <c r="B1109" s="257"/>
      <c r="C1109" s="258"/>
      <c r="D1109" s="257"/>
      <c r="E1109" s="257"/>
      <c r="F1109" s="257"/>
      <c r="G1109" s="257"/>
      <c r="H1109" s="257"/>
      <c r="I1109" s="257"/>
      <c r="J1109" s="257"/>
      <c r="K1109" s="257"/>
      <c r="L1109" s="257"/>
      <c r="M1109" s="259"/>
      <c r="N1109" s="10"/>
      <c r="O1109" s="133"/>
      <c r="P1109" s="133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257"/>
      <c r="B1110" s="257"/>
      <c r="C1110" s="258"/>
      <c r="D1110" s="257"/>
      <c r="E1110" s="257"/>
      <c r="F1110" s="257"/>
      <c r="G1110" s="257"/>
      <c r="H1110" s="257"/>
      <c r="I1110" s="257"/>
      <c r="J1110" s="257"/>
      <c r="K1110" s="257"/>
      <c r="L1110" s="257"/>
      <c r="M1110" s="259"/>
      <c r="N1110" s="10"/>
      <c r="O1110" s="133"/>
      <c r="P1110" s="133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257"/>
      <c r="B1111" s="257"/>
      <c r="C1111" s="258"/>
      <c r="D1111" s="257"/>
      <c r="E1111" s="257"/>
      <c r="F1111" s="257"/>
      <c r="G1111" s="257"/>
      <c r="H1111" s="257"/>
      <c r="I1111" s="257"/>
      <c r="J1111" s="257"/>
      <c r="K1111" s="257"/>
      <c r="L1111" s="257"/>
      <c r="M1111" s="259"/>
      <c r="N1111" s="10"/>
      <c r="O1111" s="133"/>
      <c r="P1111" s="133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257"/>
      <c r="B1112" s="257"/>
      <c r="C1112" s="258"/>
      <c r="D1112" s="257"/>
      <c r="E1112" s="257"/>
      <c r="F1112" s="257"/>
      <c r="G1112" s="257"/>
      <c r="H1112" s="257"/>
      <c r="I1112" s="257"/>
      <c r="J1112" s="257"/>
      <c r="K1112" s="257"/>
      <c r="L1112" s="257"/>
      <c r="M1112" s="259"/>
      <c r="N1112" s="10"/>
      <c r="O1112" s="133"/>
      <c r="P1112" s="133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257"/>
      <c r="B1113" s="257"/>
      <c r="C1113" s="258"/>
      <c r="D1113" s="257"/>
      <c r="E1113" s="257"/>
      <c r="F1113" s="257"/>
      <c r="G1113" s="257"/>
      <c r="H1113" s="257"/>
      <c r="I1113" s="257"/>
      <c r="J1113" s="257"/>
      <c r="K1113" s="257"/>
      <c r="L1113" s="257"/>
      <c r="M1113" s="259"/>
      <c r="N1113" s="10"/>
      <c r="O1113" s="133"/>
      <c r="P1113" s="133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257"/>
      <c r="B1114" s="257"/>
      <c r="C1114" s="258"/>
      <c r="D1114" s="257"/>
      <c r="E1114" s="257"/>
      <c r="F1114" s="257"/>
      <c r="G1114" s="257"/>
      <c r="H1114" s="257"/>
      <c r="I1114" s="257"/>
      <c r="J1114" s="257"/>
      <c r="K1114" s="257"/>
      <c r="L1114" s="257"/>
      <c r="M1114" s="259"/>
      <c r="N1114" s="10"/>
      <c r="O1114" s="133"/>
      <c r="P1114" s="133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257"/>
      <c r="B1115" s="257"/>
      <c r="C1115" s="258"/>
      <c r="D1115" s="257"/>
      <c r="E1115" s="257"/>
      <c r="F1115" s="257"/>
      <c r="G1115" s="257"/>
      <c r="H1115" s="257"/>
      <c r="I1115" s="257"/>
      <c r="J1115" s="257"/>
      <c r="K1115" s="257"/>
      <c r="L1115" s="257"/>
      <c r="M1115" s="259"/>
      <c r="N1115" s="10"/>
      <c r="O1115" s="133"/>
      <c r="P1115" s="133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257"/>
      <c r="B1116" s="257"/>
      <c r="C1116" s="258"/>
      <c r="D1116" s="257"/>
      <c r="E1116" s="257"/>
      <c r="F1116" s="257"/>
      <c r="G1116" s="257"/>
      <c r="H1116" s="257"/>
      <c r="I1116" s="257"/>
      <c r="J1116" s="257"/>
      <c r="K1116" s="257"/>
      <c r="L1116" s="257"/>
      <c r="M1116" s="259"/>
      <c r="N1116" s="10"/>
      <c r="O1116" s="133"/>
      <c r="P1116" s="133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257"/>
      <c r="B1117" s="257"/>
      <c r="C1117" s="258"/>
      <c r="D1117" s="257"/>
      <c r="E1117" s="257"/>
      <c r="F1117" s="257"/>
      <c r="G1117" s="257"/>
      <c r="H1117" s="257"/>
      <c r="I1117" s="257"/>
      <c r="J1117" s="257"/>
      <c r="K1117" s="257"/>
      <c r="L1117" s="257"/>
      <c r="M1117" s="259"/>
      <c r="N1117" s="10"/>
      <c r="O1117" s="133"/>
      <c r="P1117" s="133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257"/>
      <c r="B1118" s="257"/>
      <c r="C1118" s="258"/>
      <c r="D1118" s="257"/>
      <c r="E1118" s="257"/>
      <c r="F1118" s="257"/>
      <c r="G1118" s="257"/>
      <c r="H1118" s="257"/>
      <c r="I1118" s="257"/>
      <c r="J1118" s="257"/>
      <c r="K1118" s="257"/>
      <c r="L1118" s="257"/>
      <c r="M1118" s="259"/>
      <c r="N1118" s="10"/>
      <c r="O1118" s="133"/>
      <c r="P1118" s="133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257"/>
      <c r="B1119" s="257"/>
      <c r="C1119" s="258"/>
      <c r="D1119" s="257"/>
      <c r="E1119" s="257"/>
      <c r="F1119" s="257"/>
      <c r="G1119" s="257"/>
      <c r="H1119" s="257"/>
      <c r="I1119" s="257"/>
      <c r="J1119" s="257"/>
      <c r="K1119" s="257"/>
      <c r="L1119" s="257"/>
      <c r="M1119" s="259"/>
      <c r="N1119" s="10"/>
      <c r="O1119" s="133"/>
      <c r="P1119" s="133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257"/>
      <c r="B1120" s="257"/>
      <c r="C1120" s="258"/>
      <c r="D1120" s="257"/>
      <c r="E1120" s="257"/>
      <c r="F1120" s="257"/>
      <c r="G1120" s="257"/>
      <c r="H1120" s="257"/>
      <c r="I1120" s="257"/>
      <c r="J1120" s="257"/>
      <c r="K1120" s="257"/>
      <c r="L1120" s="257"/>
      <c r="M1120" s="259"/>
      <c r="N1120" s="10"/>
      <c r="O1120" s="133"/>
      <c r="P1120" s="133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257"/>
      <c r="B1121" s="257"/>
      <c r="C1121" s="258"/>
      <c r="D1121" s="257"/>
      <c r="E1121" s="257"/>
      <c r="F1121" s="257"/>
      <c r="G1121" s="257"/>
      <c r="H1121" s="257"/>
      <c r="I1121" s="257"/>
      <c r="J1121" s="257"/>
      <c r="K1121" s="257"/>
      <c r="L1121" s="257"/>
      <c r="M1121" s="259"/>
      <c r="N1121" s="10"/>
      <c r="O1121" s="133"/>
      <c r="P1121" s="133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257"/>
      <c r="B1122" s="257"/>
      <c r="C1122" s="258"/>
      <c r="D1122" s="257"/>
      <c r="E1122" s="257"/>
      <c r="F1122" s="257"/>
      <c r="G1122" s="257"/>
      <c r="H1122" s="257"/>
      <c r="I1122" s="257"/>
      <c r="J1122" s="257"/>
      <c r="K1122" s="257"/>
      <c r="L1122" s="257"/>
      <c r="M1122" s="259"/>
      <c r="N1122" s="10"/>
      <c r="O1122" s="133"/>
      <c r="P1122" s="133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257"/>
      <c r="B1123" s="257"/>
      <c r="C1123" s="258"/>
      <c r="D1123" s="257"/>
      <c r="E1123" s="257"/>
      <c r="F1123" s="257"/>
      <c r="G1123" s="257"/>
      <c r="H1123" s="257"/>
      <c r="I1123" s="257"/>
      <c r="J1123" s="257"/>
      <c r="K1123" s="257"/>
      <c r="L1123" s="257"/>
      <c r="M1123" s="259"/>
      <c r="N1123" s="10"/>
      <c r="O1123" s="133"/>
      <c r="P1123" s="133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257"/>
      <c r="B1124" s="257"/>
      <c r="C1124" s="258"/>
      <c r="D1124" s="257"/>
      <c r="E1124" s="257"/>
      <c r="F1124" s="257"/>
      <c r="G1124" s="257"/>
      <c r="H1124" s="257"/>
      <c r="I1124" s="257"/>
      <c r="J1124" s="257"/>
      <c r="K1124" s="257"/>
      <c r="L1124" s="257"/>
      <c r="M1124" s="259"/>
      <c r="N1124" s="10"/>
      <c r="O1124" s="133"/>
      <c r="P1124" s="133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257"/>
      <c r="B1125" s="257"/>
      <c r="C1125" s="258"/>
      <c r="D1125" s="257"/>
      <c r="E1125" s="257"/>
      <c r="F1125" s="257"/>
      <c r="G1125" s="257"/>
      <c r="H1125" s="257"/>
      <c r="I1125" s="257"/>
      <c r="J1125" s="257"/>
      <c r="K1125" s="257"/>
      <c r="L1125" s="257"/>
      <c r="M1125" s="259"/>
      <c r="N1125" s="10"/>
      <c r="O1125" s="133"/>
      <c r="P1125" s="133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257"/>
      <c r="B1126" s="257"/>
      <c r="C1126" s="258"/>
      <c r="D1126" s="257"/>
      <c r="E1126" s="257"/>
      <c r="F1126" s="257"/>
      <c r="G1126" s="257"/>
      <c r="H1126" s="257"/>
      <c r="I1126" s="257"/>
      <c r="J1126" s="257"/>
      <c r="K1126" s="257"/>
      <c r="L1126" s="257"/>
      <c r="M1126" s="259"/>
      <c r="N1126" s="10"/>
      <c r="O1126" s="133"/>
      <c r="P1126" s="133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257"/>
      <c r="B1127" s="257"/>
      <c r="C1127" s="258"/>
      <c r="D1127" s="257"/>
      <c r="E1127" s="257"/>
      <c r="F1127" s="257"/>
      <c r="G1127" s="257"/>
      <c r="H1127" s="257"/>
      <c r="I1127" s="257"/>
      <c r="J1127" s="257"/>
      <c r="K1127" s="257"/>
      <c r="L1127" s="257"/>
      <c r="M1127" s="259"/>
      <c r="N1127" s="10"/>
      <c r="O1127" s="133"/>
      <c r="P1127" s="133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257"/>
      <c r="B1128" s="257"/>
      <c r="C1128" s="258"/>
      <c r="D1128" s="257"/>
      <c r="E1128" s="257"/>
      <c r="F1128" s="257"/>
      <c r="G1128" s="257"/>
      <c r="H1128" s="257"/>
      <c r="I1128" s="257"/>
      <c r="J1128" s="257"/>
      <c r="K1128" s="257"/>
      <c r="L1128" s="257"/>
      <c r="M1128" s="259"/>
      <c r="N1128" s="10"/>
      <c r="O1128" s="133"/>
      <c r="P1128" s="133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257"/>
      <c r="B1129" s="257"/>
      <c r="C1129" s="258"/>
      <c r="D1129" s="257"/>
      <c r="E1129" s="257"/>
      <c r="F1129" s="257"/>
      <c r="G1129" s="257"/>
      <c r="H1129" s="257"/>
      <c r="I1129" s="257"/>
      <c r="J1129" s="257"/>
      <c r="K1129" s="257"/>
      <c r="L1129" s="257"/>
      <c r="M1129" s="259"/>
      <c r="N1129" s="10"/>
      <c r="O1129" s="133"/>
      <c r="P1129" s="133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257"/>
      <c r="B1130" s="257"/>
      <c r="C1130" s="258"/>
      <c r="D1130" s="257"/>
      <c r="E1130" s="257"/>
      <c r="F1130" s="257"/>
      <c r="G1130" s="257"/>
      <c r="H1130" s="257"/>
      <c r="I1130" s="257"/>
      <c r="J1130" s="257"/>
      <c r="K1130" s="257"/>
      <c r="L1130" s="257"/>
      <c r="M1130" s="259"/>
      <c r="N1130" s="10"/>
      <c r="O1130" s="133"/>
      <c r="P1130" s="133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257"/>
      <c r="B1131" s="257"/>
      <c r="C1131" s="258"/>
      <c r="D1131" s="257"/>
      <c r="E1131" s="257"/>
      <c r="F1131" s="257"/>
      <c r="G1131" s="257"/>
      <c r="H1131" s="257"/>
      <c r="I1131" s="257"/>
      <c r="J1131" s="257"/>
      <c r="K1131" s="257"/>
      <c r="L1131" s="257"/>
      <c r="M1131" s="259"/>
      <c r="N1131" s="10"/>
      <c r="O1131" s="133"/>
      <c r="P1131" s="133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257"/>
      <c r="B1132" s="257"/>
      <c r="C1132" s="258"/>
      <c r="D1132" s="257"/>
      <c r="E1132" s="257"/>
      <c r="F1132" s="257"/>
      <c r="G1132" s="257"/>
      <c r="H1132" s="257"/>
      <c r="I1132" s="257"/>
      <c r="J1132" s="257"/>
      <c r="K1132" s="257"/>
      <c r="L1132" s="257"/>
      <c r="M1132" s="259"/>
      <c r="N1132" s="10"/>
      <c r="O1132" s="133"/>
      <c r="P1132" s="133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257"/>
      <c r="B1133" s="257"/>
      <c r="C1133" s="258"/>
      <c r="D1133" s="257"/>
      <c r="E1133" s="257"/>
      <c r="F1133" s="257"/>
      <c r="G1133" s="257"/>
      <c r="H1133" s="257"/>
      <c r="I1133" s="257"/>
      <c r="J1133" s="257"/>
      <c r="K1133" s="257"/>
      <c r="L1133" s="257"/>
      <c r="M1133" s="259"/>
      <c r="N1133" s="10"/>
      <c r="O1133" s="133"/>
      <c r="P1133" s="133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257"/>
      <c r="B1134" s="257"/>
      <c r="C1134" s="258"/>
      <c r="D1134" s="257"/>
      <c r="E1134" s="257"/>
      <c r="F1134" s="257"/>
      <c r="G1134" s="257"/>
      <c r="H1134" s="257"/>
      <c r="I1134" s="257"/>
      <c r="J1134" s="257"/>
      <c r="K1134" s="257"/>
      <c r="L1134" s="257"/>
      <c r="M1134" s="259"/>
      <c r="N1134" s="10"/>
      <c r="O1134" s="133"/>
      <c r="P1134" s="133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257"/>
      <c r="B1135" s="257"/>
      <c r="C1135" s="258"/>
      <c r="D1135" s="257"/>
      <c r="E1135" s="257"/>
      <c r="F1135" s="257"/>
      <c r="G1135" s="257"/>
      <c r="H1135" s="257"/>
      <c r="I1135" s="257"/>
      <c r="J1135" s="257"/>
      <c r="K1135" s="257"/>
      <c r="L1135" s="257"/>
      <c r="M1135" s="259"/>
      <c r="N1135" s="10"/>
      <c r="O1135" s="133"/>
      <c r="P1135" s="133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257"/>
      <c r="B1136" s="257"/>
      <c r="C1136" s="258"/>
      <c r="D1136" s="257"/>
      <c r="E1136" s="257"/>
      <c r="F1136" s="257"/>
      <c r="G1136" s="257"/>
      <c r="H1136" s="257"/>
      <c r="I1136" s="257"/>
      <c r="J1136" s="257"/>
      <c r="K1136" s="257"/>
      <c r="L1136" s="257"/>
      <c r="M1136" s="259"/>
      <c r="N1136" s="10"/>
      <c r="O1136" s="133"/>
      <c r="P1136" s="133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257"/>
      <c r="B1137" s="257"/>
      <c r="C1137" s="258"/>
      <c r="D1137" s="257"/>
      <c r="E1137" s="257"/>
      <c r="F1137" s="257"/>
      <c r="G1137" s="257"/>
      <c r="H1137" s="257"/>
      <c r="I1137" s="257"/>
      <c r="J1137" s="257"/>
      <c r="K1137" s="257"/>
      <c r="L1137" s="257"/>
      <c r="M1137" s="259"/>
      <c r="N1137" s="10"/>
      <c r="O1137" s="133"/>
      <c r="P1137" s="133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257"/>
      <c r="B1138" s="257"/>
      <c r="C1138" s="258"/>
      <c r="D1138" s="257"/>
      <c r="E1138" s="257"/>
      <c r="F1138" s="257"/>
      <c r="G1138" s="257"/>
      <c r="H1138" s="257"/>
      <c r="I1138" s="257"/>
      <c r="J1138" s="257"/>
      <c r="K1138" s="257"/>
      <c r="L1138" s="257"/>
      <c r="M1138" s="259"/>
      <c r="N1138" s="10"/>
      <c r="O1138" s="133"/>
      <c r="P1138" s="133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257"/>
      <c r="B1139" s="257"/>
      <c r="C1139" s="258"/>
      <c r="D1139" s="257"/>
      <c r="E1139" s="257"/>
      <c r="F1139" s="257"/>
      <c r="G1139" s="257"/>
      <c r="H1139" s="257"/>
      <c r="I1139" s="257"/>
      <c r="J1139" s="257"/>
      <c r="K1139" s="257"/>
      <c r="L1139" s="257"/>
      <c r="M1139" s="259"/>
      <c r="N1139" s="10"/>
      <c r="O1139" s="133"/>
      <c r="P1139" s="133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257"/>
      <c r="B1140" s="257"/>
      <c r="C1140" s="258"/>
      <c r="D1140" s="257"/>
      <c r="E1140" s="257"/>
      <c r="F1140" s="257"/>
      <c r="G1140" s="257"/>
      <c r="H1140" s="257"/>
      <c r="I1140" s="257"/>
      <c r="J1140" s="257"/>
      <c r="K1140" s="257"/>
      <c r="L1140" s="257"/>
      <c r="M1140" s="259"/>
      <c r="N1140" s="10"/>
      <c r="O1140" s="133"/>
      <c r="P1140" s="133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257"/>
      <c r="B1141" s="257"/>
      <c r="C1141" s="258"/>
      <c r="D1141" s="257"/>
      <c r="E1141" s="257"/>
      <c r="F1141" s="257"/>
      <c r="G1141" s="257"/>
      <c r="H1141" s="257"/>
      <c r="I1141" s="257"/>
      <c r="J1141" s="257"/>
      <c r="K1141" s="257"/>
      <c r="L1141" s="257"/>
      <c r="M1141" s="259"/>
      <c r="N1141" s="10"/>
      <c r="O1141" s="133"/>
      <c r="P1141" s="133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257"/>
      <c r="B1142" s="257"/>
      <c r="C1142" s="258"/>
      <c r="D1142" s="257"/>
      <c r="E1142" s="257"/>
      <c r="F1142" s="257"/>
      <c r="G1142" s="257"/>
      <c r="H1142" s="257"/>
      <c r="I1142" s="257"/>
      <c r="J1142" s="257"/>
      <c r="K1142" s="257"/>
      <c r="L1142" s="257"/>
      <c r="M1142" s="259"/>
      <c r="N1142" s="10"/>
      <c r="O1142" s="133"/>
      <c r="P1142" s="133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257"/>
      <c r="B1143" s="257"/>
      <c r="C1143" s="258"/>
      <c r="D1143" s="257"/>
      <c r="E1143" s="257"/>
      <c r="F1143" s="257"/>
      <c r="G1143" s="257"/>
      <c r="H1143" s="257"/>
      <c r="I1143" s="257"/>
      <c r="J1143" s="257"/>
      <c r="K1143" s="257"/>
      <c r="L1143" s="257"/>
      <c r="M1143" s="259"/>
      <c r="N1143" s="10"/>
      <c r="O1143" s="133"/>
      <c r="P1143" s="133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257"/>
      <c r="B1144" s="257"/>
      <c r="C1144" s="258"/>
      <c r="D1144" s="257"/>
      <c r="E1144" s="257"/>
      <c r="F1144" s="257"/>
      <c r="G1144" s="257"/>
      <c r="H1144" s="257"/>
      <c r="I1144" s="257"/>
      <c r="J1144" s="257"/>
      <c r="K1144" s="257"/>
      <c r="L1144" s="257"/>
      <c r="M1144" s="259"/>
      <c r="N1144" s="10"/>
      <c r="O1144" s="133"/>
      <c r="P1144" s="133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257"/>
      <c r="B1145" s="257"/>
      <c r="C1145" s="258"/>
      <c r="D1145" s="257"/>
      <c r="E1145" s="257"/>
      <c r="F1145" s="257"/>
      <c r="G1145" s="257"/>
      <c r="H1145" s="257"/>
      <c r="I1145" s="257"/>
      <c r="J1145" s="257"/>
      <c r="K1145" s="257"/>
      <c r="L1145" s="257"/>
      <c r="M1145" s="259"/>
      <c r="N1145" s="10"/>
      <c r="O1145" s="133"/>
      <c r="P1145" s="133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257"/>
      <c r="B1146" s="257"/>
      <c r="C1146" s="258"/>
      <c r="D1146" s="257"/>
      <c r="E1146" s="257"/>
      <c r="F1146" s="257"/>
      <c r="G1146" s="257"/>
      <c r="H1146" s="257"/>
      <c r="I1146" s="257"/>
      <c r="J1146" s="257"/>
      <c r="K1146" s="257"/>
      <c r="L1146" s="257"/>
      <c r="M1146" s="259"/>
      <c r="N1146" s="10"/>
      <c r="O1146" s="133"/>
      <c r="P1146" s="133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257"/>
      <c r="B1147" s="257"/>
      <c r="C1147" s="258"/>
      <c r="D1147" s="257"/>
      <c r="E1147" s="257"/>
      <c r="F1147" s="257"/>
      <c r="G1147" s="257"/>
      <c r="H1147" s="257"/>
      <c r="I1147" s="257"/>
      <c r="J1147" s="257"/>
      <c r="K1147" s="257"/>
      <c r="L1147" s="257"/>
      <c r="M1147" s="259"/>
      <c r="N1147" s="10"/>
      <c r="O1147" s="133"/>
      <c r="P1147" s="133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257"/>
      <c r="B1148" s="257"/>
      <c r="C1148" s="258"/>
      <c r="D1148" s="257"/>
      <c r="E1148" s="257"/>
      <c r="F1148" s="257"/>
      <c r="G1148" s="257"/>
      <c r="H1148" s="257"/>
      <c r="I1148" s="257"/>
      <c r="J1148" s="257"/>
      <c r="K1148" s="257"/>
      <c r="L1148" s="257"/>
      <c r="M1148" s="259"/>
      <c r="N1148" s="10"/>
      <c r="O1148" s="133"/>
      <c r="P1148" s="133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257"/>
      <c r="B1149" s="257"/>
      <c r="C1149" s="258"/>
      <c r="D1149" s="257"/>
      <c r="E1149" s="257"/>
      <c r="F1149" s="257"/>
      <c r="G1149" s="257"/>
      <c r="H1149" s="257"/>
      <c r="I1149" s="257"/>
      <c r="J1149" s="257"/>
      <c r="K1149" s="257"/>
      <c r="L1149" s="257"/>
      <c r="M1149" s="259"/>
      <c r="N1149" s="10"/>
      <c r="O1149" s="133"/>
      <c r="P1149" s="133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257"/>
      <c r="B1150" s="257"/>
      <c r="C1150" s="258"/>
      <c r="D1150" s="257"/>
      <c r="E1150" s="257"/>
      <c r="F1150" s="257"/>
      <c r="G1150" s="257"/>
      <c r="H1150" s="257"/>
      <c r="I1150" s="257"/>
      <c r="J1150" s="257"/>
      <c r="K1150" s="257"/>
      <c r="L1150" s="257"/>
      <c r="M1150" s="259"/>
      <c r="N1150" s="10"/>
      <c r="O1150" s="133"/>
      <c r="P1150" s="133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257"/>
      <c r="B1151" s="257"/>
      <c r="C1151" s="258"/>
      <c r="D1151" s="257"/>
      <c r="E1151" s="257"/>
      <c r="F1151" s="257"/>
      <c r="G1151" s="257"/>
      <c r="H1151" s="257"/>
      <c r="I1151" s="257"/>
      <c r="J1151" s="257"/>
      <c r="K1151" s="257"/>
      <c r="L1151" s="257"/>
      <c r="M1151" s="259"/>
      <c r="N1151" s="10"/>
      <c r="O1151" s="133"/>
      <c r="P1151" s="133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257"/>
      <c r="B1152" s="257"/>
      <c r="C1152" s="258"/>
      <c r="D1152" s="257"/>
      <c r="E1152" s="257"/>
      <c r="F1152" s="257"/>
      <c r="G1152" s="257"/>
      <c r="H1152" s="257"/>
      <c r="I1152" s="257"/>
      <c r="J1152" s="257"/>
      <c r="K1152" s="257"/>
      <c r="L1152" s="257"/>
      <c r="M1152" s="259"/>
      <c r="N1152" s="10"/>
      <c r="O1152" s="133"/>
      <c r="P1152" s="133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257"/>
      <c r="B1153" s="257"/>
      <c r="C1153" s="258"/>
      <c r="D1153" s="257"/>
      <c r="E1153" s="257"/>
      <c r="F1153" s="257"/>
      <c r="G1153" s="257"/>
      <c r="H1153" s="257"/>
      <c r="I1153" s="257"/>
      <c r="J1153" s="257"/>
      <c r="K1153" s="257"/>
      <c r="L1153" s="257"/>
      <c r="M1153" s="259"/>
      <c r="N1153" s="10"/>
      <c r="O1153" s="133"/>
      <c r="P1153" s="133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257"/>
      <c r="B1154" s="257"/>
      <c r="C1154" s="258"/>
      <c r="D1154" s="257"/>
      <c r="E1154" s="257"/>
      <c r="F1154" s="257"/>
      <c r="G1154" s="257"/>
      <c r="H1154" s="257"/>
      <c r="I1154" s="257"/>
      <c r="J1154" s="257"/>
      <c r="K1154" s="257"/>
      <c r="L1154" s="257"/>
      <c r="M1154" s="259"/>
      <c r="N1154" s="10"/>
      <c r="O1154" s="133"/>
      <c r="P1154" s="133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257"/>
      <c r="B1155" s="257"/>
      <c r="C1155" s="258"/>
      <c r="D1155" s="257"/>
      <c r="E1155" s="257"/>
      <c r="F1155" s="257"/>
      <c r="G1155" s="257"/>
      <c r="H1155" s="257"/>
      <c r="I1155" s="257"/>
      <c r="J1155" s="257"/>
      <c r="K1155" s="257"/>
      <c r="L1155" s="257"/>
      <c r="M1155" s="259"/>
      <c r="N1155" s="10"/>
      <c r="O1155" s="133"/>
      <c r="P1155" s="133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257"/>
      <c r="B1156" s="257"/>
      <c r="C1156" s="258"/>
      <c r="D1156" s="257"/>
      <c r="E1156" s="257"/>
      <c r="F1156" s="257"/>
      <c r="G1156" s="257"/>
      <c r="H1156" s="257"/>
      <c r="I1156" s="257"/>
      <c r="J1156" s="257"/>
      <c r="K1156" s="257"/>
      <c r="L1156" s="257"/>
      <c r="M1156" s="259"/>
      <c r="N1156" s="10"/>
      <c r="O1156" s="133"/>
      <c r="P1156" s="133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257"/>
      <c r="B1157" s="257"/>
      <c r="C1157" s="258"/>
      <c r="D1157" s="257"/>
      <c r="E1157" s="257"/>
      <c r="F1157" s="257"/>
      <c r="G1157" s="257"/>
      <c r="H1157" s="257"/>
      <c r="I1157" s="257"/>
      <c r="J1157" s="257"/>
      <c r="K1157" s="257"/>
      <c r="L1157" s="257"/>
      <c r="M1157" s="259"/>
      <c r="N1157" s="10"/>
      <c r="O1157" s="133"/>
      <c r="P1157" s="133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257"/>
      <c r="B1158" s="257"/>
      <c r="C1158" s="258"/>
      <c r="D1158" s="257"/>
      <c r="E1158" s="257"/>
      <c r="F1158" s="257"/>
      <c r="G1158" s="257"/>
      <c r="H1158" s="257"/>
      <c r="I1158" s="257"/>
      <c r="J1158" s="257"/>
      <c r="K1158" s="257"/>
      <c r="L1158" s="257"/>
      <c r="M1158" s="259"/>
      <c r="N1158" s="10"/>
      <c r="O1158" s="133"/>
      <c r="P1158" s="133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257"/>
      <c r="B1159" s="257"/>
      <c r="C1159" s="258"/>
      <c r="D1159" s="257"/>
      <c r="E1159" s="257"/>
      <c r="F1159" s="257"/>
      <c r="G1159" s="257"/>
      <c r="H1159" s="257"/>
      <c r="I1159" s="257"/>
      <c r="J1159" s="257"/>
      <c r="K1159" s="257"/>
      <c r="L1159" s="257"/>
      <c r="M1159" s="259"/>
      <c r="N1159" s="10"/>
      <c r="O1159" s="133"/>
      <c r="P1159" s="133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257"/>
      <c r="B1160" s="257"/>
      <c r="C1160" s="258"/>
      <c r="D1160" s="257"/>
      <c r="E1160" s="257"/>
      <c r="F1160" s="257"/>
      <c r="G1160" s="257"/>
      <c r="H1160" s="257"/>
      <c r="I1160" s="257"/>
      <c r="J1160" s="257"/>
      <c r="K1160" s="257"/>
      <c r="L1160" s="257"/>
      <c r="M1160" s="259"/>
      <c r="N1160" s="10"/>
      <c r="O1160" s="133"/>
      <c r="P1160" s="133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257"/>
      <c r="B1161" s="257"/>
      <c r="C1161" s="258"/>
      <c r="D1161" s="257"/>
      <c r="E1161" s="257"/>
      <c r="F1161" s="257"/>
      <c r="G1161" s="257"/>
      <c r="H1161" s="257"/>
      <c r="I1161" s="257"/>
      <c r="J1161" s="257"/>
      <c r="K1161" s="257"/>
      <c r="L1161" s="257"/>
      <c r="M1161" s="259"/>
      <c r="N1161" s="10"/>
      <c r="O1161" s="133"/>
      <c r="P1161" s="133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257"/>
      <c r="B1162" s="257"/>
      <c r="C1162" s="258"/>
      <c r="D1162" s="257"/>
      <c r="E1162" s="257"/>
      <c r="F1162" s="257"/>
      <c r="G1162" s="257"/>
      <c r="H1162" s="257"/>
      <c r="I1162" s="257"/>
      <c r="J1162" s="257"/>
      <c r="K1162" s="257"/>
      <c r="L1162" s="257"/>
      <c r="M1162" s="259"/>
      <c r="N1162" s="10"/>
      <c r="O1162" s="133"/>
      <c r="P1162" s="133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257"/>
      <c r="B1163" s="257"/>
      <c r="C1163" s="258"/>
      <c r="D1163" s="257"/>
      <c r="E1163" s="257"/>
      <c r="F1163" s="257"/>
      <c r="G1163" s="257"/>
      <c r="H1163" s="257"/>
      <c r="I1163" s="257"/>
      <c r="J1163" s="257"/>
      <c r="K1163" s="257"/>
      <c r="L1163" s="257"/>
      <c r="M1163" s="259"/>
      <c r="N1163" s="10"/>
      <c r="O1163" s="133"/>
      <c r="P1163" s="133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257"/>
      <c r="B1164" s="257"/>
      <c r="C1164" s="258"/>
      <c r="D1164" s="257"/>
      <c r="E1164" s="257"/>
      <c r="F1164" s="257"/>
      <c r="G1164" s="257"/>
      <c r="H1164" s="257"/>
      <c r="I1164" s="257"/>
      <c r="J1164" s="257"/>
      <c r="K1164" s="257"/>
      <c r="L1164" s="257"/>
      <c r="M1164" s="259"/>
      <c r="N1164" s="10"/>
      <c r="O1164" s="133"/>
      <c r="P1164" s="133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257"/>
      <c r="B1165" s="257"/>
      <c r="C1165" s="258"/>
      <c r="D1165" s="257"/>
      <c r="E1165" s="257"/>
      <c r="F1165" s="257"/>
      <c r="G1165" s="257"/>
      <c r="H1165" s="257"/>
      <c r="I1165" s="257"/>
      <c r="J1165" s="257"/>
      <c r="K1165" s="257"/>
      <c r="L1165" s="257"/>
      <c r="M1165" s="259"/>
      <c r="N1165" s="10"/>
      <c r="O1165" s="133"/>
      <c r="P1165" s="133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257"/>
      <c r="B1166" s="257"/>
      <c r="C1166" s="258"/>
      <c r="D1166" s="257"/>
      <c r="E1166" s="257"/>
      <c r="F1166" s="257"/>
      <c r="G1166" s="257"/>
      <c r="H1166" s="257"/>
      <c r="I1166" s="257"/>
      <c r="J1166" s="257"/>
      <c r="K1166" s="257"/>
      <c r="L1166" s="257"/>
      <c r="M1166" s="259"/>
      <c r="N1166" s="10"/>
      <c r="O1166" s="133"/>
      <c r="P1166" s="133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257"/>
      <c r="B1167" s="257"/>
      <c r="C1167" s="258"/>
      <c r="D1167" s="257"/>
      <c r="E1167" s="257"/>
      <c r="F1167" s="257"/>
      <c r="G1167" s="257"/>
      <c r="H1167" s="257"/>
      <c r="I1167" s="257"/>
      <c r="J1167" s="257"/>
      <c r="K1167" s="257"/>
      <c r="L1167" s="257"/>
      <c r="M1167" s="259"/>
      <c r="N1167" s="10"/>
      <c r="O1167" s="133"/>
      <c r="P1167" s="133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257"/>
      <c r="B1168" s="257"/>
      <c r="C1168" s="258"/>
      <c r="D1168" s="257"/>
      <c r="E1168" s="257"/>
      <c r="F1168" s="257"/>
      <c r="G1168" s="257"/>
      <c r="H1168" s="257"/>
      <c r="I1168" s="257"/>
      <c r="J1168" s="257"/>
      <c r="K1168" s="257"/>
      <c r="L1168" s="257"/>
      <c r="M1168" s="259"/>
      <c r="N1168" s="10"/>
      <c r="O1168" s="133"/>
      <c r="P1168" s="133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257"/>
      <c r="B1169" s="257"/>
      <c r="C1169" s="258"/>
      <c r="D1169" s="257"/>
      <c r="E1169" s="257"/>
      <c r="F1169" s="257"/>
      <c r="G1169" s="257"/>
      <c r="H1169" s="257"/>
      <c r="I1169" s="257"/>
      <c r="J1169" s="257"/>
      <c r="K1169" s="257"/>
      <c r="L1169" s="257"/>
      <c r="M1169" s="259"/>
      <c r="N1169" s="10"/>
      <c r="O1169" s="133"/>
      <c r="P1169" s="133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257"/>
      <c r="B1170" s="257"/>
      <c r="C1170" s="258"/>
      <c r="D1170" s="257"/>
      <c r="E1170" s="257"/>
      <c r="F1170" s="257"/>
      <c r="G1170" s="257"/>
      <c r="H1170" s="257"/>
      <c r="I1170" s="257"/>
      <c r="J1170" s="257"/>
      <c r="K1170" s="257"/>
      <c r="L1170" s="257"/>
      <c r="M1170" s="259"/>
      <c r="N1170" s="10"/>
      <c r="O1170" s="133"/>
      <c r="P1170" s="133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257"/>
      <c r="B1171" s="257"/>
      <c r="C1171" s="258"/>
      <c r="D1171" s="257"/>
      <c r="E1171" s="257"/>
      <c r="F1171" s="257"/>
      <c r="G1171" s="257"/>
      <c r="H1171" s="257"/>
      <c r="I1171" s="257"/>
      <c r="J1171" s="257"/>
      <c r="K1171" s="257"/>
      <c r="L1171" s="257"/>
      <c r="M1171" s="259"/>
      <c r="N1171" s="10"/>
      <c r="O1171" s="133"/>
      <c r="P1171" s="133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257"/>
      <c r="B1172" s="257"/>
      <c r="C1172" s="258"/>
      <c r="D1172" s="257"/>
      <c r="E1172" s="257"/>
      <c r="F1172" s="257"/>
      <c r="G1172" s="257"/>
      <c r="H1172" s="257"/>
      <c r="I1172" s="257"/>
      <c r="J1172" s="257"/>
      <c r="K1172" s="257"/>
      <c r="L1172" s="257"/>
      <c r="M1172" s="259"/>
      <c r="N1172" s="10"/>
      <c r="O1172" s="133"/>
      <c r="P1172" s="133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257"/>
      <c r="B1173" s="257"/>
      <c r="C1173" s="258"/>
      <c r="D1173" s="257"/>
      <c r="E1173" s="257"/>
      <c r="F1173" s="257"/>
      <c r="G1173" s="257"/>
      <c r="H1173" s="257"/>
      <c r="I1173" s="257"/>
      <c r="J1173" s="257"/>
      <c r="K1173" s="257"/>
      <c r="L1173" s="257"/>
      <c r="M1173" s="259"/>
      <c r="N1173" s="10"/>
      <c r="O1173" s="133"/>
      <c r="P1173" s="133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257"/>
      <c r="B1174" s="257"/>
      <c r="C1174" s="258"/>
      <c r="D1174" s="257"/>
      <c r="E1174" s="257"/>
      <c r="F1174" s="257"/>
      <c r="G1174" s="257"/>
      <c r="H1174" s="257"/>
      <c r="I1174" s="257"/>
      <c r="J1174" s="257"/>
      <c r="K1174" s="257"/>
      <c r="L1174" s="257"/>
      <c r="M1174" s="259"/>
      <c r="N1174" s="10"/>
      <c r="O1174" s="133"/>
      <c r="P1174" s="133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257"/>
      <c r="B1175" s="257"/>
      <c r="C1175" s="258"/>
      <c r="D1175" s="257"/>
      <c r="E1175" s="257"/>
      <c r="F1175" s="257"/>
      <c r="G1175" s="257"/>
      <c r="H1175" s="257"/>
      <c r="I1175" s="257"/>
      <c r="J1175" s="257"/>
      <c r="K1175" s="257"/>
      <c r="L1175" s="257"/>
      <c r="M1175" s="259"/>
      <c r="N1175" s="10"/>
      <c r="O1175" s="133"/>
      <c r="P1175" s="133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257"/>
      <c r="B1176" s="257"/>
      <c r="C1176" s="258"/>
      <c r="D1176" s="257"/>
      <c r="E1176" s="257"/>
      <c r="F1176" s="257"/>
      <c r="G1176" s="257"/>
      <c r="H1176" s="257"/>
      <c r="I1176" s="257"/>
      <c r="J1176" s="257"/>
      <c r="K1176" s="257"/>
      <c r="L1176" s="257"/>
      <c r="M1176" s="259"/>
      <c r="N1176" s="10"/>
      <c r="O1176" s="133"/>
      <c r="P1176" s="133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257"/>
      <c r="B1177" s="257"/>
      <c r="C1177" s="258"/>
      <c r="D1177" s="257"/>
      <c r="E1177" s="257"/>
      <c r="F1177" s="257"/>
      <c r="G1177" s="257"/>
      <c r="H1177" s="257"/>
      <c r="I1177" s="257"/>
      <c r="J1177" s="257"/>
      <c r="K1177" s="257"/>
      <c r="L1177" s="257"/>
      <c r="M1177" s="259"/>
      <c r="N1177" s="10"/>
      <c r="O1177" s="133"/>
      <c r="P1177" s="133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257"/>
      <c r="B1178" s="257"/>
      <c r="C1178" s="258"/>
      <c r="D1178" s="257"/>
      <c r="E1178" s="257"/>
      <c r="F1178" s="257"/>
      <c r="G1178" s="257"/>
      <c r="H1178" s="257"/>
      <c r="I1178" s="257"/>
      <c r="J1178" s="257"/>
      <c r="K1178" s="257"/>
      <c r="L1178" s="257"/>
      <c r="M1178" s="259"/>
      <c r="N1178" s="10"/>
      <c r="O1178" s="133"/>
      <c r="P1178" s="133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257"/>
      <c r="B1179" s="257"/>
      <c r="C1179" s="258"/>
      <c r="D1179" s="257"/>
      <c r="E1179" s="257"/>
      <c r="F1179" s="257"/>
      <c r="G1179" s="257"/>
      <c r="H1179" s="257"/>
      <c r="I1179" s="257"/>
      <c r="J1179" s="257"/>
      <c r="K1179" s="257"/>
      <c r="L1179" s="257"/>
      <c r="M1179" s="259"/>
      <c r="N1179" s="10"/>
      <c r="O1179" s="133"/>
      <c r="P1179" s="133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257"/>
      <c r="B1180" s="257"/>
      <c r="C1180" s="258"/>
      <c r="D1180" s="257"/>
      <c r="E1180" s="257"/>
      <c r="F1180" s="257"/>
      <c r="G1180" s="257"/>
      <c r="H1180" s="257"/>
      <c r="I1180" s="257"/>
      <c r="J1180" s="257"/>
      <c r="K1180" s="257"/>
      <c r="L1180" s="257"/>
      <c r="M1180" s="259"/>
      <c r="N1180" s="10"/>
      <c r="O1180" s="133"/>
      <c r="P1180" s="133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257"/>
      <c r="B1181" s="257"/>
      <c r="C1181" s="258"/>
      <c r="D1181" s="257"/>
      <c r="E1181" s="257"/>
      <c r="F1181" s="257"/>
      <c r="G1181" s="257"/>
      <c r="H1181" s="257"/>
      <c r="I1181" s="257"/>
      <c r="J1181" s="257"/>
      <c r="K1181" s="257"/>
      <c r="L1181" s="257"/>
      <c r="M1181" s="259"/>
      <c r="N1181" s="10"/>
      <c r="O1181" s="133"/>
      <c r="P1181" s="133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257"/>
      <c r="B1182" s="257"/>
      <c r="C1182" s="258"/>
      <c r="D1182" s="257"/>
      <c r="E1182" s="257"/>
      <c r="F1182" s="257"/>
      <c r="G1182" s="257"/>
      <c r="H1182" s="257"/>
      <c r="I1182" s="257"/>
      <c r="J1182" s="257"/>
      <c r="K1182" s="257"/>
      <c r="L1182" s="257"/>
      <c r="M1182" s="259"/>
      <c r="N1182" s="10"/>
      <c r="O1182" s="133"/>
      <c r="P1182" s="133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257"/>
      <c r="B1183" s="257"/>
      <c r="C1183" s="258"/>
      <c r="D1183" s="257"/>
      <c r="E1183" s="257"/>
      <c r="F1183" s="257"/>
      <c r="G1183" s="257"/>
      <c r="H1183" s="257"/>
      <c r="I1183" s="257"/>
      <c r="J1183" s="257"/>
      <c r="K1183" s="257"/>
      <c r="L1183" s="257"/>
      <c r="M1183" s="259"/>
      <c r="N1183" s="10"/>
      <c r="O1183" s="133"/>
      <c r="P1183" s="133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257"/>
      <c r="B1184" s="257"/>
      <c r="C1184" s="258"/>
      <c r="D1184" s="257"/>
      <c r="E1184" s="257"/>
      <c r="F1184" s="257"/>
      <c r="G1184" s="257"/>
      <c r="H1184" s="257"/>
      <c r="I1184" s="257"/>
      <c r="J1184" s="257"/>
      <c r="K1184" s="257"/>
      <c r="L1184" s="257"/>
      <c r="M1184" s="259"/>
      <c r="N1184" s="10"/>
      <c r="O1184" s="133"/>
      <c r="P1184" s="133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257"/>
      <c r="B1185" s="257"/>
      <c r="C1185" s="258"/>
      <c r="D1185" s="257"/>
      <c r="E1185" s="257"/>
      <c r="F1185" s="257"/>
      <c r="G1185" s="257"/>
      <c r="H1185" s="257"/>
      <c r="I1185" s="257"/>
      <c r="J1185" s="257"/>
      <c r="K1185" s="257"/>
      <c r="L1185" s="257"/>
      <c r="M1185" s="259"/>
      <c r="N1185" s="10"/>
      <c r="O1185" s="133"/>
      <c r="P1185" s="133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257"/>
      <c r="B1186" s="257"/>
      <c r="C1186" s="258"/>
      <c r="D1186" s="257"/>
      <c r="E1186" s="257"/>
      <c r="F1186" s="257"/>
      <c r="G1186" s="257"/>
      <c r="H1186" s="257"/>
      <c r="I1186" s="257"/>
      <c r="J1186" s="257"/>
      <c r="K1186" s="257"/>
      <c r="L1186" s="257"/>
      <c r="M1186" s="259"/>
      <c r="N1186" s="10"/>
      <c r="O1186" s="133"/>
      <c r="P1186" s="133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257"/>
      <c r="B1187" s="257"/>
      <c r="C1187" s="258"/>
      <c r="D1187" s="257"/>
      <c r="E1187" s="257"/>
      <c r="F1187" s="257"/>
      <c r="G1187" s="257"/>
      <c r="H1187" s="257"/>
      <c r="I1187" s="257"/>
      <c r="J1187" s="257"/>
      <c r="K1187" s="257"/>
      <c r="L1187" s="257"/>
      <c r="M1187" s="259"/>
      <c r="N1187" s="10"/>
      <c r="O1187" s="133"/>
      <c r="P1187" s="133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257"/>
      <c r="B1188" s="257"/>
      <c r="C1188" s="258"/>
      <c r="D1188" s="257"/>
      <c r="E1188" s="257"/>
      <c r="F1188" s="257"/>
      <c r="G1188" s="257"/>
      <c r="H1188" s="257"/>
      <c r="I1188" s="257"/>
      <c r="J1188" s="257"/>
      <c r="K1188" s="257"/>
      <c r="L1188" s="257"/>
      <c r="M1188" s="259"/>
      <c r="N1188" s="10"/>
      <c r="O1188" s="133"/>
      <c r="P1188" s="133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257"/>
      <c r="B1189" s="257"/>
      <c r="C1189" s="258"/>
      <c r="D1189" s="257"/>
      <c r="E1189" s="257"/>
      <c r="F1189" s="257"/>
      <c r="G1189" s="257"/>
      <c r="H1189" s="257"/>
      <c r="I1189" s="257"/>
      <c r="J1189" s="257"/>
      <c r="K1189" s="257"/>
      <c r="L1189" s="257"/>
      <c r="M1189" s="259"/>
      <c r="N1189" s="10"/>
      <c r="O1189" s="133"/>
      <c r="P1189" s="133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257"/>
      <c r="B1190" s="257"/>
      <c r="C1190" s="258"/>
      <c r="D1190" s="257"/>
      <c r="E1190" s="257"/>
      <c r="F1190" s="257"/>
      <c r="G1190" s="257"/>
      <c r="H1190" s="257"/>
      <c r="I1190" s="257"/>
      <c r="J1190" s="257"/>
      <c r="K1190" s="257"/>
      <c r="L1190" s="257"/>
      <c r="M1190" s="259"/>
      <c r="N1190" s="10"/>
      <c r="O1190" s="133"/>
      <c r="P1190" s="133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257"/>
      <c r="B1191" s="257"/>
      <c r="C1191" s="258"/>
      <c r="D1191" s="257"/>
      <c r="E1191" s="257"/>
      <c r="F1191" s="257"/>
      <c r="G1191" s="257"/>
      <c r="H1191" s="257"/>
      <c r="I1191" s="257"/>
      <c r="J1191" s="257"/>
      <c r="K1191" s="257"/>
      <c r="L1191" s="257"/>
      <c r="M1191" s="259"/>
      <c r="N1191" s="10"/>
      <c r="O1191" s="133"/>
      <c r="P1191" s="133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257"/>
      <c r="B1192" s="257"/>
      <c r="C1192" s="258"/>
      <c r="D1192" s="257"/>
      <c r="E1192" s="257"/>
      <c r="F1192" s="257"/>
      <c r="G1192" s="257"/>
      <c r="H1192" s="257"/>
      <c r="I1192" s="257"/>
      <c r="J1192" s="257"/>
      <c r="K1192" s="257"/>
      <c r="L1192" s="257"/>
      <c r="M1192" s="259"/>
      <c r="N1192" s="10"/>
      <c r="O1192" s="133"/>
      <c r="P1192" s="133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257"/>
      <c r="B1193" s="257"/>
      <c r="C1193" s="258"/>
      <c r="D1193" s="257"/>
      <c r="E1193" s="257"/>
      <c r="F1193" s="257"/>
      <c r="G1193" s="257"/>
      <c r="H1193" s="257"/>
      <c r="I1193" s="257"/>
      <c r="J1193" s="257"/>
      <c r="K1193" s="257"/>
      <c r="L1193" s="257"/>
      <c r="M1193" s="259"/>
      <c r="N1193" s="10"/>
      <c r="O1193" s="133"/>
      <c r="P1193" s="133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257"/>
      <c r="B1194" s="257"/>
      <c r="C1194" s="258"/>
      <c r="D1194" s="257"/>
      <c r="E1194" s="257"/>
      <c r="F1194" s="257"/>
      <c r="G1194" s="257"/>
      <c r="H1194" s="257"/>
      <c r="I1194" s="257"/>
      <c r="J1194" s="257"/>
      <c r="K1194" s="257"/>
      <c r="L1194" s="257"/>
      <c r="M1194" s="259"/>
      <c r="N1194" s="10"/>
      <c r="O1194" s="133"/>
      <c r="P1194" s="133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257"/>
      <c r="B1195" s="257"/>
      <c r="C1195" s="258"/>
      <c r="D1195" s="257"/>
      <c r="E1195" s="257"/>
      <c r="F1195" s="257"/>
      <c r="G1195" s="257"/>
      <c r="H1195" s="257"/>
      <c r="I1195" s="257"/>
      <c r="J1195" s="257"/>
      <c r="K1195" s="257"/>
      <c r="L1195" s="257"/>
      <c r="M1195" s="259"/>
      <c r="N1195" s="10"/>
      <c r="O1195" s="133"/>
      <c r="P1195" s="133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257"/>
      <c r="B1196" s="257"/>
      <c r="C1196" s="258"/>
      <c r="D1196" s="257"/>
      <c r="E1196" s="257"/>
      <c r="F1196" s="257"/>
      <c r="G1196" s="257"/>
      <c r="H1196" s="257"/>
      <c r="I1196" s="257"/>
      <c r="J1196" s="257"/>
      <c r="K1196" s="257"/>
      <c r="L1196" s="257"/>
      <c r="M1196" s="259"/>
      <c r="N1196" s="10"/>
      <c r="O1196" s="133"/>
      <c r="P1196" s="133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257"/>
      <c r="B1197" s="257"/>
      <c r="C1197" s="258"/>
      <c r="D1197" s="257"/>
      <c r="E1197" s="257"/>
      <c r="F1197" s="257"/>
      <c r="G1197" s="257"/>
      <c r="H1197" s="257"/>
      <c r="I1197" s="257"/>
      <c r="J1197" s="257"/>
      <c r="K1197" s="257"/>
      <c r="L1197" s="257"/>
      <c r="M1197" s="259"/>
      <c r="N1197" s="10"/>
      <c r="O1197" s="133"/>
      <c r="P1197" s="133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257"/>
      <c r="B1198" s="257"/>
      <c r="C1198" s="258"/>
      <c r="D1198" s="257"/>
      <c r="E1198" s="257"/>
      <c r="F1198" s="257"/>
      <c r="G1198" s="257"/>
      <c r="H1198" s="257"/>
      <c r="I1198" s="257"/>
      <c r="J1198" s="257"/>
      <c r="K1198" s="257"/>
      <c r="L1198" s="257"/>
      <c r="M1198" s="259"/>
      <c r="N1198" s="10"/>
      <c r="O1198" s="133"/>
      <c r="P1198" s="133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257"/>
      <c r="B1199" s="257"/>
      <c r="C1199" s="258"/>
      <c r="D1199" s="257"/>
      <c r="E1199" s="257"/>
      <c r="F1199" s="257"/>
      <c r="G1199" s="257"/>
      <c r="H1199" s="257"/>
      <c r="I1199" s="257"/>
      <c r="J1199" s="257"/>
      <c r="K1199" s="257"/>
      <c r="L1199" s="257"/>
      <c r="M1199" s="259"/>
      <c r="N1199" s="10"/>
      <c r="O1199" s="133"/>
      <c r="P1199" s="133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257"/>
      <c r="B1200" s="257"/>
      <c r="C1200" s="258"/>
      <c r="D1200" s="257"/>
      <c r="E1200" s="257"/>
      <c r="F1200" s="257"/>
      <c r="G1200" s="257"/>
      <c r="H1200" s="257"/>
      <c r="I1200" s="257"/>
      <c r="J1200" s="257"/>
      <c r="K1200" s="257"/>
      <c r="L1200" s="257"/>
      <c r="M1200" s="259"/>
      <c r="N1200" s="10"/>
      <c r="O1200" s="133"/>
      <c r="P1200" s="133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257"/>
      <c r="B1201" s="257"/>
      <c r="C1201" s="258"/>
      <c r="D1201" s="257"/>
      <c r="E1201" s="257"/>
      <c r="F1201" s="257"/>
      <c r="G1201" s="257"/>
      <c r="H1201" s="257"/>
      <c r="I1201" s="257"/>
      <c r="J1201" s="257"/>
      <c r="K1201" s="257"/>
      <c r="L1201" s="257"/>
      <c r="M1201" s="259"/>
      <c r="N1201" s="10"/>
      <c r="O1201" s="133"/>
      <c r="P1201" s="133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257"/>
      <c r="B1202" s="257"/>
      <c r="C1202" s="258"/>
      <c r="D1202" s="257"/>
      <c r="E1202" s="257"/>
      <c r="F1202" s="257"/>
      <c r="G1202" s="257"/>
      <c r="H1202" s="257"/>
      <c r="I1202" s="257"/>
      <c r="J1202" s="257"/>
      <c r="K1202" s="257"/>
      <c r="L1202" s="257"/>
      <c r="M1202" s="259"/>
      <c r="N1202" s="10"/>
      <c r="O1202" s="133"/>
      <c r="P1202" s="133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257"/>
      <c r="B1203" s="257"/>
      <c r="C1203" s="258"/>
      <c r="D1203" s="257"/>
      <c r="E1203" s="257"/>
      <c r="F1203" s="257"/>
      <c r="G1203" s="257"/>
      <c r="H1203" s="257"/>
      <c r="I1203" s="257"/>
      <c r="J1203" s="257"/>
      <c r="K1203" s="257"/>
      <c r="L1203" s="257"/>
      <c r="M1203" s="259"/>
      <c r="N1203" s="10"/>
      <c r="O1203" s="133"/>
      <c r="P1203" s="133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257"/>
      <c r="B1204" s="257"/>
      <c r="C1204" s="258"/>
      <c r="D1204" s="257"/>
      <c r="E1204" s="257"/>
      <c r="F1204" s="257"/>
      <c r="G1204" s="257"/>
      <c r="H1204" s="257"/>
      <c r="I1204" s="257"/>
      <c r="J1204" s="257"/>
      <c r="K1204" s="257"/>
      <c r="L1204" s="257"/>
      <c r="M1204" s="259"/>
      <c r="N1204" s="10"/>
      <c r="O1204" s="133"/>
      <c r="P1204" s="133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257"/>
      <c r="B1205" s="257"/>
      <c r="C1205" s="258"/>
      <c r="D1205" s="257"/>
      <c r="E1205" s="257"/>
      <c r="F1205" s="257"/>
      <c r="G1205" s="257"/>
      <c r="H1205" s="257"/>
      <c r="I1205" s="257"/>
      <c r="J1205" s="257"/>
      <c r="K1205" s="257"/>
      <c r="L1205" s="257"/>
      <c r="M1205" s="259"/>
      <c r="N1205" s="10"/>
      <c r="O1205" s="133"/>
      <c r="P1205" s="133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257"/>
      <c r="B1206" s="257"/>
      <c r="C1206" s="258"/>
      <c r="D1206" s="257"/>
      <c r="E1206" s="257"/>
      <c r="F1206" s="257"/>
      <c r="G1206" s="257"/>
      <c r="H1206" s="257"/>
      <c r="I1206" s="257"/>
      <c r="J1206" s="257"/>
      <c r="K1206" s="257"/>
      <c r="L1206" s="257"/>
      <c r="M1206" s="259"/>
      <c r="N1206" s="10"/>
      <c r="O1206" s="133"/>
      <c r="P1206" s="133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257"/>
      <c r="B1207" s="257"/>
      <c r="C1207" s="258"/>
      <c r="D1207" s="257"/>
      <c r="E1207" s="257"/>
      <c r="F1207" s="257"/>
      <c r="G1207" s="257"/>
      <c r="H1207" s="257"/>
      <c r="I1207" s="257"/>
      <c r="J1207" s="257"/>
      <c r="K1207" s="257"/>
      <c r="L1207" s="257"/>
      <c r="M1207" s="259"/>
      <c r="N1207" s="10"/>
      <c r="O1207" s="133"/>
      <c r="P1207" s="133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257"/>
      <c r="B1208" s="257"/>
      <c r="C1208" s="258"/>
      <c r="D1208" s="257"/>
      <c r="E1208" s="257"/>
      <c r="F1208" s="257"/>
      <c r="G1208" s="257"/>
      <c r="H1208" s="257"/>
      <c r="I1208" s="257"/>
      <c r="J1208" s="257"/>
      <c r="K1208" s="257"/>
      <c r="L1208" s="257"/>
      <c r="M1208" s="259"/>
      <c r="N1208" s="10"/>
      <c r="O1208" s="133"/>
      <c r="P1208" s="133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257"/>
      <c r="B1209" s="257"/>
      <c r="C1209" s="258"/>
      <c r="D1209" s="257"/>
      <c r="E1209" s="257"/>
      <c r="F1209" s="257"/>
      <c r="G1209" s="257"/>
      <c r="H1209" s="257"/>
      <c r="I1209" s="257"/>
      <c r="J1209" s="257"/>
      <c r="K1209" s="257"/>
      <c r="L1209" s="257"/>
      <c r="M1209" s="259"/>
      <c r="N1209" s="10"/>
      <c r="O1209" s="133"/>
      <c r="P1209" s="133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257"/>
      <c r="B1210" s="257"/>
      <c r="C1210" s="258"/>
      <c r="D1210" s="257"/>
      <c r="E1210" s="257"/>
      <c r="F1210" s="257"/>
      <c r="G1210" s="257"/>
      <c r="H1210" s="257"/>
      <c r="I1210" s="257"/>
      <c r="J1210" s="257"/>
      <c r="K1210" s="257"/>
      <c r="L1210" s="257"/>
      <c r="M1210" s="259"/>
      <c r="N1210" s="10"/>
      <c r="O1210" s="133"/>
      <c r="P1210" s="133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257"/>
      <c r="B1211" s="257"/>
      <c r="C1211" s="258"/>
      <c r="D1211" s="257"/>
      <c r="E1211" s="257"/>
      <c r="F1211" s="257"/>
      <c r="G1211" s="257"/>
      <c r="H1211" s="257"/>
      <c r="I1211" s="257"/>
      <c r="J1211" s="257"/>
      <c r="K1211" s="257"/>
      <c r="L1211" s="257"/>
      <c r="M1211" s="259"/>
      <c r="N1211" s="10"/>
      <c r="O1211" s="133"/>
      <c r="P1211" s="133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257"/>
      <c r="B1212" s="257"/>
      <c r="C1212" s="258"/>
      <c r="D1212" s="257"/>
      <c r="E1212" s="257"/>
      <c r="F1212" s="257"/>
      <c r="G1212" s="257"/>
      <c r="H1212" s="257"/>
      <c r="I1212" s="257"/>
      <c r="J1212" s="257"/>
      <c r="K1212" s="257"/>
      <c r="L1212" s="257"/>
      <c r="M1212" s="259"/>
      <c r="N1212" s="10"/>
      <c r="O1212" s="133"/>
      <c r="P1212" s="133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257"/>
      <c r="B1213" s="257"/>
      <c r="C1213" s="258"/>
      <c r="D1213" s="257"/>
      <c r="E1213" s="257"/>
      <c r="F1213" s="257"/>
      <c r="G1213" s="257"/>
      <c r="H1213" s="257"/>
      <c r="I1213" s="257"/>
      <c r="J1213" s="257"/>
      <c r="K1213" s="257"/>
      <c r="L1213" s="257"/>
      <c r="M1213" s="259"/>
      <c r="N1213" s="10"/>
      <c r="O1213" s="133"/>
      <c r="P1213" s="133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257"/>
      <c r="B1214" s="257"/>
      <c r="C1214" s="258"/>
      <c r="D1214" s="257"/>
      <c r="E1214" s="257"/>
      <c r="F1214" s="257"/>
      <c r="G1214" s="257"/>
      <c r="H1214" s="257"/>
      <c r="I1214" s="257"/>
      <c r="J1214" s="257"/>
      <c r="K1214" s="257"/>
      <c r="L1214" s="257"/>
      <c r="M1214" s="259"/>
      <c r="N1214" s="10"/>
      <c r="O1214" s="133"/>
      <c r="P1214" s="133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257"/>
      <c r="B1215" s="257"/>
      <c r="C1215" s="258"/>
      <c r="D1215" s="257"/>
      <c r="E1215" s="257"/>
      <c r="F1215" s="257"/>
      <c r="G1215" s="257"/>
      <c r="H1215" s="257"/>
      <c r="I1215" s="257"/>
      <c r="J1215" s="257"/>
      <c r="K1215" s="257"/>
      <c r="L1215" s="257"/>
      <c r="M1215" s="259"/>
      <c r="N1215" s="10"/>
      <c r="O1215" s="133"/>
      <c r="P1215" s="133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257"/>
      <c r="B1216" s="257"/>
      <c r="C1216" s="258"/>
      <c r="D1216" s="257"/>
      <c r="E1216" s="257"/>
      <c r="F1216" s="257"/>
      <c r="G1216" s="257"/>
      <c r="H1216" s="257"/>
      <c r="I1216" s="257"/>
      <c r="J1216" s="257"/>
      <c r="K1216" s="257"/>
      <c r="L1216" s="257"/>
      <c r="M1216" s="259"/>
      <c r="N1216" s="10"/>
      <c r="O1216" s="133"/>
      <c r="P1216" s="133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257"/>
      <c r="B1217" s="257"/>
      <c r="C1217" s="258"/>
      <c r="D1217" s="257"/>
      <c r="E1217" s="257"/>
      <c r="F1217" s="257"/>
      <c r="G1217" s="257"/>
      <c r="H1217" s="257"/>
      <c r="I1217" s="257"/>
      <c r="J1217" s="257"/>
      <c r="K1217" s="257"/>
      <c r="L1217" s="257"/>
      <c r="M1217" s="259"/>
      <c r="N1217" s="10"/>
      <c r="O1217" s="133"/>
      <c r="P1217" s="133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257"/>
      <c r="B1218" s="257"/>
      <c r="C1218" s="258"/>
      <c r="D1218" s="257"/>
      <c r="E1218" s="257"/>
      <c r="F1218" s="257"/>
      <c r="G1218" s="257"/>
      <c r="H1218" s="257"/>
      <c r="I1218" s="257"/>
      <c r="J1218" s="257"/>
      <c r="K1218" s="257"/>
      <c r="L1218" s="257"/>
      <c r="M1218" s="259"/>
      <c r="N1218" s="10"/>
      <c r="O1218" s="133"/>
      <c r="P1218" s="133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257"/>
      <c r="B1219" s="257"/>
      <c r="C1219" s="258"/>
      <c r="D1219" s="257"/>
      <c r="E1219" s="257"/>
      <c r="F1219" s="257"/>
      <c r="G1219" s="257"/>
      <c r="H1219" s="257"/>
      <c r="I1219" s="257"/>
      <c r="J1219" s="257"/>
      <c r="K1219" s="257"/>
      <c r="L1219" s="257"/>
      <c r="M1219" s="259"/>
      <c r="N1219" s="10"/>
      <c r="O1219" s="133"/>
      <c r="P1219" s="133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257"/>
      <c r="B1220" s="257"/>
      <c r="C1220" s="258"/>
      <c r="D1220" s="257"/>
      <c r="E1220" s="257"/>
      <c r="F1220" s="257"/>
      <c r="G1220" s="257"/>
      <c r="H1220" s="257"/>
      <c r="I1220" s="257"/>
      <c r="J1220" s="257"/>
      <c r="K1220" s="257"/>
      <c r="L1220" s="257"/>
      <c r="M1220" s="259"/>
      <c r="N1220" s="10"/>
      <c r="O1220" s="133"/>
      <c r="P1220" s="133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257"/>
      <c r="B1221" s="257"/>
      <c r="C1221" s="258"/>
      <c r="D1221" s="257"/>
      <c r="E1221" s="257"/>
      <c r="F1221" s="257"/>
      <c r="G1221" s="257"/>
      <c r="H1221" s="257"/>
      <c r="I1221" s="257"/>
      <c r="J1221" s="257"/>
      <c r="K1221" s="257"/>
      <c r="L1221" s="257"/>
      <c r="M1221" s="259"/>
      <c r="N1221" s="10"/>
      <c r="O1221" s="133"/>
      <c r="P1221" s="133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257"/>
      <c r="B1222" s="257"/>
      <c r="C1222" s="258"/>
      <c r="D1222" s="257"/>
      <c r="E1222" s="257"/>
      <c r="F1222" s="257"/>
      <c r="G1222" s="257"/>
      <c r="H1222" s="257"/>
      <c r="I1222" s="257"/>
      <c r="J1222" s="257"/>
      <c r="K1222" s="257"/>
      <c r="L1222" s="257"/>
      <c r="M1222" s="259"/>
      <c r="N1222" s="10"/>
      <c r="O1222" s="133"/>
      <c r="P1222" s="133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257"/>
      <c r="B1223" s="257"/>
      <c r="C1223" s="258"/>
      <c r="D1223" s="257"/>
      <c r="E1223" s="257"/>
      <c r="F1223" s="257"/>
      <c r="G1223" s="257"/>
      <c r="H1223" s="257"/>
      <c r="I1223" s="257"/>
      <c r="J1223" s="257"/>
      <c r="K1223" s="257"/>
      <c r="L1223" s="257"/>
      <c r="M1223" s="259"/>
      <c r="N1223" s="10"/>
      <c r="O1223" s="133"/>
      <c r="P1223" s="133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257"/>
      <c r="B1224" s="257"/>
      <c r="C1224" s="258"/>
      <c r="D1224" s="257"/>
      <c r="E1224" s="257"/>
      <c r="F1224" s="257"/>
      <c r="G1224" s="257"/>
      <c r="H1224" s="257"/>
      <c r="I1224" s="257"/>
      <c r="J1224" s="257"/>
      <c r="K1224" s="257"/>
      <c r="L1224" s="257"/>
      <c r="M1224" s="259"/>
      <c r="N1224" s="10"/>
      <c r="O1224" s="133"/>
      <c r="P1224" s="133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257"/>
      <c r="B1225" s="257"/>
      <c r="C1225" s="258"/>
      <c r="D1225" s="257"/>
      <c r="E1225" s="257"/>
      <c r="F1225" s="257"/>
      <c r="G1225" s="257"/>
      <c r="H1225" s="257"/>
      <c r="I1225" s="257"/>
      <c r="J1225" s="257"/>
      <c r="K1225" s="257"/>
      <c r="L1225" s="257"/>
      <c r="M1225" s="259"/>
      <c r="N1225" s="10"/>
      <c r="O1225" s="133"/>
      <c r="P1225" s="133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257"/>
      <c r="B1226" s="257"/>
      <c r="C1226" s="258"/>
      <c r="D1226" s="257"/>
      <c r="E1226" s="257"/>
      <c r="F1226" s="257"/>
      <c r="G1226" s="257"/>
      <c r="H1226" s="257"/>
      <c r="I1226" s="257"/>
      <c r="J1226" s="257"/>
      <c r="K1226" s="257"/>
      <c r="L1226" s="257"/>
      <c r="M1226" s="259"/>
      <c r="N1226" s="10"/>
      <c r="O1226" s="133"/>
      <c r="P1226" s="133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257"/>
      <c r="B1227" s="257"/>
      <c r="C1227" s="258"/>
      <c r="D1227" s="257"/>
      <c r="E1227" s="257"/>
      <c r="F1227" s="257"/>
      <c r="G1227" s="257"/>
      <c r="H1227" s="257"/>
      <c r="I1227" s="257"/>
      <c r="J1227" s="257"/>
      <c r="K1227" s="257"/>
      <c r="L1227" s="257"/>
      <c r="M1227" s="259"/>
      <c r="N1227" s="10"/>
      <c r="O1227" s="133"/>
      <c r="P1227" s="133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257"/>
      <c r="B1228" s="257"/>
      <c r="C1228" s="258"/>
      <c r="D1228" s="257"/>
      <c r="E1228" s="257"/>
      <c r="F1228" s="257"/>
      <c r="G1228" s="257"/>
      <c r="H1228" s="257"/>
      <c r="I1228" s="257"/>
      <c r="J1228" s="257"/>
      <c r="K1228" s="257"/>
      <c r="L1228" s="257"/>
      <c r="M1228" s="259"/>
      <c r="N1228" s="10"/>
      <c r="O1228" s="133"/>
      <c r="P1228" s="133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257"/>
      <c r="B1229" s="257"/>
      <c r="C1229" s="258"/>
      <c r="D1229" s="257"/>
      <c r="E1229" s="257"/>
      <c r="F1229" s="257"/>
      <c r="G1229" s="257"/>
      <c r="H1229" s="257"/>
      <c r="I1229" s="257"/>
      <c r="J1229" s="257"/>
      <c r="K1229" s="257"/>
      <c r="L1229" s="257"/>
      <c r="M1229" s="259"/>
      <c r="N1229" s="10"/>
      <c r="O1229" s="133"/>
      <c r="P1229" s="133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257"/>
      <c r="B1230" s="257"/>
      <c r="C1230" s="258"/>
      <c r="D1230" s="257"/>
      <c r="E1230" s="257"/>
      <c r="F1230" s="257"/>
      <c r="G1230" s="257"/>
      <c r="H1230" s="257"/>
      <c r="I1230" s="257"/>
      <c r="J1230" s="257"/>
      <c r="K1230" s="257"/>
      <c r="L1230" s="257"/>
      <c r="M1230" s="259"/>
      <c r="N1230" s="10"/>
      <c r="O1230" s="133"/>
      <c r="P1230" s="133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257"/>
      <c r="B1231" s="257"/>
      <c r="C1231" s="258"/>
      <c r="D1231" s="257"/>
      <c r="E1231" s="257"/>
      <c r="F1231" s="257"/>
      <c r="G1231" s="257"/>
      <c r="H1231" s="257"/>
      <c r="I1231" s="257"/>
      <c r="J1231" s="257"/>
      <c r="K1231" s="257"/>
      <c r="L1231" s="257"/>
      <c r="M1231" s="259"/>
      <c r="N1231" s="10"/>
      <c r="O1231" s="133"/>
      <c r="P1231" s="133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257"/>
      <c r="B1232" s="257"/>
      <c r="C1232" s="258"/>
      <c r="D1232" s="257"/>
      <c r="E1232" s="257"/>
      <c r="F1232" s="257"/>
      <c r="G1232" s="257"/>
      <c r="H1232" s="257"/>
      <c r="I1232" s="257"/>
      <c r="J1232" s="257"/>
      <c r="K1232" s="257"/>
      <c r="L1232" s="257"/>
      <c r="M1232" s="259"/>
      <c r="N1232" s="10"/>
      <c r="O1232" s="133"/>
      <c r="P1232" s="133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257"/>
      <c r="B1233" s="257"/>
      <c r="C1233" s="258"/>
      <c r="D1233" s="257"/>
      <c r="E1233" s="257"/>
      <c r="F1233" s="257"/>
      <c r="G1233" s="257"/>
      <c r="H1233" s="257"/>
      <c r="I1233" s="257"/>
      <c r="J1233" s="257"/>
      <c r="K1233" s="257"/>
      <c r="L1233" s="257"/>
      <c r="M1233" s="259"/>
      <c r="N1233" s="10"/>
      <c r="O1233" s="133"/>
      <c r="P1233" s="133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257"/>
      <c r="B1234" s="257"/>
      <c r="C1234" s="258"/>
      <c r="D1234" s="257"/>
      <c r="E1234" s="257"/>
      <c r="F1234" s="257"/>
      <c r="G1234" s="257"/>
      <c r="H1234" s="257"/>
      <c r="I1234" s="257"/>
      <c r="J1234" s="257"/>
      <c r="K1234" s="257"/>
      <c r="L1234" s="257"/>
      <c r="M1234" s="259"/>
      <c r="N1234" s="10"/>
      <c r="O1234" s="133"/>
      <c r="P1234" s="133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257"/>
      <c r="B1235" s="257"/>
      <c r="C1235" s="258"/>
      <c r="D1235" s="257"/>
      <c r="E1235" s="257"/>
      <c r="F1235" s="257"/>
      <c r="G1235" s="257"/>
      <c r="H1235" s="257"/>
      <c r="I1235" s="257"/>
      <c r="J1235" s="257"/>
      <c r="K1235" s="257"/>
      <c r="L1235" s="257"/>
      <c r="M1235" s="259"/>
      <c r="N1235" s="10"/>
      <c r="O1235" s="133"/>
      <c r="P1235" s="133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257"/>
      <c r="B1236" s="257"/>
      <c r="C1236" s="258"/>
      <c r="D1236" s="257"/>
      <c r="E1236" s="257"/>
      <c r="F1236" s="257"/>
      <c r="G1236" s="257"/>
      <c r="H1236" s="257"/>
      <c r="I1236" s="257"/>
      <c r="J1236" s="257"/>
      <c r="K1236" s="257"/>
      <c r="L1236" s="257"/>
      <c r="M1236" s="259"/>
      <c r="N1236" s="10"/>
      <c r="O1236" s="133"/>
      <c r="P1236" s="133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257"/>
      <c r="B1237" s="257"/>
      <c r="C1237" s="258"/>
      <c r="D1237" s="257"/>
      <c r="E1237" s="257"/>
      <c r="F1237" s="257"/>
      <c r="G1237" s="257"/>
      <c r="H1237" s="257"/>
      <c r="I1237" s="257"/>
      <c r="J1237" s="257"/>
      <c r="K1237" s="257"/>
      <c r="L1237" s="257"/>
      <c r="M1237" s="259"/>
      <c r="N1237" s="10"/>
      <c r="O1237" s="133"/>
      <c r="P1237" s="133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257"/>
      <c r="B1238" s="257"/>
      <c r="C1238" s="258"/>
      <c r="D1238" s="257"/>
      <c r="E1238" s="257"/>
      <c r="F1238" s="257"/>
      <c r="G1238" s="257"/>
      <c r="H1238" s="257"/>
      <c r="I1238" s="257"/>
      <c r="J1238" s="257"/>
      <c r="K1238" s="257"/>
      <c r="L1238" s="257"/>
      <c r="M1238" s="259"/>
      <c r="N1238" s="10"/>
      <c r="O1238" s="133"/>
      <c r="P1238" s="133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257"/>
      <c r="B1239" s="257"/>
      <c r="C1239" s="258"/>
      <c r="D1239" s="257"/>
      <c r="E1239" s="257"/>
      <c r="F1239" s="257"/>
      <c r="G1239" s="257"/>
      <c r="H1239" s="257"/>
      <c r="I1239" s="257"/>
      <c r="J1239" s="257"/>
      <c r="K1239" s="257"/>
      <c r="L1239" s="257"/>
      <c r="M1239" s="259"/>
      <c r="N1239" s="10"/>
      <c r="O1239" s="133"/>
      <c r="P1239" s="133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257"/>
      <c r="B1240" s="257"/>
      <c r="C1240" s="258"/>
      <c r="D1240" s="257"/>
      <c r="E1240" s="257"/>
      <c r="F1240" s="257"/>
      <c r="G1240" s="257"/>
      <c r="H1240" s="257"/>
      <c r="I1240" s="257"/>
      <c r="J1240" s="257"/>
      <c r="K1240" s="257"/>
      <c r="L1240" s="257"/>
      <c r="M1240" s="259"/>
      <c r="N1240" s="10"/>
      <c r="O1240" s="133"/>
      <c r="P1240" s="133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257"/>
      <c r="B1241" s="257"/>
      <c r="C1241" s="258"/>
      <c r="D1241" s="257"/>
      <c r="E1241" s="257"/>
      <c r="F1241" s="257"/>
      <c r="G1241" s="257"/>
      <c r="H1241" s="257"/>
      <c r="I1241" s="257"/>
      <c r="J1241" s="257"/>
      <c r="K1241" s="257"/>
      <c r="L1241" s="257"/>
      <c r="M1241" s="259"/>
      <c r="N1241" s="10"/>
      <c r="O1241" s="133"/>
      <c r="P1241" s="133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257"/>
      <c r="B1242" s="257"/>
      <c r="C1242" s="258"/>
      <c r="D1242" s="257"/>
      <c r="E1242" s="257"/>
      <c r="F1242" s="257"/>
      <c r="G1242" s="257"/>
      <c r="H1242" s="257"/>
      <c r="I1242" s="257"/>
      <c r="J1242" s="257"/>
      <c r="K1242" s="257"/>
      <c r="L1242" s="257"/>
      <c r="M1242" s="259"/>
      <c r="N1242" s="10"/>
      <c r="O1242" s="133"/>
      <c r="P1242" s="133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257"/>
      <c r="B1243" s="257"/>
      <c r="C1243" s="258"/>
      <c r="D1243" s="257"/>
      <c r="E1243" s="257"/>
      <c r="F1243" s="257"/>
      <c r="G1243" s="257"/>
      <c r="H1243" s="257"/>
      <c r="I1243" s="257"/>
      <c r="J1243" s="257"/>
      <c r="K1243" s="257"/>
      <c r="L1243" s="257"/>
      <c r="M1243" s="259"/>
      <c r="N1243" s="10"/>
      <c r="O1243" s="133"/>
      <c r="P1243" s="133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257"/>
      <c r="B1244" s="257"/>
      <c r="C1244" s="258"/>
      <c r="D1244" s="257"/>
      <c r="E1244" s="257"/>
      <c r="F1244" s="257"/>
      <c r="G1244" s="257"/>
      <c r="H1244" s="257"/>
      <c r="I1244" s="257"/>
      <c r="J1244" s="257"/>
      <c r="K1244" s="257"/>
      <c r="L1244" s="257"/>
      <c r="M1244" s="259"/>
      <c r="N1244" s="10"/>
      <c r="O1244" s="133"/>
      <c r="P1244" s="133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257"/>
      <c r="B1245" s="257"/>
      <c r="C1245" s="258"/>
      <c r="D1245" s="257"/>
      <c r="E1245" s="257"/>
      <c r="F1245" s="257"/>
      <c r="G1245" s="257"/>
      <c r="H1245" s="257"/>
      <c r="I1245" s="257"/>
      <c r="J1245" s="257"/>
      <c r="K1245" s="257"/>
      <c r="L1245" s="257"/>
      <c r="M1245" s="259"/>
      <c r="N1245" s="10"/>
      <c r="O1245" s="133"/>
      <c r="P1245" s="133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257"/>
      <c r="B1246" s="257"/>
      <c r="C1246" s="258"/>
      <c r="D1246" s="257"/>
      <c r="E1246" s="257"/>
      <c r="F1246" s="257"/>
      <c r="G1246" s="257"/>
      <c r="H1246" s="257"/>
      <c r="I1246" s="257"/>
      <c r="J1246" s="257"/>
      <c r="K1246" s="257"/>
      <c r="L1246" s="257"/>
      <c r="M1246" s="259"/>
      <c r="N1246" s="10"/>
      <c r="O1246" s="133"/>
      <c r="P1246" s="133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257"/>
      <c r="B1247" s="257"/>
      <c r="C1247" s="258"/>
      <c r="D1247" s="257"/>
      <c r="E1247" s="257"/>
      <c r="F1247" s="257"/>
      <c r="G1247" s="257"/>
      <c r="H1247" s="257"/>
      <c r="I1247" s="257"/>
      <c r="J1247" s="257"/>
      <c r="K1247" s="257"/>
      <c r="L1247" s="257"/>
      <c r="M1247" s="259"/>
      <c r="N1247" s="10"/>
      <c r="O1247" s="133"/>
      <c r="P1247" s="133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257"/>
      <c r="B1248" s="257"/>
      <c r="C1248" s="258"/>
      <c r="D1248" s="257"/>
      <c r="E1248" s="257"/>
      <c r="F1248" s="257"/>
      <c r="G1248" s="257"/>
      <c r="H1248" s="257"/>
      <c r="I1248" s="257"/>
      <c r="J1248" s="257"/>
      <c r="K1248" s="257"/>
      <c r="L1248" s="257"/>
      <c r="M1248" s="259"/>
      <c r="N1248" s="10"/>
      <c r="O1248" s="133"/>
      <c r="P1248" s="133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257"/>
      <c r="B1249" s="257"/>
      <c r="C1249" s="258"/>
      <c r="D1249" s="257"/>
      <c r="E1249" s="257"/>
      <c r="F1249" s="257"/>
      <c r="G1249" s="257"/>
      <c r="H1249" s="257"/>
      <c r="I1249" s="257"/>
      <c r="J1249" s="257"/>
      <c r="K1249" s="257"/>
      <c r="L1249" s="257"/>
      <c r="M1249" s="259"/>
      <c r="N1249" s="10"/>
      <c r="O1249" s="133"/>
      <c r="P1249" s="133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257"/>
      <c r="B1250" s="257"/>
      <c r="C1250" s="258"/>
      <c r="D1250" s="257"/>
      <c r="E1250" s="257"/>
      <c r="F1250" s="257"/>
      <c r="G1250" s="257"/>
      <c r="H1250" s="257"/>
      <c r="I1250" s="257"/>
      <c r="J1250" s="257"/>
      <c r="K1250" s="257"/>
      <c r="L1250" s="257"/>
      <c r="M1250" s="259"/>
      <c r="N1250" s="10"/>
      <c r="O1250" s="133"/>
      <c r="P1250" s="133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257"/>
      <c r="B1251" s="257"/>
      <c r="C1251" s="258"/>
      <c r="D1251" s="257"/>
      <c r="E1251" s="257"/>
      <c r="F1251" s="257"/>
      <c r="G1251" s="257"/>
      <c r="H1251" s="257"/>
      <c r="I1251" s="257"/>
      <c r="J1251" s="257"/>
      <c r="K1251" s="257"/>
      <c r="L1251" s="257"/>
      <c r="M1251" s="259"/>
      <c r="N1251" s="10"/>
      <c r="O1251" s="133"/>
      <c r="P1251" s="133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257"/>
      <c r="B1252" s="257"/>
      <c r="C1252" s="258"/>
      <c r="D1252" s="257"/>
      <c r="E1252" s="257"/>
      <c r="F1252" s="257"/>
      <c r="G1252" s="257"/>
      <c r="H1252" s="257"/>
      <c r="I1252" s="257"/>
      <c r="J1252" s="257"/>
      <c r="K1252" s="257"/>
      <c r="L1252" s="257"/>
      <c r="M1252" s="259"/>
      <c r="N1252" s="10"/>
      <c r="O1252" s="133"/>
      <c r="P1252" s="133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257"/>
      <c r="B1253" s="257"/>
      <c r="C1253" s="258"/>
      <c r="D1253" s="257"/>
      <c r="E1253" s="257"/>
      <c r="F1253" s="257"/>
      <c r="G1253" s="257"/>
      <c r="H1253" s="257"/>
      <c r="I1253" s="257"/>
      <c r="J1253" s="257"/>
      <c r="K1253" s="257"/>
      <c r="L1253" s="257"/>
      <c r="M1253" s="259"/>
      <c r="N1253" s="10"/>
      <c r="O1253" s="133"/>
      <c r="P1253" s="133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257"/>
      <c r="B1254" s="257"/>
      <c r="C1254" s="258"/>
      <c r="D1254" s="257"/>
      <c r="E1254" s="257"/>
      <c r="F1254" s="257"/>
      <c r="G1254" s="257"/>
      <c r="H1254" s="257"/>
      <c r="I1254" s="257"/>
      <c r="J1254" s="257"/>
      <c r="K1254" s="257"/>
      <c r="L1254" s="257"/>
      <c r="M1254" s="259"/>
      <c r="N1254" s="10"/>
      <c r="O1254" s="133"/>
      <c r="P1254" s="133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257"/>
      <c r="B1255" s="257"/>
      <c r="C1255" s="258"/>
      <c r="D1255" s="257"/>
      <c r="E1255" s="257"/>
      <c r="F1255" s="257"/>
      <c r="G1255" s="257"/>
      <c r="H1255" s="257"/>
      <c r="I1255" s="257"/>
      <c r="J1255" s="257"/>
      <c r="K1255" s="257"/>
      <c r="L1255" s="257"/>
      <c r="M1255" s="259"/>
      <c r="N1255" s="10"/>
      <c r="O1255" s="133"/>
      <c r="P1255" s="133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257"/>
      <c r="B1256" s="257"/>
      <c r="C1256" s="258"/>
      <c r="D1256" s="257"/>
      <c r="E1256" s="257"/>
      <c r="F1256" s="257"/>
      <c r="G1256" s="257"/>
      <c r="H1256" s="257"/>
      <c r="I1256" s="257"/>
      <c r="J1256" s="257"/>
      <c r="K1256" s="257"/>
      <c r="L1256" s="257"/>
      <c r="M1256" s="259"/>
      <c r="N1256" s="10"/>
      <c r="O1256" s="133"/>
      <c r="P1256" s="133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257"/>
      <c r="B1257" s="257"/>
      <c r="C1257" s="258"/>
      <c r="D1257" s="257"/>
      <c r="E1257" s="257"/>
      <c r="F1257" s="257"/>
      <c r="G1257" s="257"/>
      <c r="H1257" s="257"/>
      <c r="I1257" s="257"/>
      <c r="J1257" s="257"/>
      <c r="K1257" s="257"/>
      <c r="L1257" s="257"/>
      <c r="M1257" s="259"/>
      <c r="N1257" s="10"/>
      <c r="O1257" s="133"/>
      <c r="P1257" s="133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257"/>
      <c r="B1258" s="257"/>
      <c r="C1258" s="258"/>
      <c r="D1258" s="257"/>
      <c r="E1258" s="257"/>
      <c r="F1258" s="257"/>
      <c r="G1258" s="257"/>
      <c r="H1258" s="257"/>
      <c r="I1258" s="257"/>
      <c r="J1258" s="257"/>
      <c r="K1258" s="257"/>
      <c r="L1258" s="257"/>
      <c r="M1258" s="259"/>
      <c r="N1258" s="10"/>
      <c r="O1258" s="133"/>
      <c r="P1258" s="133"/>
      <c r="Q1258" s="10"/>
      <c r="R1258" s="10"/>
      <c r="S1258" s="10"/>
      <c r="T1258" s="10"/>
      <c r="U1258" s="10"/>
      <c r="V1258" s="10"/>
      <c r="W1258" s="10"/>
      <c r="X1258" s="10"/>
    </row>
  </sheetData>
  <autoFilter ref="$A$2:$N$500">
    <sortState ref="A2:N500">
      <sortCondition descending="1" ref="A2:A500"/>
      <sortCondition descending="1" ref="C2:C500"/>
    </sortState>
  </autoFilter>
  <dataValidations>
    <dataValidation type="list" allowBlank="1" showErrorMessage="1" sqref="F3:F500 H3:H500 J3:J500 L3:L500">
      <formula1>"Done,Delivered,Waiting for approval,Topo dowloaded,In progress,Cancelled"</formula1>
    </dataValidation>
    <dataValidation type="list" allowBlank="1" showErrorMessage="1" sqref="D3:D500">
      <formula1>"3D,RD,KB,NV,HI,DX,VV,CN,AR,EI,HG,VG,VW,LI,RA,VU,VS,PG,VI,QG,BT,TM,BH,HV,CC"</formula1>
    </dataValidation>
  </dataValidations>
  <hyperlinks>
    <hyperlink r:id="rId2" ref="M132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0" t="s">
        <v>2496</v>
      </c>
    </row>
    <row r="2">
      <c r="A2" s="260" t="s">
        <v>2497</v>
      </c>
    </row>
    <row r="3">
      <c r="A3" s="260" t="s">
        <v>44</v>
      </c>
    </row>
    <row r="4">
      <c r="A4" s="260" t="s">
        <v>2498</v>
      </c>
    </row>
    <row r="5">
      <c r="A5" s="260" t="s">
        <v>2499</v>
      </c>
    </row>
    <row r="6">
      <c r="A6" s="260" t="s">
        <v>38</v>
      </c>
    </row>
    <row r="7">
      <c r="A7" s="260" t="s">
        <v>2500</v>
      </c>
    </row>
    <row r="10">
      <c r="A10" s="260" t="s">
        <v>44</v>
      </c>
    </row>
    <row r="11">
      <c r="A11" s="260" t="s">
        <v>2501</v>
      </c>
    </row>
    <row r="24">
      <c r="P24" s="26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4" max="4" width="18.0"/>
  </cols>
  <sheetData>
    <row r="1">
      <c r="A1" s="260"/>
      <c r="B1" s="260">
        <v>2025.0</v>
      </c>
    </row>
    <row r="2">
      <c r="A2" s="260" t="s">
        <v>2497</v>
      </c>
    </row>
    <row r="3">
      <c r="A3" s="260" t="s">
        <v>2499</v>
      </c>
    </row>
    <row r="4">
      <c r="A4" s="260" t="s">
        <v>2498</v>
      </c>
      <c r="B4" s="260" t="s">
        <v>2502</v>
      </c>
    </row>
    <row r="5">
      <c r="A5" s="260" t="s">
        <v>2500</v>
      </c>
    </row>
    <row r="6">
      <c r="A6" s="260" t="s">
        <v>38</v>
      </c>
    </row>
    <row r="7">
      <c r="A7" s="260" t="s">
        <v>44</v>
      </c>
      <c r="B7" s="260" t="s">
        <v>2503</v>
      </c>
    </row>
    <row r="8">
      <c r="A8" s="260" t="s">
        <v>2504</v>
      </c>
    </row>
    <row r="10">
      <c r="A10" s="260" t="s">
        <v>2505</v>
      </c>
      <c r="B10" s="261">
        <v>45607.0</v>
      </c>
      <c r="C10" s="261">
        <v>45629.0</v>
      </c>
      <c r="D10" s="260" t="s">
        <v>2506</v>
      </c>
    </row>
    <row r="11">
      <c r="A11" s="260" t="s">
        <v>2505</v>
      </c>
      <c r="B11" s="261">
        <v>45964.0</v>
      </c>
      <c r="C11" s="261">
        <v>45973.0</v>
      </c>
      <c r="D11" s="260" t="s">
        <v>2507</v>
      </c>
    </row>
    <row r="12">
      <c r="A12" s="262" t="s">
        <v>2505</v>
      </c>
      <c r="B12" s="263">
        <v>46167.0</v>
      </c>
      <c r="C12" s="263">
        <v>46184.0</v>
      </c>
      <c r="D12" s="262" t="s">
        <v>2508</v>
      </c>
    </row>
    <row r="13">
      <c r="B13" s="22"/>
      <c r="C13" s="22"/>
    </row>
    <row r="16">
      <c r="B16" s="260" t="s">
        <v>2509</v>
      </c>
    </row>
    <row r="17">
      <c r="A17" s="260" t="s">
        <v>2510</v>
      </c>
      <c r="B17" s="260" t="s">
        <v>2511</v>
      </c>
    </row>
    <row r="18">
      <c r="B18" s="260"/>
    </row>
    <row r="19">
      <c r="A19" s="264" t="s">
        <v>2512</v>
      </c>
      <c r="B19" s="260"/>
    </row>
    <row r="20">
      <c r="A20" s="260" t="s">
        <v>2513</v>
      </c>
      <c r="B20" s="260" t="s">
        <v>2514</v>
      </c>
    </row>
    <row r="21">
      <c r="A21" s="260" t="s">
        <v>2515</v>
      </c>
      <c r="B21" s="260" t="s">
        <v>2514</v>
      </c>
    </row>
    <row r="22" ht="14.25" customHeight="1">
      <c r="A22" s="260" t="s">
        <v>2516</v>
      </c>
      <c r="B22" s="260" t="s">
        <v>2517</v>
      </c>
      <c r="E22" s="260" t="s">
        <v>2518</v>
      </c>
      <c r="F22" s="260" t="s">
        <v>2519</v>
      </c>
    </row>
    <row r="23">
      <c r="A23" s="260" t="s">
        <v>2520</v>
      </c>
      <c r="B23" s="260" t="s">
        <v>2514</v>
      </c>
    </row>
    <row r="24">
      <c r="A24" s="260" t="s">
        <v>2521</v>
      </c>
      <c r="B24" s="260" t="s">
        <v>2514</v>
      </c>
    </row>
    <row r="25">
      <c r="A25" s="260" t="s">
        <v>2513</v>
      </c>
      <c r="B25" s="260" t="s">
        <v>2514</v>
      </c>
    </row>
    <row r="26">
      <c r="A26" s="260" t="s">
        <v>2515</v>
      </c>
      <c r="B26" s="260" t="s">
        <v>2514</v>
      </c>
    </row>
    <row r="27">
      <c r="A27" s="260" t="s">
        <v>2516</v>
      </c>
      <c r="B27" s="260" t="s">
        <v>2514</v>
      </c>
    </row>
    <row r="28">
      <c r="A28" s="260" t="s">
        <v>2520</v>
      </c>
      <c r="B28" s="260" t="s">
        <v>2514</v>
      </c>
    </row>
    <row r="29">
      <c r="B29" s="260" t="s">
        <v>0</v>
      </c>
    </row>
    <row r="30">
      <c r="A30" s="264" t="s">
        <v>2522</v>
      </c>
    </row>
    <row r="31">
      <c r="A31" s="260" t="s">
        <v>2513</v>
      </c>
      <c r="B31" s="260" t="s">
        <v>2523</v>
      </c>
    </row>
    <row r="32">
      <c r="A32" s="260" t="s">
        <v>2515</v>
      </c>
      <c r="B32" s="260" t="s">
        <v>2524</v>
      </c>
    </row>
    <row r="33">
      <c r="A33" s="260" t="s">
        <v>2516</v>
      </c>
      <c r="B33" s="260" t="s">
        <v>2525</v>
      </c>
    </row>
    <row r="34">
      <c r="A34" s="260" t="s">
        <v>2520</v>
      </c>
      <c r="B34" s="260" t="s">
        <v>2526</v>
      </c>
    </row>
    <row r="35">
      <c r="A35" s="260" t="s">
        <v>2521</v>
      </c>
      <c r="B35" s="260" t="s">
        <v>2527</v>
      </c>
    </row>
    <row r="36">
      <c r="A36" s="260" t="s">
        <v>2513</v>
      </c>
      <c r="B36" s="260" t="s">
        <v>2528</v>
      </c>
    </row>
    <row r="37">
      <c r="A37" s="260" t="s">
        <v>2515</v>
      </c>
      <c r="B37" s="260" t="s">
        <v>2529</v>
      </c>
    </row>
    <row r="38">
      <c r="A38" s="260" t="s">
        <v>2516</v>
      </c>
      <c r="B38" s="260" t="s">
        <v>2530</v>
      </c>
    </row>
    <row r="39">
      <c r="A39" s="260" t="s">
        <v>2520</v>
      </c>
      <c r="B39" s="260" t="s">
        <v>2531</v>
      </c>
    </row>
    <row r="40">
      <c r="A40" s="265"/>
    </row>
    <row r="41">
      <c r="A41" s="265"/>
    </row>
    <row r="42">
      <c r="A42" s="266" t="s">
        <v>2532</v>
      </c>
    </row>
    <row r="45">
      <c r="A45" s="260" t="s">
        <v>2533</v>
      </c>
      <c r="B45" s="260" t="s">
        <v>2503</v>
      </c>
    </row>
    <row r="46">
      <c r="A46" s="260" t="s">
        <v>2534</v>
      </c>
      <c r="B46" s="260" t="s">
        <v>2535</v>
      </c>
    </row>
  </sheetData>
  <hyperlinks>
    <hyperlink r:id="rId1" ref="A4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63"/>
    <col customWidth="1" min="3" max="3" width="88.5"/>
    <col customWidth="1" min="4" max="4" width="56.38"/>
  </cols>
  <sheetData>
    <row r="1" ht="27.0" customHeight="1">
      <c r="A1" s="267" t="s">
        <v>1</v>
      </c>
      <c r="B1" s="267" t="s">
        <v>2536</v>
      </c>
      <c r="C1" s="268" t="s">
        <v>2537</v>
      </c>
      <c r="D1" s="267" t="s">
        <v>2538</v>
      </c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</row>
    <row r="2">
      <c r="A2" s="270">
        <v>45659.0</v>
      </c>
      <c r="B2" s="271" t="b">
        <v>1</v>
      </c>
      <c r="C2" s="272" t="s">
        <v>2539</v>
      </c>
      <c r="D2" s="273" t="s">
        <v>2540</v>
      </c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</row>
    <row r="3">
      <c r="A3" s="270">
        <v>45666.0</v>
      </c>
      <c r="B3" s="271" t="b">
        <v>0</v>
      </c>
      <c r="C3" s="272" t="s">
        <v>2541</v>
      </c>
      <c r="D3" s="274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</row>
    <row r="4">
      <c r="A4" s="270">
        <v>45841.0</v>
      </c>
      <c r="B4" s="271" t="b">
        <v>1</v>
      </c>
      <c r="C4" s="272" t="s">
        <v>2542</v>
      </c>
      <c r="D4" s="272" t="s">
        <v>2543</v>
      </c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</row>
    <row r="5">
      <c r="A5" s="270">
        <v>45841.0</v>
      </c>
      <c r="B5" s="271" t="b">
        <v>1</v>
      </c>
      <c r="C5" s="272" t="s">
        <v>2544</v>
      </c>
      <c r="D5" s="272" t="s">
        <v>2545</v>
      </c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</row>
    <row r="6">
      <c r="A6" s="270">
        <v>45841.0</v>
      </c>
      <c r="B6" s="271" t="b">
        <v>0</v>
      </c>
      <c r="C6" s="272" t="s">
        <v>2546</v>
      </c>
      <c r="D6" s="274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</row>
    <row r="7">
      <c r="A7" s="270">
        <v>45889.0</v>
      </c>
      <c r="B7" s="271" t="b">
        <v>1</v>
      </c>
      <c r="C7" s="272" t="s">
        <v>2547</v>
      </c>
      <c r="D7" s="274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</row>
    <row r="8">
      <c r="A8" s="275"/>
      <c r="B8" s="276"/>
      <c r="C8" s="277"/>
      <c r="D8" s="274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</row>
    <row r="9">
      <c r="A9" s="275"/>
      <c r="B9" s="276"/>
      <c r="C9" s="277"/>
      <c r="D9" s="274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</row>
    <row r="10">
      <c r="A10" s="275"/>
      <c r="B10" s="276"/>
      <c r="C10" s="277"/>
      <c r="D10" s="274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</row>
    <row r="11">
      <c r="A11" s="275"/>
      <c r="B11" s="276"/>
      <c r="C11" s="277"/>
      <c r="D11" s="274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</row>
    <row r="12">
      <c r="A12" s="275"/>
      <c r="B12" s="276"/>
      <c r="C12" s="277"/>
      <c r="D12" s="274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</row>
    <row r="13">
      <c r="A13" s="275"/>
      <c r="B13" s="276"/>
      <c r="C13" s="277"/>
      <c r="D13" s="274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</row>
    <row r="14">
      <c r="A14" s="275"/>
      <c r="B14" s="276"/>
      <c r="C14" s="277"/>
      <c r="D14" s="274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</row>
    <row r="15">
      <c r="A15" s="275"/>
      <c r="B15" s="276"/>
      <c r="C15" s="277"/>
      <c r="D15" s="274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</row>
    <row r="16">
      <c r="A16" s="275"/>
      <c r="B16" s="276"/>
      <c r="C16" s="277"/>
      <c r="D16" s="274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</row>
    <row r="17">
      <c r="A17" s="275"/>
      <c r="B17" s="276"/>
      <c r="C17" s="277"/>
      <c r="D17" s="274"/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69"/>
    </row>
    <row r="18">
      <c r="A18" s="275"/>
      <c r="B18" s="276"/>
      <c r="C18" s="277"/>
      <c r="D18" s="274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</row>
    <row r="19">
      <c r="A19" s="275"/>
      <c r="B19" s="276"/>
      <c r="C19" s="277"/>
      <c r="D19" s="274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</row>
    <row r="20">
      <c r="A20" s="275"/>
      <c r="B20" s="276"/>
      <c r="C20" s="277"/>
      <c r="D20" s="274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69"/>
    </row>
    <row r="21">
      <c r="A21" s="275"/>
      <c r="B21" s="276"/>
      <c r="C21" s="277"/>
      <c r="D21" s="274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  <c r="AA21" s="269"/>
    </row>
    <row r="22">
      <c r="A22" s="275"/>
      <c r="B22" s="276"/>
      <c r="C22" s="277"/>
      <c r="D22" s="274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</row>
    <row r="23">
      <c r="A23" s="275"/>
      <c r="B23" s="276"/>
      <c r="C23" s="277"/>
      <c r="D23" s="274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9"/>
    </row>
    <row r="24">
      <c r="A24" s="275"/>
      <c r="B24" s="276"/>
      <c r="C24" s="277"/>
      <c r="D24" s="274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  <c r="AA24" s="269"/>
    </row>
    <row r="25">
      <c r="A25" s="275"/>
      <c r="B25" s="276"/>
      <c r="C25" s="277"/>
      <c r="D25" s="274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  <c r="AA25" s="269"/>
    </row>
    <row r="26">
      <c r="A26" s="275"/>
      <c r="B26" s="276"/>
      <c r="C26" s="277"/>
      <c r="D26" s="274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</row>
    <row r="27">
      <c r="A27" s="275"/>
      <c r="B27" s="276"/>
      <c r="C27" s="277"/>
      <c r="D27" s="274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</row>
    <row r="28">
      <c r="A28" s="275"/>
      <c r="B28" s="276"/>
      <c r="C28" s="277"/>
      <c r="D28" s="274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</row>
    <row r="29">
      <c r="A29" s="275"/>
      <c r="B29" s="276"/>
      <c r="C29" s="277"/>
      <c r="D29" s="274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  <c r="AA29" s="269"/>
    </row>
    <row r="30">
      <c r="A30" s="275"/>
      <c r="B30" s="276"/>
      <c r="C30" s="277"/>
      <c r="D30" s="274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</row>
    <row r="31">
      <c r="A31" s="275"/>
      <c r="B31" s="276"/>
      <c r="C31" s="277"/>
      <c r="D31" s="274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  <c r="AA31" s="269"/>
    </row>
    <row r="32">
      <c r="A32" s="275"/>
      <c r="B32" s="276"/>
      <c r="C32" s="277"/>
      <c r="D32" s="274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</row>
    <row r="33">
      <c r="A33" s="275"/>
      <c r="B33" s="276"/>
      <c r="C33" s="277"/>
      <c r="D33" s="274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</row>
    <row r="34">
      <c r="A34" s="269"/>
      <c r="B34" s="278"/>
      <c r="C34" s="27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</row>
    <row r="35">
      <c r="A35" s="269"/>
      <c r="B35" s="278"/>
      <c r="C35" s="27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</row>
    <row r="36">
      <c r="A36" s="269"/>
      <c r="B36" s="278"/>
      <c r="C36" s="27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</row>
    <row r="37">
      <c r="A37" s="269"/>
      <c r="B37" s="278"/>
      <c r="C37" s="27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</row>
    <row r="38">
      <c r="A38" s="269"/>
      <c r="B38" s="278"/>
      <c r="C38" s="27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</row>
    <row r="39">
      <c r="A39" s="269"/>
      <c r="B39" s="278"/>
      <c r="C39" s="27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</row>
    <row r="40">
      <c r="A40" s="269"/>
      <c r="B40" s="278"/>
      <c r="C40" s="27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</row>
    <row r="41">
      <c r="A41" s="269"/>
      <c r="B41" s="278"/>
      <c r="C41" s="27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</row>
    <row r="42">
      <c r="A42" s="269"/>
      <c r="B42" s="278"/>
      <c r="C42" s="27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</row>
    <row r="43">
      <c r="A43" s="269"/>
      <c r="B43" s="278"/>
      <c r="C43" s="27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</row>
    <row r="44">
      <c r="A44" s="269"/>
      <c r="B44" s="278"/>
      <c r="C44" s="27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</row>
    <row r="45">
      <c r="A45" s="269"/>
      <c r="B45" s="278"/>
      <c r="C45" s="27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</row>
    <row r="46">
      <c r="A46" s="269"/>
      <c r="B46" s="278"/>
      <c r="C46" s="27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</row>
    <row r="47">
      <c r="A47" s="269"/>
      <c r="B47" s="278"/>
      <c r="C47" s="27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</row>
    <row r="48">
      <c r="A48" s="269"/>
      <c r="B48" s="278"/>
      <c r="C48" s="27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</row>
    <row r="49">
      <c r="A49" s="269"/>
      <c r="B49" s="278"/>
      <c r="C49" s="27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</row>
    <row r="50">
      <c r="A50" s="269"/>
      <c r="B50" s="278"/>
      <c r="C50" s="27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</row>
    <row r="51">
      <c r="A51" s="269"/>
      <c r="B51" s="278"/>
      <c r="C51" s="27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</row>
    <row r="52">
      <c r="A52" s="269"/>
      <c r="B52" s="278"/>
      <c r="C52" s="27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</row>
    <row r="53">
      <c r="A53" s="269"/>
      <c r="B53" s="278"/>
      <c r="C53" s="27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</row>
    <row r="54">
      <c r="A54" s="269"/>
      <c r="B54" s="278"/>
      <c r="C54" s="27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</row>
    <row r="55">
      <c r="A55" s="269"/>
      <c r="B55" s="278"/>
      <c r="C55" s="27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</row>
    <row r="56">
      <c r="A56" s="269"/>
      <c r="B56" s="278"/>
      <c r="C56" s="27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</row>
    <row r="57">
      <c r="A57" s="269"/>
      <c r="B57" s="278"/>
      <c r="C57" s="27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</row>
    <row r="58">
      <c r="A58" s="269"/>
      <c r="B58" s="278"/>
      <c r="C58" s="27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</row>
    <row r="59">
      <c r="A59" s="269"/>
      <c r="B59" s="278"/>
      <c r="C59" s="27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</row>
    <row r="60">
      <c r="A60" s="269"/>
      <c r="B60" s="278"/>
      <c r="C60" s="27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</row>
    <row r="61">
      <c r="A61" s="269"/>
      <c r="B61" s="278"/>
      <c r="C61" s="27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</row>
    <row r="62">
      <c r="A62" s="269"/>
      <c r="B62" s="278"/>
      <c r="C62" s="27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69"/>
    </row>
    <row r="63">
      <c r="A63" s="269"/>
      <c r="B63" s="278"/>
      <c r="C63" s="27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</row>
    <row r="64">
      <c r="A64" s="269"/>
      <c r="B64" s="278"/>
      <c r="C64" s="27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</row>
    <row r="65">
      <c r="A65" s="269"/>
      <c r="B65" s="278"/>
      <c r="C65" s="27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</row>
    <row r="66">
      <c r="A66" s="269"/>
      <c r="B66" s="278"/>
      <c r="C66" s="27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</row>
    <row r="67">
      <c r="A67" s="269"/>
      <c r="B67" s="278"/>
      <c r="C67" s="27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9"/>
    </row>
    <row r="68">
      <c r="A68" s="269"/>
      <c r="B68" s="278"/>
      <c r="C68" s="27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  <c r="AA68" s="269"/>
    </row>
    <row r="69">
      <c r="A69" s="269"/>
      <c r="B69" s="278"/>
      <c r="C69" s="27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</row>
    <row r="70">
      <c r="A70" s="269"/>
      <c r="B70" s="278"/>
      <c r="C70" s="27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</row>
    <row r="71">
      <c r="A71" s="269"/>
      <c r="B71" s="278"/>
      <c r="C71" s="27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  <c r="AA71" s="269"/>
    </row>
    <row r="72">
      <c r="A72" s="269"/>
      <c r="B72" s="278"/>
      <c r="C72" s="27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  <c r="AA72" s="269"/>
    </row>
    <row r="73">
      <c r="A73" s="269"/>
      <c r="B73" s="278"/>
      <c r="C73" s="27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  <c r="AA73" s="269"/>
    </row>
    <row r="74">
      <c r="A74" s="269"/>
      <c r="B74" s="278"/>
      <c r="C74" s="27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269"/>
    </row>
    <row r="75">
      <c r="A75" s="269"/>
      <c r="B75" s="278"/>
      <c r="C75" s="27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</row>
    <row r="76">
      <c r="A76" s="269"/>
      <c r="B76" s="278"/>
      <c r="C76" s="27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</row>
    <row r="77">
      <c r="A77" s="269"/>
      <c r="B77" s="278"/>
      <c r="C77" s="27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69"/>
    </row>
    <row r="78">
      <c r="A78" s="269"/>
      <c r="B78" s="278"/>
      <c r="C78" s="27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  <c r="AA78" s="269"/>
    </row>
    <row r="79">
      <c r="A79" s="269"/>
      <c r="B79" s="278"/>
      <c r="C79" s="27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</row>
    <row r="80">
      <c r="A80" s="269"/>
      <c r="B80" s="278"/>
      <c r="C80" s="27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</row>
    <row r="81">
      <c r="A81" s="269"/>
      <c r="B81" s="278"/>
      <c r="C81" s="27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</row>
    <row r="82">
      <c r="A82" s="269"/>
      <c r="B82" s="278"/>
      <c r="C82" s="27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  <c r="AA82" s="269"/>
    </row>
    <row r="83">
      <c r="A83" s="269"/>
      <c r="B83" s="278"/>
      <c r="C83" s="27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</row>
    <row r="84">
      <c r="A84" s="269"/>
      <c r="B84" s="278"/>
      <c r="C84" s="27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  <c r="AA84" s="269"/>
    </row>
    <row r="85">
      <c r="A85" s="269"/>
      <c r="B85" s="278"/>
      <c r="C85" s="27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  <c r="AA85" s="269"/>
    </row>
    <row r="86">
      <c r="A86" s="269"/>
      <c r="B86" s="278"/>
      <c r="C86" s="27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  <c r="AA86" s="269"/>
    </row>
    <row r="87">
      <c r="A87" s="269"/>
      <c r="B87" s="278"/>
      <c r="C87" s="27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  <c r="AA87" s="269"/>
    </row>
    <row r="88">
      <c r="A88" s="269"/>
      <c r="B88" s="278"/>
      <c r="C88" s="27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  <c r="AA88" s="269"/>
    </row>
    <row r="89">
      <c r="A89" s="269"/>
      <c r="B89" s="278"/>
      <c r="C89" s="27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</row>
    <row r="90">
      <c r="A90" s="269"/>
      <c r="B90" s="278"/>
      <c r="C90" s="27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  <c r="AA90" s="269"/>
    </row>
    <row r="91">
      <c r="A91" s="269"/>
      <c r="B91" s="278"/>
      <c r="C91" s="27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  <c r="AA91" s="269"/>
    </row>
    <row r="92">
      <c r="A92" s="269"/>
      <c r="B92" s="278"/>
      <c r="C92" s="27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  <c r="AA92" s="269"/>
    </row>
    <row r="93">
      <c r="A93" s="269"/>
      <c r="B93" s="278"/>
      <c r="C93" s="27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  <c r="AA93" s="269"/>
    </row>
    <row r="94">
      <c r="A94" s="269"/>
      <c r="B94" s="278"/>
      <c r="C94" s="27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  <c r="AA94" s="269"/>
    </row>
    <row r="95">
      <c r="A95" s="269"/>
      <c r="B95" s="278"/>
      <c r="C95" s="27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  <c r="AA95" s="269"/>
    </row>
    <row r="96">
      <c r="A96" s="269"/>
      <c r="B96" s="278"/>
      <c r="C96" s="27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</row>
    <row r="97">
      <c r="A97" s="269"/>
      <c r="B97" s="278"/>
      <c r="C97" s="27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  <c r="AA97" s="269"/>
    </row>
    <row r="98">
      <c r="A98" s="269"/>
      <c r="B98" s="278"/>
      <c r="C98" s="27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  <c r="AA98" s="269"/>
    </row>
    <row r="99">
      <c r="A99" s="269"/>
      <c r="B99" s="278"/>
      <c r="C99" s="27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</row>
    <row r="100">
      <c r="A100" s="269"/>
      <c r="B100" s="278"/>
      <c r="C100" s="27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  <c r="AA100" s="269"/>
    </row>
    <row r="101">
      <c r="A101" s="269"/>
      <c r="B101" s="278"/>
      <c r="C101" s="27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  <c r="AA101" s="269"/>
    </row>
    <row r="102">
      <c r="A102" s="269"/>
      <c r="B102" s="278"/>
      <c r="C102" s="27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  <c r="AA102" s="269"/>
    </row>
    <row r="103">
      <c r="A103" s="269"/>
      <c r="B103" s="278"/>
      <c r="C103" s="27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  <c r="AA103" s="269"/>
    </row>
    <row r="104">
      <c r="A104" s="269"/>
      <c r="B104" s="278"/>
      <c r="C104" s="27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</row>
    <row r="105">
      <c r="A105" s="269"/>
      <c r="B105" s="278"/>
      <c r="C105" s="27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</row>
    <row r="106">
      <c r="A106" s="269"/>
      <c r="B106" s="278"/>
      <c r="C106" s="27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</row>
    <row r="107">
      <c r="A107" s="269"/>
      <c r="B107" s="278"/>
      <c r="C107" s="27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</row>
    <row r="108">
      <c r="A108" s="269"/>
      <c r="B108" s="278"/>
      <c r="C108" s="27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</row>
    <row r="109">
      <c r="A109" s="269"/>
      <c r="B109" s="278"/>
      <c r="C109" s="27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</row>
    <row r="110">
      <c r="A110" s="269"/>
      <c r="B110" s="278"/>
      <c r="C110" s="27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</row>
    <row r="111">
      <c r="A111" s="269"/>
      <c r="B111" s="278"/>
      <c r="C111" s="27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</row>
    <row r="112">
      <c r="A112" s="269"/>
      <c r="B112" s="278"/>
      <c r="C112" s="27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</row>
    <row r="113">
      <c r="A113" s="269"/>
      <c r="B113" s="278"/>
      <c r="C113" s="27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  <c r="AA113" s="269"/>
    </row>
    <row r="114">
      <c r="A114" s="269"/>
      <c r="B114" s="278"/>
      <c r="C114" s="27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  <c r="AA114" s="269"/>
    </row>
    <row r="115">
      <c r="A115" s="269"/>
      <c r="B115" s="278"/>
      <c r="C115" s="27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</row>
    <row r="116">
      <c r="A116" s="269"/>
      <c r="B116" s="278"/>
      <c r="C116" s="27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</row>
    <row r="117">
      <c r="A117" s="269"/>
      <c r="B117" s="278"/>
      <c r="C117" s="27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</row>
    <row r="118">
      <c r="A118" s="269"/>
      <c r="B118" s="278"/>
      <c r="C118" s="27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</row>
    <row r="119">
      <c r="A119" s="269"/>
      <c r="B119" s="278"/>
      <c r="C119" s="27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</row>
    <row r="120">
      <c r="A120" s="269"/>
      <c r="B120" s="278"/>
      <c r="C120" s="27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</row>
    <row r="121">
      <c r="A121" s="269"/>
      <c r="B121" s="278"/>
      <c r="C121" s="27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</row>
    <row r="122">
      <c r="A122" s="269"/>
      <c r="B122" s="278"/>
      <c r="C122" s="27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</row>
    <row r="123">
      <c r="A123" s="269"/>
      <c r="B123" s="278"/>
      <c r="C123" s="27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</row>
    <row r="124">
      <c r="A124" s="269"/>
      <c r="B124" s="278"/>
      <c r="C124" s="27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</row>
    <row r="125">
      <c r="A125" s="269"/>
      <c r="B125" s="278"/>
      <c r="C125" s="27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</row>
    <row r="126">
      <c r="A126" s="269"/>
      <c r="B126" s="278"/>
      <c r="C126" s="27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  <c r="AA126" s="269"/>
    </row>
    <row r="127">
      <c r="A127" s="269"/>
      <c r="B127" s="278"/>
      <c r="C127" s="27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  <c r="AA127" s="269"/>
    </row>
    <row r="128">
      <c r="A128" s="269"/>
      <c r="B128" s="278"/>
      <c r="C128" s="27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</row>
    <row r="129">
      <c r="A129" s="269"/>
      <c r="B129" s="278"/>
      <c r="C129" s="27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</row>
    <row r="130">
      <c r="A130" s="269"/>
      <c r="B130" s="278"/>
      <c r="C130" s="27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  <c r="AA130" s="269"/>
    </row>
    <row r="131">
      <c r="A131" s="269"/>
      <c r="B131" s="278"/>
      <c r="C131" s="27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</row>
    <row r="132">
      <c r="A132" s="269"/>
      <c r="B132" s="278"/>
      <c r="C132" s="27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  <c r="AA132" s="269"/>
    </row>
    <row r="133">
      <c r="A133" s="269"/>
      <c r="B133" s="278"/>
      <c r="C133" s="27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</row>
    <row r="134">
      <c r="A134" s="269"/>
      <c r="B134" s="278"/>
      <c r="C134" s="27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</row>
    <row r="135">
      <c r="A135" s="269"/>
      <c r="B135" s="278"/>
      <c r="C135" s="27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</row>
    <row r="136">
      <c r="A136" s="269"/>
      <c r="B136" s="278"/>
      <c r="C136" s="27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</row>
    <row r="137">
      <c r="A137" s="269"/>
      <c r="B137" s="278"/>
      <c r="C137" s="27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</row>
    <row r="138">
      <c r="A138" s="269"/>
      <c r="B138" s="278"/>
      <c r="C138" s="27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</row>
    <row r="139">
      <c r="A139" s="269"/>
      <c r="B139" s="278"/>
      <c r="C139" s="27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</row>
    <row r="140">
      <c r="A140" s="269"/>
      <c r="B140" s="278"/>
      <c r="C140" s="27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</row>
    <row r="141">
      <c r="A141" s="269"/>
      <c r="B141" s="278"/>
      <c r="C141" s="27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</row>
    <row r="142">
      <c r="A142" s="269"/>
      <c r="B142" s="278"/>
      <c r="C142" s="27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</row>
    <row r="143">
      <c r="A143" s="269"/>
      <c r="B143" s="278"/>
      <c r="C143" s="27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</row>
    <row r="144">
      <c r="A144" s="269"/>
      <c r="B144" s="278"/>
      <c r="C144" s="27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</row>
    <row r="145">
      <c r="A145" s="269"/>
      <c r="B145" s="278"/>
      <c r="C145" s="27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</row>
    <row r="146">
      <c r="A146" s="269"/>
      <c r="B146" s="278"/>
      <c r="C146" s="27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</row>
    <row r="147">
      <c r="A147" s="269"/>
      <c r="B147" s="278"/>
      <c r="C147" s="27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</row>
    <row r="148">
      <c r="A148" s="269"/>
      <c r="B148" s="278"/>
      <c r="C148" s="27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</row>
    <row r="149">
      <c r="A149" s="269"/>
      <c r="B149" s="278"/>
      <c r="C149" s="27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</row>
    <row r="150">
      <c r="A150" s="269"/>
      <c r="B150" s="278"/>
      <c r="C150" s="27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  <c r="AA150" s="269"/>
    </row>
    <row r="151">
      <c r="A151" s="269"/>
      <c r="B151" s="278"/>
      <c r="C151" s="27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  <c r="AA151" s="269"/>
    </row>
    <row r="152">
      <c r="A152" s="269"/>
      <c r="B152" s="278"/>
      <c r="C152" s="27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  <c r="AA152" s="269"/>
    </row>
    <row r="153">
      <c r="A153" s="269"/>
      <c r="B153" s="278"/>
      <c r="C153" s="27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  <c r="AA153" s="269"/>
    </row>
    <row r="154">
      <c r="A154" s="269"/>
      <c r="B154" s="278"/>
      <c r="C154" s="27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  <c r="AA154" s="269"/>
    </row>
    <row r="155">
      <c r="A155" s="269"/>
      <c r="B155" s="278"/>
      <c r="C155" s="27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  <c r="AA155" s="269"/>
    </row>
    <row r="156">
      <c r="A156" s="269"/>
      <c r="B156" s="278"/>
      <c r="C156" s="27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  <c r="AA156" s="269"/>
    </row>
    <row r="157">
      <c r="A157" s="269"/>
      <c r="B157" s="278"/>
      <c r="C157" s="27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  <c r="AA157" s="269"/>
    </row>
    <row r="158">
      <c r="A158" s="269"/>
      <c r="B158" s="278"/>
      <c r="C158" s="27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  <c r="AA158" s="269"/>
    </row>
    <row r="159">
      <c r="A159" s="269"/>
      <c r="B159" s="278"/>
      <c r="C159" s="27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  <c r="AA159" s="269"/>
    </row>
    <row r="160">
      <c r="A160" s="269"/>
      <c r="B160" s="278"/>
      <c r="C160" s="27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  <c r="AA160" s="269"/>
    </row>
    <row r="161">
      <c r="A161" s="269"/>
      <c r="B161" s="278"/>
      <c r="C161" s="27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  <c r="AA161" s="269"/>
    </row>
    <row r="162">
      <c r="A162" s="269"/>
      <c r="B162" s="278"/>
      <c r="C162" s="27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  <c r="AA162" s="269"/>
    </row>
    <row r="163">
      <c r="A163" s="269"/>
      <c r="B163" s="278"/>
      <c r="C163" s="27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  <c r="AA163" s="269"/>
    </row>
    <row r="164">
      <c r="A164" s="269"/>
      <c r="B164" s="278"/>
      <c r="C164" s="27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  <c r="AA164" s="269"/>
    </row>
    <row r="165">
      <c r="A165" s="269"/>
      <c r="B165" s="278"/>
      <c r="C165" s="27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  <c r="AA165" s="269"/>
    </row>
    <row r="166">
      <c r="A166" s="269"/>
      <c r="B166" s="278"/>
      <c r="C166" s="27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  <c r="AA166" s="269"/>
    </row>
    <row r="167">
      <c r="A167" s="269"/>
      <c r="B167" s="278"/>
      <c r="C167" s="27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  <c r="AA167" s="269"/>
    </row>
    <row r="168">
      <c r="A168" s="269"/>
      <c r="B168" s="278"/>
      <c r="C168" s="27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  <c r="AA168" s="269"/>
    </row>
    <row r="169">
      <c r="A169" s="269"/>
      <c r="B169" s="278"/>
      <c r="C169" s="27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  <c r="AA169" s="269"/>
    </row>
    <row r="170">
      <c r="A170" s="269"/>
      <c r="B170" s="278"/>
      <c r="C170" s="27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  <c r="AA170" s="269"/>
    </row>
    <row r="171">
      <c r="A171" s="269"/>
      <c r="B171" s="278"/>
      <c r="C171" s="27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  <c r="AA171" s="269"/>
    </row>
    <row r="172">
      <c r="A172" s="269"/>
      <c r="B172" s="278"/>
      <c r="C172" s="27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  <c r="AA172" s="269"/>
    </row>
    <row r="173">
      <c r="A173" s="269"/>
      <c r="B173" s="278"/>
      <c r="C173" s="27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  <c r="AA173" s="269"/>
    </row>
    <row r="174">
      <c r="A174" s="269"/>
      <c r="B174" s="278"/>
      <c r="C174" s="27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  <c r="AA174" s="269"/>
    </row>
    <row r="175">
      <c r="A175" s="269"/>
      <c r="B175" s="278"/>
      <c r="C175" s="27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  <c r="AA175" s="269"/>
    </row>
    <row r="176">
      <c r="A176" s="269"/>
      <c r="B176" s="278"/>
      <c r="C176" s="27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  <c r="AA176" s="269"/>
    </row>
    <row r="177">
      <c r="A177" s="269"/>
      <c r="B177" s="278"/>
      <c r="C177" s="27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  <c r="AA177" s="269"/>
    </row>
    <row r="178">
      <c r="A178" s="269"/>
      <c r="B178" s="278"/>
      <c r="C178" s="27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  <c r="AA178" s="269"/>
    </row>
    <row r="179">
      <c r="A179" s="269"/>
      <c r="B179" s="278"/>
      <c r="C179" s="27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  <c r="AA179" s="269"/>
    </row>
    <row r="180">
      <c r="A180" s="269"/>
      <c r="B180" s="278"/>
      <c r="C180" s="27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  <c r="AA180" s="269"/>
    </row>
    <row r="181">
      <c r="A181" s="269"/>
      <c r="B181" s="278"/>
      <c r="C181" s="27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  <c r="AA181" s="269"/>
    </row>
    <row r="182">
      <c r="A182" s="269"/>
      <c r="B182" s="278"/>
      <c r="C182" s="27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  <c r="AA182" s="269"/>
    </row>
    <row r="183">
      <c r="A183" s="269"/>
      <c r="B183" s="278"/>
      <c r="C183" s="27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  <c r="AA183" s="269"/>
    </row>
    <row r="184">
      <c r="A184" s="269"/>
      <c r="B184" s="278"/>
      <c r="C184" s="27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  <c r="AA184" s="269"/>
    </row>
    <row r="185">
      <c r="A185" s="269"/>
      <c r="B185" s="278"/>
      <c r="C185" s="27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  <c r="AA185" s="269"/>
    </row>
    <row r="186">
      <c r="A186" s="269"/>
      <c r="B186" s="278"/>
      <c r="C186" s="27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  <c r="AA186" s="269"/>
    </row>
    <row r="187">
      <c r="A187" s="269"/>
      <c r="B187" s="278"/>
      <c r="C187" s="27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  <c r="AA187" s="269"/>
    </row>
    <row r="188">
      <c r="A188" s="269"/>
      <c r="B188" s="278"/>
      <c r="C188" s="27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  <c r="AA188" s="269"/>
    </row>
    <row r="189">
      <c r="A189" s="269"/>
      <c r="B189" s="278"/>
      <c r="C189" s="27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  <c r="AA189" s="269"/>
    </row>
    <row r="190">
      <c r="A190" s="269"/>
      <c r="B190" s="278"/>
      <c r="C190" s="27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</row>
    <row r="191">
      <c r="A191" s="269"/>
      <c r="B191" s="278"/>
      <c r="C191" s="27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  <c r="AA191" s="269"/>
    </row>
    <row r="192">
      <c r="A192" s="269"/>
      <c r="B192" s="278"/>
      <c r="C192" s="27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  <c r="AA192" s="269"/>
    </row>
    <row r="193">
      <c r="A193" s="269"/>
      <c r="B193" s="278"/>
      <c r="C193" s="27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</row>
    <row r="194">
      <c r="A194" s="269"/>
      <c r="B194" s="278"/>
      <c r="C194" s="27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</row>
    <row r="195">
      <c r="A195" s="269"/>
      <c r="B195" s="278"/>
      <c r="C195" s="27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</row>
    <row r="196">
      <c r="A196" s="269"/>
      <c r="B196" s="278"/>
      <c r="C196" s="27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</row>
    <row r="197">
      <c r="A197" s="269"/>
      <c r="B197" s="278"/>
      <c r="C197" s="27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</row>
    <row r="198">
      <c r="A198" s="269"/>
      <c r="B198" s="278"/>
      <c r="C198" s="27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</row>
    <row r="199">
      <c r="A199" s="269"/>
      <c r="B199" s="278"/>
      <c r="C199" s="27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</row>
    <row r="200">
      <c r="A200" s="269"/>
      <c r="B200" s="278"/>
      <c r="C200" s="27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</row>
    <row r="201">
      <c r="A201" s="269"/>
      <c r="B201" s="278"/>
      <c r="C201" s="27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  <c r="AA201" s="269"/>
    </row>
    <row r="202">
      <c r="A202" s="269"/>
      <c r="B202" s="278"/>
      <c r="C202" s="27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</row>
    <row r="203">
      <c r="A203" s="269"/>
      <c r="B203" s="278"/>
      <c r="C203" s="27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</row>
    <row r="204">
      <c r="A204" s="269"/>
      <c r="B204" s="278"/>
      <c r="C204" s="27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</row>
    <row r="205">
      <c r="A205" s="269"/>
      <c r="B205" s="278"/>
      <c r="C205" s="27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</row>
    <row r="206">
      <c r="A206" s="269"/>
      <c r="B206" s="278"/>
      <c r="C206" s="27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</row>
    <row r="207">
      <c r="A207" s="269"/>
      <c r="B207" s="278"/>
      <c r="C207" s="27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</row>
    <row r="208">
      <c r="A208" s="269"/>
      <c r="B208" s="278"/>
      <c r="C208" s="27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</row>
    <row r="209">
      <c r="A209" s="269"/>
      <c r="B209" s="278"/>
      <c r="C209" s="27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  <c r="AA209" s="269"/>
    </row>
    <row r="210">
      <c r="A210" s="269"/>
      <c r="B210" s="278"/>
      <c r="C210" s="27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</row>
    <row r="211">
      <c r="A211" s="269"/>
      <c r="B211" s="278"/>
      <c r="C211" s="27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</row>
    <row r="212">
      <c r="A212" s="269"/>
      <c r="B212" s="278"/>
      <c r="C212" s="27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</row>
    <row r="213">
      <c r="A213" s="269"/>
      <c r="B213" s="278"/>
      <c r="C213" s="27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</row>
    <row r="214">
      <c r="A214" s="269"/>
      <c r="B214" s="278"/>
      <c r="C214" s="27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</row>
    <row r="215">
      <c r="A215" s="269"/>
      <c r="B215" s="278"/>
      <c r="C215" s="27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</row>
    <row r="216">
      <c r="A216" s="269"/>
      <c r="B216" s="278"/>
      <c r="C216" s="27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  <c r="AA216" s="269"/>
    </row>
    <row r="217">
      <c r="A217" s="269"/>
      <c r="B217" s="278"/>
      <c r="C217" s="27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</row>
    <row r="218">
      <c r="A218" s="269"/>
      <c r="B218" s="278"/>
      <c r="C218" s="27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</row>
    <row r="219">
      <c r="A219" s="269"/>
      <c r="B219" s="278"/>
      <c r="C219" s="27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</row>
    <row r="220">
      <c r="A220" s="269"/>
      <c r="B220" s="278"/>
      <c r="C220" s="27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  <c r="AA220" s="269"/>
    </row>
    <row r="221">
      <c r="A221" s="269"/>
      <c r="B221" s="278"/>
      <c r="C221" s="27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</row>
    <row r="222">
      <c r="A222" s="269"/>
      <c r="B222" s="278"/>
      <c r="C222" s="27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  <c r="AA222" s="269"/>
    </row>
    <row r="223">
      <c r="A223" s="269"/>
      <c r="B223" s="278"/>
      <c r="C223" s="27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  <c r="AA223" s="269"/>
    </row>
    <row r="224">
      <c r="A224" s="269"/>
      <c r="B224" s="278"/>
      <c r="C224" s="27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  <c r="AA224" s="269"/>
    </row>
    <row r="225">
      <c r="A225" s="269"/>
      <c r="B225" s="278"/>
      <c r="C225" s="27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  <c r="AA225" s="269"/>
    </row>
    <row r="226">
      <c r="A226" s="269"/>
      <c r="B226" s="278"/>
      <c r="C226" s="27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  <c r="AA226" s="269"/>
    </row>
    <row r="227">
      <c r="A227" s="269"/>
      <c r="B227" s="278"/>
      <c r="C227" s="27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  <c r="AA227" s="269"/>
    </row>
    <row r="228">
      <c r="A228" s="269"/>
      <c r="B228" s="278"/>
      <c r="C228" s="27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  <c r="AA228" s="269"/>
    </row>
    <row r="229">
      <c r="A229" s="269"/>
      <c r="B229" s="278"/>
      <c r="C229" s="27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  <c r="AA229" s="269"/>
    </row>
    <row r="230">
      <c r="A230" s="269"/>
      <c r="B230" s="278"/>
      <c r="C230" s="27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  <c r="AA230" s="269"/>
    </row>
    <row r="231">
      <c r="A231" s="269"/>
      <c r="B231" s="278"/>
      <c r="C231" s="27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  <c r="AA231" s="269"/>
    </row>
    <row r="232">
      <c r="A232" s="269"/>
      <c r="B232" s="278"/>
      <c r="C232" s="27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  <c r="AA232" s="269"/>
    </row>
    <row r="233">
      <c r="A233" s="269"/>
      <c r="B233" s="278"/>
      <c r="C233" s="27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  <c r="AA233" s="269"/>
    </row>
    <row r="234">
      <c r="A234" s="269"/>
      <c r="B234" s="278"/>
      <c r="C234" s="27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  <c r="AA234" s="269"/>
    </row>
    <row r="235">
      <c r="A235" s="269"/>
      <c r="B235" s="278"/>
      <c r="C235" s="27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  <c r="AA235" s="269"/>
    </row>
    <row r="236">
      <c r="A236" s="269"/>
      <c r="B236" s="278"/>
      <c r="C236" s="27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  <c r="AA236" s="269"/>
    </row>
    <row r="237">
      <c r="A237" s="269"/>
      <c r="B237" s="278"/>
      <c r="C237" s="27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  <c r="AA237" s="269"/>
    </row>
    <row r="238">
      <c r="A238" s="269"/>
      <c r="B238" s="278"/>
      <c r="C238" s="27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  <c r="AA238" s="269"/>
    </row>
    <row r="239">
      <c r="A239" s="269"/>
      <c r="B239" s="278"/>
      <c r="C239" s="27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  <c r="AA239" s="269"/>
    </row>
    <row r="240">
      <c r="A240" s="269"/>
      <c r="B240" s="278"/>
      <c r="C240" s="27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  <c r="AA240" s="269"/>
    </row>
    <row r="241">
      <c r="A241" s="269"/>
      <c r="B241" s="278"/>
      <c r="C241" s="27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  <c r="AA241" s="269"/>
    </row>
    <row r="242">
      <c r="A242" s="269"/>
      <c r="B242" s="278"/>
      <c r="C242" s="27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  <c r="AA242" s="269"/>
    </row>
    <row r="243">
      <c r="A243" s="269"/>
      <c r="B243" s="278"/>
      <c r="C243" s="27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  <c r="AA243" s="269"/>
    </row>
    <row r="244">
      <c r="A244" s="269"/>
      <c r="B244" s="278"/>
      <c r="C244" s="27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  <c r="AA244" s="269"/>
    </row>
    <row r="245">
      <c r="A245" s="269"/>
      <c r="B245" s="278"/>
      <c r="C245" s="27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  <c r="AA245" s="269"/>
    </row>
    <row r="246">
      <c r="A246" s="269"/>
      <c r="B246" s="278"/>
      <c r="C246" s="27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  <c r="AA246" s="269"/>
    </row>
    <row r="247">
      <c r="A247" s="269"/>
      <c r="B247" s="278"/>
      <c r="C247" s="27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  <c r="AA247" s="269"/>
    </row>
    <row r="248">
      <c r="A248" s="269"/>
      <c r="B248" s="278"/>
      <c r="C248" s="27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  <c r="AA248" s="269"/>
    </row>
    <row r="249">
      <c r="A249" s="269"/>
      <c r="B249" s="278"/>
      <c r="C249" s="27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  <c r="AA249" s="269"/>
    </row>
    <row r="250">
      <c r="A250" s="269"/>
      <c r="B250" s="278"/>
      <c r="C250" s="27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  <c r="AA250" s="269"/>
    </row>
    <row r="251">
      <c r="A251" s="269"/>
      <c r="B251" s="278"/>
      <c r="C251" s="27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  <c r="AA251" s="269"/>
    </row>
    <row r="252">
      <c r="A252" s="269"/>
      <c r="B252" s="278"/>
      <c r="C252" s="27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  <c r="AA252" s="269"/>
    </row>
    <row r="253">
      <c r="A253" s="269"/>
      <c r="B253" s="278"/>
      <c r="C253" s="27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  <c r="AA253" s="269"/>
    </row>
    <row r="254">
      <c r="A254" s="269"/>
      <c r="B254" s="278"/>
      <c r="C254" s="27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  <c r="AA254" s="269"/>
    </row>
    <row r="255">
      <c r="A255" s="269"/>
      <c r="B255" s="278"/>
      <c r="C255" s="27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  <c r="AA255" s="269"/>
    </row>
    <row r="256">
      <c r="A256" s="269"/>
      <c r="B256" s="278"/>
      <c r="C256" s="27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  <c r="AA256" s="269"/>
    </row>
    <row r="257">
      <c r="A257" s="269"/>
      <c r="B257" s="278"/>
      <c r="C257" s="27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  <c r="AA257" s="269"/>
    </row>
    <row r="258">
      <c r="A258" s="269"/>
      <c r="B258" s="278"/>
      <c r="C258" s="27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  <c r="AA258" s="269"/>
    </row>
    <row r="259">
      <c r="A259" s="269"/>
      <c r="B259" s="278"/>
      <c r="C259" s="27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  <c r="AA259" s="269"/>
    </row>
    <row r="260">
      <c r="A260" s="269"/>
      <c r="B260" s="278"/>
      <c r="C260" s="27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  <c r="AA260" s="269"/>
    </row>
    <row r="261">
      <c r="A261" s="269"/>
      <c r="B261" s="278"/>
      <c r="C261" s="27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  <c r="AA261" s="269"/>
    </row>
    <row r="262">
      <c r="A262" s="269"/>
      <c r="B262" s="278"/>
      <c r="C262" s="27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  <c r="AA262" s="269"/>
    </row>
    <row r="263">
      <c r="A263" s="269"/>
      <c r="B263" s="278"/>
      <c r="C263" s="27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  <c r="AA263" s="269"/>
    </row>
    <row r="264">
      <c r="A264" s="269"/>
      <c r="B264" s="278"/>
      <c r="C264" s="27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  <c r="AA264" s="269"/>
    </row>
    <row r="265">
      <c r="A265" s="269"/>
      <c r="B265" s="278"/>
      <c r="C265" s="27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  <c r="AA265" s="269"/>
    </row>
    <row r="266">
      <c r="A266" s="269"/>
      <c r="B266" s="278"/>
      <c r="C266" s="27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</row>
    <row r="267">
      <c r="A267" s="269"/>
      <c r="B267" s="278"/>
      <c r="C267" s="27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  <c r="AA267" s="269"/>
    </row>
    <row r="268">
      <c r="A268" s="269"/>
      <c r="B268" s="278"/>
      <c r="C268" s="27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  <c r="AA268" s="269"/>
    </row>
    <row r="269">
      <c r="A269" s="269"/>
      <c r="B269" s="278"/>
      <c r="C269" s="27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  <c r="AA269" s="269"/>
    </row>
    <row r="270">
      <c r="A270" s="269"/>
      <c r="B270" s="278"/>
      <c r="C270" s="27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  <c r="AA270" s="269"/>
    </row>
    <row r="271">
      <c r="A271" s="269"/>
      <c r="B271" s="278"/>
      <c r="C271" s="27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  <c r="AA271" s="269"/>
    </row>
    <row r="272">
      <c r="A272" s="269"/>
      <c r="B272" s="278"/>
      <c r="C272" s="27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  <c r="AA272" s="269"/>
    </row>
    <row r="273">
      <c r="A273" s="269"/>
      <c r="B273" s="278"/>
      <c r="C273" s="27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  <c r="AA273" s="269"/>
    </row>
    <row r="274">
      <c r="A274" s="269"/>
      <c r="B274" s="278"/>
      <c r="C274" s="27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  <c r="AA274" s="269"/>
    </row>
    <row r="275">
      <c r="A275" s="269"/>
      <c r="B275" s="278"/>
      <c r="C275" s="27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  <c r="AA275" s="269"/>
    </row>
    <row r="276">
      <c r="A276" s="269"/>
      <c r="B276" s="278"/>
      <c r="C276" s="27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  <c r="AA276" s="269"/>
    </row>
    <row r="277">
      <c r="A277" s="269"/>
      <c r="B277" s="278"/>
      <c r="C277" s="27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  <c r="AA277" s="269"/>
    </row>
    <row r="278">
      <c r="A278" s="269"/>
      <c r="B278" s="278"/>
      <c r="C278" s="27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  <c r="AA278" s="269"/>
    </row>
    <row r="279">
      <c r="A279" s="269"/>
      <c r="B279" s="278"/>
      <c r="C279" s="27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9"/>
    </row>
    <row r="280">
      <c r="A280" s="269"/>
      <c r="B280" s="278"/>
      <c r="C280" s="27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  <c r="AA280" s="269"/>
    </row>
    <row r="281">
      <c r="A281" s="269"/>
      <c r="B281" s="278"/>
      <c r="C281" s="27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  <c r="AA281" s="269"/>
    </row>
    <row r="282">
      <c r="A282" s="269"/>
      <c r="B282" s="278"/>
      <c r="C282" s="27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  <c r="AA282" s="269"/>
    </row>
    <row r="283">
      <c r="A283" s="269"/>
      <c r="B283" s="278"/>
      <c r="C283" s="27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  <c r="AA283" s="269"/>
    </row>
    <row r="284">
      <c r="A284" s="269"/>
      <c r="B284" s="278"/>
      <c r="C284" s="27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  <c r="AA284" s="269"/>
    </row>
    <row r="285">
      <c r="A285" s="269"/>
      <c r="B285" s="278"/>
      <c r="C285" s="27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  <c r="AA285" s="269"/>
    </row>
    <row r="286">
      <c r="A286" s="269"/>
      <c r="B286" s="278"/>
      <c r="C286" s="27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  <c r="AA286" s="269"/>
    </row>
    <row r="287">
      <c r="A287" s="269"/>
      <c r="B287" s="278"/>
      <c r="C287" s="27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  <c r="AA287" s="269"/>
    </row>
    <row r="288">
      <c r="A288" s="269"/>
      <c r="B288" s="278"/>
      <c r="C288" s="27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  <c r="AA288" s="269"/>
    </row>
    <row r="289">
      <c r="A289" s="269"/>
      <c r="B289" s="278"/>
      <c r="C289" s="27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</row>
    <row r="290">
      <c r="A290" s="269"/>
      <c r="B290" s="278"/>
      <c r="C290" s="27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  <c r="AA290" s="269"/>
    </row>
    <row r="291">
      <c r="A291" s="269"/>
      <c r="B291" s="278"/>
      <c r="C291" s="27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  <c r="AA291" s="269"/>
    </row>
    <row r="292">
      <c r="A292" s="269"/>
      <c r="B292" s="278"/>
      <c r="C292" s="27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  <c r="AA292" s="269"/>
    </row>
    <row r="293">
      <c r="A293" s="269"/>
      <c r="B293" s="278"/>
      <c r="C293" s="27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  <c r="AA293" s="269"/>
    </row>
    <row r="294">
      <c r="A294" s="269"/>
      <c r="B294" s="278"/>
      <c r="C294" s="27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  <c r="AA294" s="269"/>
    </row>
    <row r="295">
      <c r="A295" s="269"/>
      <c r="B295" s="278"/>
      <c r="C295" s="27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  <c r="AA295" s="269"/>
    </row>
    <row r="296">
      <c r="A296" s="269"/>
      <c r="B296" s="278"/>
      <c r="C296" s="27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  <c r="AA296" s="269"/>
    </row>
    <row r="297">
      <c r="A297" s="269"/>
      <c r="B297" s="278"/>
      <c r="C297" s="27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  <c r="AA297" s="269"/>
    </row>
    <row r="298">
      <c r="A298" s="269"/>
      <c r="B298" s="278"/>
      <c r="C298" s="27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  <c r="AA298" s="269"/>
    </row>
    <row r="299">
      <c r="A299" s="269"/>
      <c r="B299" s="278"/>
      <c r="C299" s="27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  <c r="AA299" s="269"/>
    </row>
    <row r="300">
      <c r="A300" s="269"/>
      <c r="B300" s="278"/>
      <c r="C300" s="27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  <c r="AA300" s="269"/>
    </row>
    <row r="301">
      <c r="A301" s="269"/>
      <c r="B301" s="278"/>
      <c r="C301" s="27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  <c r="AA301" s="269"/>
    </row>
    <row r="302">
      <c r="A302" s="269"/>
      <c r="B302" s="278"/>
      <c r="C302" s="27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  <c r="AA302" s="269"/>
    </row>
    <row r="303">
      <c r="A303" s="269"/>
      <c r="B303" s="278"/>
      <c r="C303" s="27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  <c r="AA303" s="269"/>
    </row>
    <row r="304">
      <c r="A304" s="269"/>
      <c r="B304" s="278"/>
      <c r="C304" s="27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  <c r="AA304" s="269"/>
    </row>
    <row r="305">
      <c r="A305" s="269"/>
      <c r="B305" s="278"/>
      <c r="C305" s="27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  <c r="AA305" s="269"/>
    </row>
    <row r="306">
      <c r="A306" s="269"/>
      <c r="B306" s="278"/>
      <c r="C306" s="27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  <c r="AA306" s="269"/>
    </row>
    <row r="307">
      <c r="A307" s="269"/>
      <c r="B307" s="278"/>
      <c r="C307" s="27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  <c r="AA307" s="269"/>
    </row>
    <row r="308">
      <c r="A308" s="269"/>
      <c r="B308" s="278"/>
      <c r="C308" s="27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  <c r="AA308" s="269"/>
    </row>
    <row r="309">
      <c r="A309" s="269"/>
      <c r="B309" s="278"/>
      <c r="C309" s="27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  <c r="AA309" s="269"/>
    </row>
    <row r="310">
      <c r="A310" s="269"/>
      <c r="B310" s="278"/>
      <c r="C310" s="27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  <c r="AA310" s="269"/>
    </row>
    <row r="311">
      <c r="A311" s="269"/>
      <c r="B311" s="278"/>
      <c r="C311" s="27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  <c r="AA311" s="269"/>
    </row>
    <row r="312">
      <c r="A312" s="269"/>
      <c r="B312" s="278"/>
      <c r="C312" s="27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  <c r="AA312" s="269"/>
    </row>
    <row r="313">
      <c r="A313" s="269"/>
      <c r="B313" s="278"/>
      <c r="C313" s="27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  <c r="AA313" s="269"/>
    </row>
    <row r="314">
      <c r="A314" s="269"/>
      <c r="B314" s="278"/>
      <c r="C314" s="27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  <c r="AA314" s="269"/>
    </row>
    <row r="315">
      <c r="A315" s="269"/>
      <c r="B315" s="278"/>
      <c r="C315" s="27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  <c r="AA315" s="269"/>
    </row>
    <row r="316">
      <c r="A316" s="269"/>
      <c r="B316" s="278"/>
      <c r="C316" s="27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  <c r="AA316" s="269"/>
    </row>
    <row r="317">
      <c r="A317" s="269"/>
      <c r="B317" s="278"/>
      <c r="C317" s="27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  <c r="AA317" s="269"/>
    </row>
    <row r="318">
      <c r="A318" s="269"/>
      <c r="B318" s="278"/>
      <c r="C318" s="27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  <c r="AA318" s="269"/>
    </row>
    <row r="319">
      <c r="A319" s="269"/>
      <c r="B319" s="278"/>
      <c r="C319" s="27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  <c r="AA319" s="269"/>
    </row>
    <row r="320">
      <c r="A320" s="269"/>
      <c r="B320" s="278"/>
      <c r="C320" s="27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  <c r="AA320" s="269"/>
    </row>
    <row r="321">
      <c r="A321" s="269"/>
      <c r="B321" s="278"/>
      <c r="C321" s="27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  <c r="AA321" s="269"/>
    </row>
    <row r="322">
      <c r="A322" s="269"/>
      <c r="B322" s="278"/>
      <c r="C322" s="27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  <c r="AA322" s="269"/>
    </row>
    <row r="323">
      <c r="A323" s="269"/>
      <c r="B323" s="278"/>
      <c r="C323" s="27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  <c r="AA323" s="269"/>
    </row>
    <row r="324">
      <c r="A324" s="269"/>
      <c r="B324" s="278"/>
      <c r="C324" s="27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  <c r="AA324" s="269"/>
    </row>
    <row r="325">
      <c r="A325" s="269"/>
      <c r="B325" s="278"/>
      <c r="C325" s="27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  <c r="AA325" s="269"/>
    </row>
    <row r="326">
      <c r="A326" s="269"/>
      <c r="B326" s="278"/>
      <c r="C326" s="27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  <c r="AA326" s="269"/>
    </row>
    <row r="327">
      <c r="A327" s="269"/>
      <c r="B327" s="278"/>
      <c r="C327" s="27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  <c r="AA327" s="269"/>
    </row>
    <row r="328">
      <c r="A328" s="269"/>
      <c r="B328" s="278"/>
      <c r="C328" s="27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  <c r="AA328" s="269"/>
    </row>
    <row r="329">
      <c r="A329" s="269"/>
      <c r="B329" s="278"/>
      <c r="C329" s="27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  <c r="AA329" s="269"/>
    </row>
    <row r="330">
      <c r="A330" s="269"/>
      <c r="B330" s="278"/>
      <c r="C330" s="27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  <c r="AA330" s="269"/>
    </row>
    <row r="331">
      <c r="A331" s="269"/>
      <c r="B331" s="278"/>
      <c r="C331" s="27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  <c r="AA331" s="269"/>
    </row>
    <row r="332">
      <c r="A332" s="269"/>
      <c r="B332" s="278"/>
      <c r="C332" s="27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  <c r="AA332" s="269"/>
    </row>
    <row r="333">
      <c r="A333" s="269"/>
      <c r="B333" s="278"/>
      <c r="C333" s="27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  <c r="AA333" s="269"/>
    </row>
    <row r="334">
      <c r="A334" s="269"/>
      <c r="B334" s="278"/>
      <c r="C334" s="27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  <c r="AA334" s="269"/>
    </row>
    <row r="335">
      <c r="A335" s="269"/>
      <c r="B335" s="278"/>
      <c r="C335" s="27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  <c r="AA335" s="269"/>
    </row>
    <row r="336">
      <c r="A336" s="269"/>
      <c r="B336" s="278"/>
      <c r="C336" s="27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  <c r="AA336" s="269"/>
    </row>
    <row r="337">
      <c r="A337" s="269"/>
      <c r="B337" s="278"/>
      <c r="C337" s="27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  <c r="AA337" s="269"/>
    </row>
    <row r="338">
      <c r="A338" s="269"/>
      <c r="B338" s="278"/>
      <c r="C338" s="27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  <c r="AA338" s="269"/>
    </row>
    <row r="339">
      <c r="A339" s="269"/>
      <c r="B339" s="278"/>
      <c r="C339" s="27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  <c r="AA339" s="269"/>
    </row>
    <row r="340">
      <c r="A340" s="269"/>
      <c r="B340" s="278"/>
      <c r="C340" s="27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  <c r="AA340" s="269"/>
    </row>
    <row r="341">
      <c r="A341" s="269"/>
      <c r="B341" s="278"/>
      <c r="C341" s="27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  <c r="AA341" s="269"/>
    </row>
    <row r="342">
      <c r="A342" s="269"/>
      <c r="B342" s="278"/>
      <c r="C342" s="27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  <c r="AA342" s="269"/>
    </row>
    <row r="343">
      <c r="A343" s="269"/>
      <c r="B343" s="278"/>
      <c r="C343" s="27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  <c r="AA343" s="269"/>
    </row>
    <row r="344">
      <c r="A344" s="269"/>
      <c r="B344" s="278"/>
      <c r="C344" s="27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/>
    </row>
    <row r="345">
      <c r="A345" s="269"/>
      <c r="B345" s="278"/>
      <c r="C345" s="27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  <c r="AA345" s="269"/>
    </row>
    <row r="346">
      <c r="A346" s="269"/>
      <c r="B346" s="278"/>
      <c r="C346" s="27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  <c r="AA346" s="269"/>
    </row>
    <row r="347">
      <c r="A347" s="269"/>
      <c r="B347" s="278"/>
      <c r="C347" s="27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  <c r="AA347" s="269"/>
    </row>
    <row r="348">
      <c r="A348" s="269"/>
      <c r="B348" s="278"/>
      <c r="C348" s="27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  <c r="AA348" s="269"/>
    </row>
    <row r="349">
      <c r="A349" s="269"/>
      <c r="B349" s="278"/>
      <c r="C349" s="27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  <c r="AA349" s="269"/>
    </row>
    <row r="350">
      <c r="A350" s="269"/>
      <c r="B350" s="278"/>
      <c r="C350" s="27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  <c r="AA350" s="269"/>
    </row>
    <row r="351">
      <c r="A351" s="269"/>
      <c r="B351" s="278"/>
      <c r="C351" s="27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  <c r="AA351" s="269"/>
    </row>
    <row r="352">
      <c r="A352" s="269"/>
      <c r="B352" s="278"/>
      <c r="C352" s="27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  <c r="AA352" s="269"/>
    </row>
    <row r="353">
      <c r="A353" s="269"/>
      <c r="B353" s="278"/>
      <c r="C353" s="27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  <c r="AA353" s="269"/>
    </row>
    <row r="354">
      <c r="A354" s="269"/>
      <c r="B354" s="278"/>
      <c r="C354" s="27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  <c r="AA354" s="269"/>
    </row>
    <row r="355">
      <c r="A355" s="269"/>
      <c r="B355" s="278"/>
      <c r="C355" s="27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  <c r="AA355" s="269"/>
    </row>
    <row r="356">
      <c r="A356" s="269"/>
      <c r="B356" s="278"/>
      <c r="C356" s="27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  <c r="AA356" s="269"/>
    </row>
    <row r="357">
      <c r="A357" s="269"/>
      <c r="B357" s="278"/>
      <c r="C357" s="27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  <c r="AA357" s="269"/>
    </row>
    <row r="358">
      <c r="A358" s="269"/>
      <c r="B358" s="278"/>
      <c r="C358" s="27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  <c r="AA358" s="269"/>
    </row>
    <row r="359">
      <c r="A359" s="269"/>
      <c r="B359" s="278"/>
      <c r="C359" s="27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  <c r="AA359" s="269"/>
    </row>
    <row r="360">
      <c r="A360" s="269"/>
      <c r="B360" s="278"/>
      <c r="C360" s="27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  <c r="AA360" s="269"/>
    </row>
    <row r="361">
      <c r="A361" s="269"/>
      <c r="B361" s="278"/>
      <c r="C361" s="27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  <c r="AA361" s="269"/>
    </row>
    <row r="362">
      <c r="A362" s="269"/>
      <c r="B362" s="278"/>
      <c r="C362" s="27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  <c r="AA362" s="269"/>
    </row>
    <row r="363">
      <c r="A363" s="269"/>
      <c r="B363" s="278"/>
      <c r="C363" s="27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  <c r="AA363" s="269"/>
    </row>
    <row r="364">
      <c r="A364" s="269"/>
      <c r="B364" s="278"/>
      <c r="C364" s="27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  <c r="AA364" s="269"/>
    </row>
    <row r="365">
      <c r="A365" s="269"/>
      <c r="B365" s="278"/>
      <c r="C365" s="27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  <c r="AA365" s="269"/>
    </row>
    <row r="366">
      <c r="A366" s="269"/>
      <c r="B366" s="278"/>
      <c r="C366" s="27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  <c r="AA366" s="269"/>
    </row>
    <row r="367">
      <c r="A367" s="269"/>
      <c r="B367" s="278"/>
      <c r="C367" s="27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  <c r="AA367" s="269"/>
    </row>
    <row r="368">
      <c r="A368" s="269"/>
      <c r="B368" s="278"/>
      <c r="C368" s="27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  <c r="AA368" s="269"/>
    </row>
    <row r="369">
      <c r="A369" s="269"/>
      <c r="B369" s="278"/>
      <c r="C369" s="27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  <c r="AA369" s="269"/>
    </row>
    <row r="370">
      <c r="A370" s="269"/>
      <c r="B370" s="278"/>
      <c r="C370" s="27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  <c r="AA370" s="269"/>
    </row>
    <row r="371">
      <c r="A371" s="269"/>
      <c r="B371" s="278"/>
      <c r="C371" s="27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  <c r="AA371" s="269"/>
    </row>
    <row r="372">
      <c r="A372" s="269"/>
      <c r="B372" s="278"/>
      <c r="C372" s="27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  <c r="AA372" s="269"/>
    </row>
    <row r="373">
      <c r="A373" s="269"/>
      <c r="B373" s="278"/>
      <c r="C373" s="27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  <c r="AA373" s="269"/>
    </row>
    <row r="374">
      <c r="A374" s="269"/>
      <c r="B374" s="278"/>
      <c r="C374" s="27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  <c r="AA374" s="269"/>
    </row>
    <row r="375">
      <c r="A375" s="269"/>
      <c r="B375" s="278"/>
      <c r="C375" s="27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  <c r="AA375" s="269"/>
    </row>
    <row r="376">
      <c r="A376" s="269"/>
      <c r="B376" s="278"/>
      <c r="C376" s="27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  <c r="AA376" s="269"/>
    </row>
    <row r="377">
      <c r="A377" s="269"/>
      <c r="B377" s="278"/>
      <c r="C377" s="27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  <c r="AA377" s="269"/>
    </row>
    <row r="378">
      <c r="A378" s="269"/>
      <c r="B378" s="278"/>
      <c r="C378" s="27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  <c r="AA378" s="269"/>
    </row>
    <row r="379">
      <c r="A379" s="269"/>
      <c r="B379" s="278"/>
      <c r="C379" s="27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  <c r="AA379" s="269"/>
    </row>
    <row r="380">
      <c r="A380" s="269"/>
      <c r="B380" s="278"/>
      <c r="C380" s="27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  <c r="AA380" s="269"/>
    </row>
    <row r="381">
      <c r="A381" s="269"/>
      <c r="B381" s="278"/>
      <c r="C381" s="27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  <c r="AA381" s="269"/>
    </row>
    <row r="382">
      <c r="A382" s="269"/>
      <c r="B382" s="278"/>
      <c r="C382" s="27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  <c r="AA382" s="269"/>
    </row>
    <row r="383">
      <c r="A383" s="269"/>
      <c r="B383" s="278"/>
      <c r="C383" s="27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  <c r="AA383" s="269"/>
    </row>
    <row r="384">
      <c r="A384" s="269"/>
      <c r="B384" s="278"/>
      <c r="C384" s="27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  <c r="AA384" s="269"/>
    </row>
    <row r="385">
      <c r="A385" s="269"/>
      <c r="B385" s="278"/>
      <c r="C385" s="27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  <c r="AA385" s="269"/>
    </row>
    <row r="386">
      <c r="A386" s="269"/>
      <c r="B386" s="278"/>
      <c r="C386" s="27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  <c r="AA386" s="269"/>
    </row>
    <row r="387">
      <c r="A387" s="269"/>
      <c r="B387" s="278"/>
      <c r="C387" s="27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  <c r="AA387" s="269"/>
    </row>
    <row r="388">
      <c r="A388" s="269"/>
      <c r="B388" s="278"/>
      <c r="C388" s="27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  <c r="AA388" s="269"/>
    </row>
    <row r="389">
      <c r="A389" s="269"/>
      <c r="B389" s="278"/>
      <c r="C389" s="27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  <c r="AA389" s="269"/>
    </row>
    <row r="390">
      <c r="A390" s="269"/>
      <c r="B390" s="278"/>
      <c r="C390" s="27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  <c r="AA390" s="269"/>
    </row>
    <row r="391">
      <c r="A391" s="269"/>
      <c r="B391" s="278"/>
      <c r="C391" s="27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  <c r="AA391" s="269"/>
    </row>
    <row r="392">
      <c r="A392" s="269"/>
      <c r="B392" s="278"/>
      <c r="C392" s="27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  <c r="AA392" s="269"/>
    </row>
    <row r="393">
      <c r="A393" s="269"/>
      <c r="B393" s="278"/>
      <c r="C393" s="27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  <c r="AA393" s="269"/>
    </row>
    <row r="394">
      <c r="A394" s="269"/>
      <c r="B394" s="278"/>
      <c r="C394" s="27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  <c r="AA394" s="269"/>
    </row>
    <row r="395">
      <c r="A395" s="269"/>
      <c r="B395" s="278"/>
      <c r="C395" s="27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  <c r="AA395" s="269"/>
    </row>
    <row r="396">
      <c r="A396" s="269"/>
      <c r="B396" s="278"/>
      <c r="C396" s="27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  <c r="AA396" s="269"/>
    </row>
    <row r="397">
      <c r="A397" s="269"/>
      <c r="B397" s="278"/>
      <c r="C397" s="27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  <c r="AA397" s="269"/>
    </row>
    <row r="398">
      <c r="A398" s="269"/>
      <c r="B398" s="278"/>
      <c r="C398" s="27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  <c r="AA398" s="269"/>
    </row>
    <row r="399">
      <c r="A399" s="269"/>
      <c r="B399" s="278"/>
      <c r="C399" s="27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  <c r="AA399" s="269"/>
    </row>
    <row r="400">
      <c r="A400" s="269"/>
      <c r="B400" s="278"/>
      <c r="C400" s="27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  <c r="AA400" s="269"/>
    </row>
    <row r="401">
      <c r="A401" s="269"/>
      <c r="B401" s="278"/>
      <c r="C401" s="27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  <c r="AA401" s="269"/>
    </row>
    <row r="402">
      <c r="A402" s="269"/>
      <c r="B402" s="278"/>
      <c r="C402" s="27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  <c r="AA402" s="269"/>
    </row>
    <row r="403">
      <c r="A403" s="269"/>
      <c r="B403" s="278"/>
      <c r="C403" s="27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  <c r="AA403" s="269"/>
    </row>
    <row r="404">
      <c r="A404" s="269"/>
      <c r="B404" s="278"/>
      <c r="C404" s="27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  <c r="AA404" s="269"/>
    </row>
    <row r="405">
      <c r="A405" s="269"/>
      <c r="B405" s="278"/>
      <c r="C405" s="27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  <c r="AA405" s="269"/>
    </row>
    <row r="406">
      <c r="A406" s="269"/>
      <c r="B406" s="278"/>
      <c r="C406" s="27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  <c r="AA406" s="269"/>
    </row>
    <row r="407">
      <c r="A407" s="269"/>
      <c r="B407" s="278"/>
      <c r="C407" s="27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  <c r="AA407" s="269"/>
    </row>
    <row r="408">
      <c r="A408" s="269"/>
      <c r="B408" s="278"/>
      <c r="C408" s="27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  <c r="AA408" s="269"/>
    </row>
    <row r="409">
      <c r="A409" s="269"/>
      <c r="B409" s="278"/>
      <c r="C409" s="27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  <c r="AA409" s="269"/>
    </row>
    <row r="410">
      <c r="A410" s="269"/>
      <c r="B410" s="278"/>
      <c r="C410" s="27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  <c r="AA410" s="269"/>
    </row>
    <row r="411">
      <c r="A411" s="269"/>
      <c r="B411" s="278"/>
      <c r="C411" s="27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  <c r="AA411" s="269"/>
    </row>
    <row r="412">
      <c r="A412" s="269"/>
      <c r="B412" s="278"/>
      <c r="C412" s="27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  <c r="AA412" s="269"/>
    </row>
    <row r="413">
      <c r="A413" s="269"/>
      <c r="B413" s="278"/>
      <c r="C413" s="27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  <c r="AA413" s="269"/>
    </row>
    <row r="414">
      <c r="A414" s="269"/>
      <c r="B414" s="278"/>
      <c r="C414" s="27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  <c r="AA414" s="269"/>
    </row>
    <row r="415">
      <c r="A415" s="269"/>
      <c r="B415" s="278"/>
      <c r="C415" s="27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  <c r="AA415" s="269"/>
    </row>
    <row r="416">
      <c r="A416" s="269"/>
      <c r="B416" s="278"/>
      <c r="C416" s="27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  <c r="AA416" s="269"/>
    </row>
    <row r="417">
      <c r="A417" s="269"/>
      <c r="B417" s="278"/>
      <c r="C417" s="27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  <c r="AA417" s="269"/>
    </row>
    <row r="418">
      <c r="A418" s="269"/>
      <c r="B418" s="278"/>
      <c r="C418" s="27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  <c r="AA418" s="269"/>
    </row>
    <row r="419">
      <c r="A419" s="269"/>
      <c r="B419" s="278"/>
      <c r="C419" s="27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  <c r="AA419" s="269"/>
    </row>
    <row r="420">
      <c r="A420" s="269"/>
      <c r="B420" s="278"/>
      <c r="C420" s="27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  <c r="AA420" s="269"/>
    </row>
    <row r="421">
      <c r="A421" s="269"/>
      <c r="B421" s="278"/>
      <c r="C421" s="27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  <c r="AA421" s="269"/>
    </row>
    <row r="422">
      <c r="A422" s="269"/>
      <c r="B422" s="278"/>
      <c r="C422" s="27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  <c r="AA422" s="269"/>
    </row>
    <row r="423">
      <c r="A423" s="269"/>
      <c r="B423" s="278"/>
      <c r="C423" s="27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  <c r="AA423" s="269"/>
    </row>
    <row r="424">
      <c r="A424" s="269"/>
      <c r="B424" s="278"/>
      <c r="C424" s="27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  <c r="AA424" s="269"/>
    </row>
    <row r="425">
      <c r="A425" s="269"/>
      <c r="B425" s="278"/>
      <c r="C425" s="27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  <c r="AA425" s="269"/>
    </row>
    <row r="426">
      <c r="A426" s="269"/>
      <c r="B426" s="278"/>
      <c r="C426" s="27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  <c r="AA426" s="269"/>
    </row>
    <row r="427">
      <c r="A427" s="269"/>
      <c r="B427" s="278"/>
      <c r="C427" s="27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  <c r="AA427" s="269"/>
    </row>
    <row r="428">
      <c r="A428" s="269"/>
      <c r="B428" s="278"/>
      <c r="C428" s="27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  <c r="AA428" s="269"/>
    </row>
    <row r="429">
      <c r="A429" s="269"/>
      <c r="B429" s="278"/>
      <c r="C429" s="27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  <c r="AA429" s="269"/>
    </row>
    <row r="430">
      <c r="A430" s="269"/>
      <c r="B430" s="278"/>
      <c r="C430" s="27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  <c r="AA430" s="269"/>
    </row>
    <row r="431">
      <c r="A431" s="269"/>
      <c r="B431" s="278"/>
      <c r="C431" s="27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  <c r="AA431" s="269"/>
    </row>
    <row r="432">
      <c r="A432" s="269"/>
      <c r="B432" s="278"/>
      <c r="C432" s="27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  <c r="AA432" s="269"/>
    </row>
    <row r="433">
      <c r="A433" s="269"/>
      <c r="B433" s="278"/>
      <c r="C433" s="27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  <c r="AA433" s="269"/>
    </row>
    <row r="434">
      <c r="A434" s="269"/>
      <c r="B434" s="278"/>
      <c r="C434" s="27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  <c r="AA434" s="269"/>
    </row>
    <row r="435">
      <c r="A435" s="269"/>
      <c r="B435" s="278"/>
      <c r="C435" s="27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  <c r="AA435" s="269"/>
    </row>
    <row r="436">
      <c r="A436" s="269"/>
      <c r="B436" s="278"/>
      <c r="C436" s="27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  <c r="AA436" s="269"/>
    </row>
    <row r="437">
      <c r="A437" s="269"/>
      <c r="B437" s="278"/>
      <c r="C437" s="27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  <c r="AA437" s="269"/>
    </row>
    <row r="438">
      <c r="A438" s="269"/>
      <c r="B438" s="278"/>
      <c r="C438" s="27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  <c r="AA438" s="269"/>
    </row>
    <row r="439">
      <c r="A439" s="269"/>
      <c r="B439" s="278"/>
      <c r="C439" s="27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  <c r="AA439" s="269"/>
    </row>
    <row r="440">
      <c r="A440" s="269"/>
      <c r="B440" s="278"/>
      <c r="C440" s="27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  <c r="AA440" s="269"/>
    </row>
    <row r="441">
      <c r="A441" s="269"/>
      <c r="B441" s="278"/>
      <c r="C441" s="27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  <c r="AA441" s="269"/>
    </row>
    <row r="442">
      <c r="A442" s="269"/>
      <c r="B442" s="278"/>
      <c r="C442" s="27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  <c r="AA442" s="269"/>
    </row>
    <row r="443">
      <c r="A443" s="269"/>
      <c r="B443" s="278"/>
      <c r="C443" s="27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  <c r="AA443" s="269"/>
    </row>
    <row r="444">
      <c r="A444" s="269"/>
      <c r="B444" s="278"/>
      <c r="C444" s="27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  <c r="AA444" s="269"/>
    </row>
    <row r="445">
      <c r="A445" s="269"/>
      <c r="B445" s="278"/>
      <c r="C445" s="27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  <c r="AA445" s="269"/>
    </row>
    <row r="446">
      <c r="A446" s="269"/>
      <c r="B446" s="278"/>
      <c r="C446" s="27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  <c r="AA446" s="269"/>
    </row>
    <row r="447">
      <c r="A447" s="269"/>
      <c r="B447" s="278"/>
      <c r="C447" s="27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  <c r="AA447" s="269"/>
    </row>
    <row r="448">
      <c r="A448" s="269"/>
      <c r="B448" s="278"/>
      <c r="C448" s="27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  <c r="AA448" s="269"/>
    </row>
    <row r="449">
      <c r="A449" s="269"/>
      <c r="B449" s="278"/>
      <c r="C449" s="27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  <c r="AA449" s="269"/>
    </row>
    <row r="450">
      <c r="A450" s="269"/>
      <c r="B450" s="278"/>
      <c r="C450" s="27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  <c r="AA450" s="269"/>
    </row>
    <row r="451">
      <c r="A451" s="269"/>
      <c r="B451" s="278"/>
      <c r="C451" s="27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  <c r="AA451" s="269"/>
    </row>
    <row r="452">
      <c r="A452" s="269"/>
      <c r="B452" s="278"/>
      <c r="C452" s="27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  <c r="AA452" s="269"/>
    </row>
    <row r="453">
      <c r="A453" s="269"/>
      <c r="B453" s="278"/>
      <c r="C453" s="27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  <c r="AA453" s="269"/>
    </row>
    <row r="454">
      <c r="A454" s="269"/>
      <c r="B454" s="278"/>
      <c r="C454" s="27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  <c r="AA454" s="269"/>
    </row>
    <row r="455">
      <c r="A455" s="269"/>
      <c r="B455" s="278"/>
      <c r="C455" s="27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  <c r="AA455" s="269"/>
    </row>
    <row r="456">
      <c r="A456" s="269"/>
      <c r="B456" s="278"/>
      <c r="C456" s="27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  <c r="AA456" s="269"/>
    </row>
    <row r="457">
      <c r="A457" s="269"/>
      <c r="B457" s="278"/>
      <c r="C457" s="27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  <c r="AA457" s="269"/>
    </row>
    <row r="458">
      <c r="A458" s="269"/>
      <c r="B458" s="278"/>
      <c r="C458" s="27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  <c r="AA458" s="269"/>
    </row>
    <row r="459">
      <c r="A459" s="269"/>
      <c r="B459" s="278"/>
      <c r="C459" s="27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  <c r="AA459" s="269"/>
    </row>
    <row r="460">
      <c r="A460" s="269"/>
      <c r="B460" s="278"/>
      <c r="C460" s="27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  <c r="AA460" s="269"/>
    </row>
    <row r="461">
      <c r="A461" s="269"/>
      <c r="B461" s="278"/>
      <c r="C461" s="27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  <c r="AA461" s="269"/>
    </row>
    <row r="462">
      <c r="A462" s="269"/>
      <c r="B462" s="278"/>
      <c r="C462" s="27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  <c r="AA462" s="269"/>
    </row>
    <row r="463">
      <c r="A463" s="269"/>
      <c r="B463" s="278"/>
      <c r="C463" s="27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  <c r="AA463" s="269"/>
    </row>
    <row r="464">
      <c r="A464" s="269"/>
      <c r="B464" s="278"/>
      <c r="C464" s="27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  <c r="AA464" s="269"/>
    </row>
    <row r="465">
      <c r="A465" s="269"/>
      <c r="B465" s="278"/>
      <c r="C465" s="27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  <c r="AA465" s="269"/>
    </row>
    <row r="466">
      <c r="A466" s="269"/>
      <c r="B466" s="278"/>
      <c r="C466" s="27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  <c r="AA466" s="269"/>
    </row>
    <row r="467">
      <c r="A467" s="269"/>
      <c r="B467" s="278"/>
      <c r="C467" s="27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  <c r="AA467" s="269"/>
    </row>
    <row r="468">
      <c r="A468" s="269"/>
      <c r="B468" s="278"/>
      <c r="C468" s="27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  <c r="AA468" s="269"/>
    </row>
    <row r="469">
      <c r="A469" s="269"/>
      <c r="B469" s="278"/>
      <c r="C469" s="27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  <c r="AA469" s="269"/>
    </row>
    <row r="470">
      <c r="A470" s="269"/>
      <c r="B470" s="278"/>
      <c r="C470" s="27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  <c r="AA470" s="269"/>
    </row>
    <row r="471">
      <c r="A471" s="269"/>
      <c r="B471" s="278"/>
      <c r="C471" s="27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  <c r="AA471" s="269"/>
    </row>
    <row r="472">
      <c r="A472" s="269"/>
      <c r="B472" s="278"/>
      <c r="C472" s="27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  <c r="AA472" s="269"/>
    </row>
    <row r="473">
      <c r="A473" s="269"/>
      <c r="B473" s="278"/>
      <c r="C473" s="27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  <c r="AA473" s="269"/>
    </row>
    <row r="474">
      <c r="A474" s="269"/>
      <c r="B474" s="278"/>
      <c r="C474" s="27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  <c r="AA474" s="269"/>
    </row>
    <row r="475">
      <c r="A475" s="269"/>
      <c r="B475" s="278"/>
      <c r="C475" s="27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  <c r="AA475" s="269"/>
    </row>
    <row r="476">
      <c r="A476" s="269"/>
      <c r="B476" s="278"/>
      <c r="C476" s="27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  <c r="AA476" s="269"/>
    </row>
    <row r="477">
      <c r="A477" s="269"/>
      <c r="B477" s="278"/>
      <c r="C477" s="27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  <c r="AA477" s="269"/>
    </row>
    <row r="478">
      <c r="A478" s="269"/>
      <c r="B478" s="278"/>
      <c r="C478" s="27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  <c r="AA478" s="269"/>
    </row>
    <row r="479">
      <c r="A479" s="269"/>
      <c r="B479" s="278"/>
      <c r="C479" s="27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  <c r="AA479" s="269"/>
    </row>
    <row r="480">
      <c r="A480" s="269"/>
      <c r="B480" s="278"/>
      <c r="C480" s="27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  <c r="AA480" s="269"/>
    </row>
    <row r="481">
      <c r="A481" s="269"/>
      <c r="B481" s="278"/>
      <c r="C481" s="27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  <c r="AA481" s="269"/>
    </row>
    <row r="482">
      <c r="A482" s="269"/>
      <c r="B482" s="278"/>
      <c r="C482" s="27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  <c r="AA482" s="269"/>
    </row>
    <row r="483">
      <c r="A483" s="269"/>
      <c r="B483" s="278"/>
      <c r="C483" s="27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  <c r="AA483" s="269"/>
    </row>
    <row r="484">
      <c r="A484" s="269"/>
      <c r="B484" s="278"/>
      <c r="C484" s="27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  <c r="AA484" s="269"/>
    </row>
    <row r="485">
      <c r="A485" s="269"/>
      <c r="B485" s="278"/>
      <c r="C485" s="27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  <c r="AA485" s="269"/>
    </row>
    <row r="486">
      <c r="A486" s="269"/>
      <c r="B486" s="278"/>
      <c r="C486" s="27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  <c r="AA486" s="269"/>
    </row>
    <row r="487">
      <c r="A487" s="269"/>
      <c r="B487" s="278"/>
      <c r="C487" s="27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  <c r="AA487" s="269"/>
    </row>
    <row r="488">
      <c r="A488" s="269"/>
      <c r="B488" s="278"/>
      <c r="C488" s="27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  <c r="AA488" s="269"/>
    </row>
    <row r="489">
      <c r="A489" s="269"/>
      <c r="B489" s="278"/>
      <c r="C489" s="27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  <c r="AA489" s="269"/>
    </row>
    <row r="490">
      <c r="A490" s="269"/>
      <c r="B490" s="278"/>
      <c r="C490" s="27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  <c r="AA490" s="269"/>
    </row>
    <row r="491">
      <c r="A491" s="269"/>
      <c r="B491" s="278"/>
      <c r="C491" s="27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  <c r="AA491" s="269"/>
    </row>
    <row r="492">
      <c r="A492" s="269"/>
      <c r="B492" s="278"/>
      <c r="C492" s="27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  <c r="AA492" s="269"/>
    </row>
    <row r="493">
      <c r="A493" s="269"/>
      <c r="B493" s="278"/>
      <c r="C493" s="27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  <c r="AA493" s="269"/>
    </row>
    <row r="494">
      <c r="A494" s="269"/>
      <c r="B494" s="278"/>
      <c r="C494" s="27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  <c r="AA494" s="269"/>
    </row>
    <row r="495">
      <c r="A495" s="269"/>
      <c r="B495" s="278"/>
      <c r="C495" s="27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  <c r="AA495" s="269"/>
    </row>
    <row r="496">
      <c r="A496" s="269"/>
      <c r="B496" s="278"/>
      <c r="C496" s="27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  <c r="AA496" s="269"/>
    </row>
    <row r="497">
      <c r="A497" s="269"/>
      <c r="B497" s="278"/>
      <c r="C497" s="27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  <c r="AA497" s="269"/>
    </row>
    <row r="498">
      <c r="A498" s="269"/>
      <c r="B498" s="278"/>
      <c r="C498" s="27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  <c r="AA498" s="269"/>
    </row>
    <row r="499">
      <c r="A499" s="269"/>
      <c r="B499" s="278"/>
      <c r="C499" s="27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  <c r="AA499" s="269"/>
    </row>
    <row r="500">
      <c r="A500" s="269"/>
      <c r="B500" s="278"/>
      <c r="C500" s="27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  <c r="AA500" s="269"/>
    </row>
    <row r="501">
      <c r="A501" s="269"/>
      <c r="B501" s="278"/>
      <c r="C501" s="27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  <c r="AA501" s="269"/>
    </row>
    <row r="502">
      <c r="A502" s="269"/>
      <c r="B502" s="278"/>
      <c r="C502" s="27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  <c r="AA502" s="269"/>
    </row>
    <row r="503">
      <c r="A503" s="269"/>
      <c r="B503" s="278"/>
      <c r="C503" s="27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  <c r="AA503" s="269"/>
    </row>
    <row r="504">
      <c r="A504" s="269"/>
      <c r="B504" s="278"/>
      <c r="C504" s="27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  <c r="AA504" s="269"/>
    </row>
    <row r="505">
      <c r="A505" s="269"/>
      <c r="B505" s="278"/>
      <c r="C505" s="27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  <c r="AA505" s="269"/>
    </row>
    <row r="506">
      <c r="A506" s="269"/>
      <c r="B506" s="278"/>
      <c r="C506" s="27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  <c r="AA506" s="269"/>
    </row>
    <row r="507">
      <c r="A507" s="269"/>
      <c r="B507" s="278"/>
      <c r="C507" s="27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  <c r="AA507" s="269"/>
    </row>
    <row r="508">
      <c r="A508" s="269"/>
      <c r="B508" s="278"/>
      <c r="C508" s="27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  <c r="AA508" s="269"/>
    </row>
    <row r="509">
      <c r="A509" s="269"/>
      <c r="B509" s="278"/>
      <c r="C509" s="27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  <c r="AA509" s="269"/>
    </row>
    <row r="510">
      <c r="A510" s="269"/>
      <c r="B510" s="278"/>
      <c r="C510" s="27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  <c r="AA510" s="269"/>
    </row>
    <row r="511">
      <c r="A511" s="269"/>
      <c r="B511" s="278"/>
      <c r="C511" s="27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  <c r="AA511" s="269"/>
    </row>
    <row r="512">
      <c r="A512" s="269"/>
      <c r="B512" s="278"/>
      <c r="C512" s="27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  <c r="AA512" s="269"/>
    </row>
    <row r="513">
      <c r="A513" s="269"/>
      <c r="B513" s="278"/>
      <c r="C513" s="27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  <c r="AA513" s="269"/>
    </row>
    <row r="514">
      <c r="A514" s="269"/>
      <c r="B514" s="278"/>
      <c r="C514" s="27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  <c r="AA514" s="269"/>
    </row>
    <row r="515">
      <c r="A515" s="269"/>
      <c r="B515" s="278"/>
      <c r="C515" s="27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  <c r="AA515" s="269"/>
    </row>
    <row r="516">
      <c r="A516" s="269"/>
      <c r="B516" s="278"/>
      <c r="C516" s="27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  <c r="AA516" s="269"/>
    </row>
    <row r="517">
      <c r="A517" s="269"/>
      <c r="B517" s="278"/>
      <c r="C517" s="27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  <c r="AA517" s="269"/>
    </row>
    <row r="518">
      <c r="A518" s="269"/>
      <c r="B518" s="278"/>
      <c r="C518" s="27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  <c r="AA518" s="269"/>
    </row>
    <row r="519">
      <c r="A519" s="269"/>
      <c r="B519" s="278"/>
      <c r="C519" s="27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  <c r="AA519" s="269"/>
    </row>
    <row r="520">
      <c r="A520" s="269"/>
      <c r="B520" s="278"/>
      <c r="C520" s="27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  <c r="AA520" s="269"/>
    </row>
    <row r="521">
      <c r="A521" s="269"/>
      <c r="B521" s="278"/>
      <c r="C521" s="27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  <c r="AA521" s="269"/>
    </row>
    <row r="522">
      <c r="A522" s="269"/>
      <c r="B522" s="278"/>
      <c r="C522" s="27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  <c r="AA522" s="269"/>
    </row>
    <row r="523">
      <c r="A523" s="269"/>
      <c r="B523" s="278"/>
      <c r="C523" s="27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  <c r="AA523" s="269"/>
    </row>
    <row r="524">
      <c r="A524" s="269"/>
      <c r="B524" s="278"/>
      <c r="C524" s="27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  <c r="AA524" s="269"/>
    </row>
    <row r="525">
      <c r="A525" s="269"/>
      <c r="B525" s="278"/>
      <c r="C525" s="27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  <c r="AA525" s="269"/>
    </row>
    <row r="526">
      <c r="A526" s="269"/>
      <c r="B526" s="278"/>
      <c r="C526" s="27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  <c r="AA526" s="269"/>
    </row>
    <row r="527">
      <c r="A527" s="269"/>
      <c r="B527" s="278"/>
      <c r="C527" s="27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  <c r="AA527" s="269"/>
    </row>
    <row r="528">
      <c r="A528" s="269"/>
      <c r="B528" s="278"/>
      <c r="C528" s="27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  <c r="AA528" s="269"/>
    </row>
    <row r="529">
      <c r="A529" s="269"/>
      <c r="B529" s="278"/>
      <c r="C529" s="27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  <c r="AA529" s="269"/>
    </row>
    <row r="530">
      <c r="A530" s="269"/>
      <c r="B530" s="278"/>
      <c r="C530" s="27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  <c r="AA530" s="269"/>
    </row>
    <row r="531">
      <c r="A531" s="269"/>
      <c r="B531" s="278"/>
      <c r="C531" s="27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  <c r="AA531" s="269"/>
    </row>
    <row r="532">
      <c r="A532" s="269"/>
      <c r="B532" s="278"/>
      <c r="C532" s="27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  <c r="AA532" s="269"/>
    </row>
    <row r="533">
      <c r="A533" s="269"/>
      <c r="B533" s="278"/>
      <c r="C533" s="27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  <c r="AA533" s="269"/>
    </row>
    <row r="534">
      <c r="A534" s="269"/>
      <c r="B534" s="278"/>
      <c r="C534" s="27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  <c r="AA534" s="269"/>
    </row>
    <row r="535">
      <c r="A535" s="269"/>
      <c r="B535" s="278"/>
      <c r="C535" s="27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  <c r="AA535" s="269"/>
    </row>
    <row r="536">
      <c r="A536" s="269"/>
      <c r="B536" s="278"/>
      <c r="C536" s="27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  <c r="AA536" s="269"/>
    </row>
    <row r="537">
      <c r="A537" s="269"/>
      <c r="B537" s="278"/>
      <c r="C537" s="27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  <c r="AA537" s="269"/>
    </row>
    <row r="538">
      <c r="A538" s="269"/>
      <c r="B538" s="278"/>
      <c r="C538" s="27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  <c r="AA538" s="269"/>
    </row>
    <row r="539">
      <c r="A539" s="269"/>
      <c r="B539" s="278"/>
      <c r="C539" s="27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  <c r="AA539" s="269"/>
    </row>
    <row r="540">
      <c r="A540" s="269"/>
      <c r="B540" s="278"/>
      <c r="C540" s="27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  <c r="AA540" s="269"/>
    </row>
    <row r="541">
      <c r="A541" s="269"/>
      <c r="B541" s="278"/>
      <c r="C541" s="27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  <c r="AA541" s="269"/>
    </row>
    <row r="542">
      <c r="A542" s="269"/>
      <c r="B542" s="278"/>
      <c r="C542" s="27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  <c r="AA542" s="269"/>
    </row>
    <row r="543">
      <c r="A543" s="269"/>
      <c r="B543" s="278"/>
      <c r="C543" s="27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  <c r="AA543" s="269"/>
    </row>
    <row r="544">
      <c r="A544" s="269"/>
      <c r="B544" s="278"/>
      <c r="C544" s="27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  <c r="AA544" s="269"/>
    </row>
    <row r="545">
      <c r="A545" s="269"/>
      <c r="B545" s="278"/>
      <c r="C545" s="27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  <c r="AA545" s="269"/>
    </row>
    <row r="546">
      <c r="A546" s="269"/>
      <c r="B546" s="278"/>
      <c r="C546" s="27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  <c r="AA546" s="269"/>
    </row>
    <row r="547">
      <c r="A547" s="269"/>
      <c r="B547" s="278"/>
      <c r="C547" s="27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  <c r="AA547" s="269"/>
    </row>
    <row r="548">
      <c r="A548" s="269"/>
      <c r="B548" s="278"/>
      <c r="C548" s="27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  <c r="AA548" s="269"/>
    </row>
    <row r="549">
      <c r="A549" s="269"/>
      <c r="B549" s="278"/>
      <c r="C549" s="27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  <c r="AA549" s="269"/>
    </row>
    <row r="550">
      <c r="A550" s="269"/>
      <c r="B550" s="278"/>
      <c r="C550" s="27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  <c r="AA550" s="269"/>
    </row>
    <row r="551">
      <c r="A551" s="269"/>
      <c r="B551" s="278"/>
      <c r="C551" s="27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  <c r="AA551" s="269"/>
    </row>
    <row r="552">
      <c r="A552" s="269"/>
      <c r="B552" s="278"/>
      <c r="C552" s="27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  <c r="AA552" s="269"/>
    </row>
    <row r="553">
      <c r="A553" s="269"/>
      <c r="B553" s="278"/>
      <c r="C553" s="27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  <c r="AA553" s="269"/>
    </row>
    <row r="554">
      <c r="A554" s="269"/>
      <c r="B554" s="278"/>
      <c r="C554" s="27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  <c r="AA554" s="269"/>
    </row>
    <row r="555">
      <c r="A555" s="269"/>
      <c r="B555" s="278"/>
      <c r="C555" s="27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  <c r="AA555" s="269"/>
    </row>
    <row r="556">
      <c r="A556" s="269"/>
      <c r="B556" s="278"/>
      <c r="C556" s="27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  <c r="AA556" s="269"/>
    </row>
    <row r="557">
      <c r="A557" s="269"/>
      <c r="B557" s="278"/>
      <c r="C557" s="27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  <c r="AA557" s="269"/>
    </row>
    <row r="558">
      <c r="A558" s="269"/>
      <c r="B558" s="278"/>
      <c r="C558" s="27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  <c r="AA558" s="269"/>
    </row>
    <row r="559">
      <c r="A559" s="269"/>
      <c r="B559" s="278"/>
      <c r="C559" s="27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  <c r="AA559" s="269"/>
    </row>
    <row r="560">
      <c r="A560" s="269"/>
      <c r="B560" s="278"/>
      <c r="C560" s="27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  <c r="AA560" s="269"/>
    </row>
    <row r="561">
      <c r="A561" s="269"/>
      <c r="B561" s="278"/>
      <c r="C561" s="27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  <c r="AA561" s="269"/>
    </row>
    <row r="562">
      <c r="A562" s="269"/>
      <c r="B562" s="278"/>
      <c r="C562" s="27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  <c r="AA562" s="269"/>
    </row>
    <row r="563">
      <c r="A563" s="269"/>
      <c r="B563" s="278"/>
      <c r="C563" s="27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  <c r="AA563" s="269"/>
    </row>
    <row r="564">
      <c r="A564" s="269"/>
      <c r="B564" s="278"/>
      <c r="C564" s="27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  <c r="AA564" s="269"/>
    </row>
    <row r="565">
      <c r="A565" s="269"/>
      <c r="B565" s="278"/>
      <c r="C565" s="27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  <c r="AA565" s="269"/>
    </row>
    <row r="566">
      <c r="A566" s="269"/>
      <c r="B566" s="278"/>
      <c r="C566" s="27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  <c r="AA566" s="269"/>
    </row>
    <row r="567">
      <c r="A567" s="269"/>
      <c r="B567" s="278"/>
      <c r="C567" s="27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  <c r="AA567" s="269"/>
    </row>
    <row r="568">
      <c r="A568" s="269"/>
      <c r="B568" s="278"/>
      <c r="C568" s="27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  <c r="AA568" s="269"/>
    </row>
    <row r="569">
      <c r="A569" s="269"/>
      <c r="B569" s="278"/>
      <c r="C569" s="27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  <c r="AA569" s="269"/>
    </row>
    <row r="570">
      <c r="A570" s="269"/>
      <c r="B570" s="278"/>
      <c r="C570" s="27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  <c r="AA570" s="269"/>
    </row>
    <row r="571">
      <c r="A571" s="269"/>
      <c r="B571" s="278"/>
      <c r="C571" s="27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  <c r="AA571" s="269"/>
    </row>
    <row r="572">
      <c r="A572" s="269"/>
      <c r="B572" s="278"/>
      <c r="C572" s="27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  <c r="AA572" s="269"/>
    </row>
    <row r="573">
      <c r="A573" s="269"/>
      <c r="B573" s="278"/>
      <c r="C573" s="27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  <c r="AA573" s="269"/>
    </row>
    <row r="574">
      <c r="A574" s="269"/>
      <c r="B574" s="278"/>
      <c r="C574" s="27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  <c r="AA574" s="269"/>
    </row>
    <row r="575">
      <c r="A575" s="269"/>
      <c r="B575" s="278"/>
      <c r="C575" s="27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  <c r="AA575" s="269"/>
    </row>
    <row r="576">
      <c r="A576" s="269"/>
      <c r="B576" s="278"/>
      <c r="C576" s="27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  <c r="AA576" s="269"/>
    </row>
    <row r="577">
      <c r="A577" s="269"/>
      <c r="B577" s="278"/>
      <c r="C577" s="27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  <c r="AA577" s="269"/>
    </row>
    <row r="578">
      <c r="A578" s="269"/>
      <c r="B578" s="278"/>
      <c r="C578" s="27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  <c r="AA578" s="269"/>
    </row>
    <row r="579">
      <c r="A579" s="269"/>
      <c r="B579" s="278"/>
      <c r="C579" s="27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  <c r="AA579" s="269"/>
    </row>
    <row r="580">
      <c r="A580" s="269"/>
      <c r="B580" s="278"/>
      <c r="C580" s="27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  <c r="AA580" s="269"/>
    </row>
    <row r="581">
      <c r="A581" s="269"/>
      <c r="B581" s="278"/>
      <c r="C581" s="27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  <c r="AA581" s="269"/>
    </row>
    <row r="582">
      <c r="A582" s="269"/>
      <c r="B582" s="278"/>
      <c r="C582" s="27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  <c r="AA582" s="269"/>
    </row>
    <row r="583">
      <c r="A583" s="269"/>
      <c r="B583" s="278"/>
      <c r="C583" s="27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  <c r="AA583" s="269"/>
    </row>
    <row r="584">
      <c r="A584" s="269"/>
      <c r="B584" s="278"/>
      <c r="C584" s="27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  <c r="AA584" s="269"/>
    </row>
    <row r="585">
      <c r="A585" s="269"/>
      <c r="B585" s="278"/>
      <c r="C585" s="27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  <c r="AA585" s="269"/>
    </row>
    <row r="586">
      <c r="A586" s="269"/>
      <c r="B586" s="278"/>
      <c r="C586" s="27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  <c r="AA586" s="269"/>
    </row>
    <row r="587">
      <c r="A587" s="269"/>
      <c r="B587" s="278"/>
      <c r="C587" s="27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  <c r="AA587" s="269"/>
    </row>
    <row r="588">
      <c r="A588" s="269"/>
      <c r="B588" s="278"/>
      <c r="C588" s="27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  <c r="AA588" s="269"/>
    </row>
    <row r="589">
      <c r="A589" s="269"/>
      <c r="B589" s="278"/>
      <c r="C589" s="27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  <c r="AA589" s="269"/>
    </row>
    <row r="590">
      <c r="A590" s="269"/>
      <c r="B590" s="278"/>
      <c r="C590" s="27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  <c r="AA590" s="269"/>
    </row>
    <row r="591">
      <c r="A591" s="269"/>
      <c r="B591" s="278"/>
      <c r="C591" s="27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  <c r="AA591" s="269"/>
    </row>
    <row r="592">
      <c r="A592" s="269"/>
      <c r="B592" s="278"/>
      <c r="C592" s="27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  <c r="AA592" s="269"/>
    </row>
    <row r="593">
      <c r="A593" s="269"/>
      <c r="B593" s="278"/>
      <c r="C593" s="27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  <c r="AA593" s="269"/>
    </row>
    <row r="594">
      <c r="A594" s="269"/>
      <c r="B594" s="278"/>
      <c r="C594" s="27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  <c r="AA594" s="269"/>
    </row>
    <row r="595">
      <c r="A595" s="269"/>
      <c r="B595" s="278"/>
      <c r="C595" s="27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  <c r="AA595" s="269"/>
    </row>
    <row r="596">
      <c r="A596" s="269"/>
      <c r="B596" s="278"/>
      <c r="C596" s="27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  <c r="AA596" s="269"/>
    </row>
    <row r="597">
      <c r="A597" s="269"/>
      <c r="B597" s="278"/>
      <c r="C597" s="27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  <c r="AA597" s="269"/>
    </row>
    <row r="598">
      <c r="A598" s="269"/>
      <c r="B598" s="278"/>
      <c r="C598" s="27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  <c r="AA598" s="269"/>
    </row>
    <row r="599">
      <c r="A599" s="269"/>
      <c r="B599" s="278"/>
      <c r="C599" s="27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  <c r="AA599" s="269"/>
    </row>
    <row r="600">
      <c r="A600" s="269"/>
      <c r="B600" s="278"/>
      <c r="C600" s="27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  <c r="AA600" s="269"/>
    </row>
    <row r="601">
      <c r="A601" s="269"/>
      <c r="B601" s="278"/>
      <c r="C601" s="27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  <c r="AA601" s="269"/>
    </row>
    <row r="602">
      <c r="A602" s="269"/>
      <c r="B602" s="278"/>
      <c r="C602" s="27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  <c r="AA602" s="269"/>
    </row>
    <row r="603">
      <c r="A603" s="269"/>
      <c r="B603" s="278"/>
      <c r="C603" s="27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  <c r="AA603" s="269"/>
    </row>
    <row r="604">
      <c r="A604" s="269"/>
      <c r="B604" s="278"/>
      <c r="C604" s="27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  <c r="AA604" s="269"/>
    </row>
    <row r="605">
      <c r="A605" s="269"/>
      <c r="B605" s="278"/>
      <c r="C605" s="27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  <c r="AA605" s="269"/>
    </row>
    <row r="606">
      <c r="A606" s="269"/>
      <c r="B606" s="278"/>
      <c r="C606" s="27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  <c r="AA606" s="269"/>
    </row>
    <row r="607">
      <c r="A607" s="269"/>
      <c r="B607" s="278"/>
      <c r="C607" s="27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  <c r="AA607" s="269"/>
    </row>
    <row r="608">
      <c r="A608" s="269"/>
      <c r="B608" s="278"/>
      <c r="C608" s="27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  <c r="AA608" s="269"/>
    </row>
    <row r="609">
      <c r="A609" s="269"/>
      <c r="B609" s="278"/>
      <c r="C609" s="27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  <c r="AA609" s="269"/>
    </row>
    <row r="610">
      <c r="A610" s="269"/>
      <c r="B610" s="278"/>
      <c r="C610" s="27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  <c r="AA610" s="269"/>
    </row>
    <row r="611">
      <c r="A611" s="269"/>
      <c r="B611" s="278"/>
      <c r="C611" s="27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  <c r="AA611" s="269"/>
    </row>
    <row r="612">
      <c r="A612" s="269"/>
      <c r="B612" s="278"/>
      <c r="C612" s="27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  <c r="AA612" s="269"/>
    </row>
    <row r="613">
      <c r="A613" s="269"/>
      <c r="B613" s="278"/>
      <c r="C613" s="27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  <c r="AA613" s="269"/>
    </row>
    <row r="614">
      <c r="A614" s="269"/>
      <c r="B614" s="278"/>
      <c r="C614" s="27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  <c r="AA614" s="269"/>
    </row>
    <row r="615">
      <c r="A615" s="269"/>
      <c r="B615" s="278"/>
      <c r="C615" s="27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  <c r="AA615" s="269"/>
    </row>
    <row r="616">
      <c r="A616" s="269"/>
      <c r="B616" s="278"/>
      <c r="C616" s="27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  <c r="AA616" s="269"/>
    </row>
    <row r="617">
      <c r="A617" s="269"/>
      <c r="B617" s="278"/>
      <c r="C617" s="27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  <c r="AA617" s="269"/>
    </row>
    <row r="618">
      <c r="A618" s="269"/>
      <c r="B618" s="278"/>
      <c r="C618" s="27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  <c r="AA618" s="269"/>
    </row>
    <row r="619">
      <c r="A619" s="269"/>
      <c r="B619" s="278"/>
      <c r="C619" s="27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  <c r="AA619" s="269"/>
    </row>
    <row r="620">
      <c r="A620" s="269"/>
      <c r="B620" s="278"/>
      <c r="C620" s="27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  <c r="AA620" s="269"/>
    </row>
    <row r="621">
      <c r="A621" s="269"/>
      <c r="B621" s="278"/>
      <c r="C621" s="27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  <c r="AA621" s="269"/>
    </row>
    <row r="622">
      <c r="A622" s="269"/>
      <c r="B622" s="278"/>
      <c r="C622" s="27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  <c r="AA622" s="269"/>
    </row>
    <row r="623">
      <c r="A623" s="269"/>
      <c r="B623" s="278"/>
      <c r="C623" s="27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  <c r="AA623" s="269"/>
    </row>
    <row r="624">
      <c r="A624" s="269"/>
      <c r="B624" s="278"/>
      <c r="C624" s="27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  <c r="AA624" s="269"/>
    </row>
    <row r="625">
      <c r="A625" s="269"/>
      <c r="B625" s="278"/>
      <c r="C625" s="27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  <c r="AA625" s="269"/>
    </row>
    <row r="626">
      <c r="A626" s="269"/>
      <c r="B626" s="278"/>
      <c r="C626" s="27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  <c r="AA626" s="269"/>
    </row>
    <row r="627">
      <c r="A627" s="269"/>
      <c r="B627" s="278"/>
      <c r="C627" s="27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  <c r="AA627" s="269"/>
    </row>
    <row r="628">
      <c r="A628" s="269"/>
      <c r="B628" s="278"/>
      <c r="C628" s="27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  <c r="AA628" s="269"/>
    </row>
    <row r="629">
      <c r="A629" s="269"/>
      <c r="B629" s="278"/>
      <c r="C629" s="27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  <c r="AA629" s="269"/>
    </row>
    <row r="630">
      <c r="A630" s="269"/>
      <c r="B630" s="278"/>
      <c r="C630" s="27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  <c r="AA630" s="269"/>
    </row>
    <row r="631">
      <c r="A631" s="269"/>
      <c r="B631" s="278"/>
      <c r="C631" s="27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  <c r="AA631" s="269"/>
    </row>
    <row r="632">
      <c r="A632" s="269"/>
      <c r="B632" s="278"/>
      <c r="C632" s="27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  <c r="AA632" s="269"/>
    </row>
    <row r="633">
      <c r="A633" s="269"/>
      <c r="B633" s="278"/>
      <c r="C633" s="27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  <c r="AA633" s="269"/>
    </row>
    <row r="634">
      <c r="A634" s="269"/>
      <c r="B634" s="278"/>
      <c r="C634" s="27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  <c r="AA634" s="269"/>
    </row>
    <row r="635">
      <c r="A635" s="269"/>
      <c r="B635" s="278"/>
      <c r="C635" s="27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  <c r="AA635" s="269"/>
    </row>
    <row r="636">
      <c r="A636" s="269"/>
      <c r="B636" s="278"/>
      <c r="C636" s="27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  <c r="AA636" s="269"/>
    </row>
    <row r="637">
      <c r="A637" s="269"/>
      <c r="B637" s="278"/>
      <c r="C637" s="27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  <c r="AA637" s="269"/>
    </row>
    <row r="638">
      <c r="A638" s="269"/>
      <c r="B638" s="278"/>
      <c r="C638" s="27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  <c r="AA638" s="269"/>
    </row>
    <row r="639">
      <c r="A639" s="269"/>
      <c r="B639" s="278"/>
      <c r="C639" s="27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  <c r="AA639" s="269"/>
    </row>
    <row r="640">
      <c r="A640" s="269"/>
      <c r="B640" s="278"/>
      <c r="C640" s="27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  <c r="AA640" s="269"/>
    </row>
    <row r="641">
      <c r="A641" s="269"/>
      <c r="B641" s="278"/>
      <c r="C641" s="27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  <c r="AA641" s="269"/>
    </row>
    <row r="642">
      <c r="A642" s="269"/>
      <c r="B642" s="278"/>
      <c r="C642" s="27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  <c r="AA642" s="269"/>
    </row>
    <row r="643">
      <c r="A643" s="269"/>
      <c r="B643" s="278"/>
      <c r="C643" s="27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  <c r="AA643" s="269"/>
    </row>
    <row r="644">
      <c r="A644" s="269"/>
      <c r="B644" s="278"/>
      <c r="C644" s="27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  <c r="AA644" s="269"/>
    </row>
    <row r="645">
      <c r="A645" s="269"/>
      <c r="B645" s="278"/>
      <c r="C645" s="27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  <c r="AA645" s="269"/>
    </row>
    <row r="646">
      <c r="A646" s="269"/>
      <c r="B646" s="278"/>
      <c r="C646" s="27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  <c r="AA646" s="269"/>
    </row>
    <row r="647">
      <c r="A647" s="269"/>
      <c r="B647" s="278"/>
      <c r="C647" s="27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  <c r="AA647" s="269"/>
    </row>
    <row r="648">
      <c r="A648" s="269"/>
      <c r="B648" s="278"/>
      <c r="C648" s="27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  <c r="AA648" s="269"/>
    </row>
    <row r="649">
      <c r="A649" s="269"/>
      <c r="B649" s="278"/>
      <c r="C649" s="27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  <c r="AA649" s="269"/>
    </row>
    <row r="650">
      <c r="A650" s="269"/>
      <c r="B650" s="278"/>
      <c r="C650" s="27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  <c r="AA650" s="269"/>
    </row>
    <row r="651">
      <c r="A651" s="269"/>
      <c r="B651" s="278"/>
      <c r="C651" s="27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  <c r="AA651" s="269"/>
    </row>
    <row r="652">
      <c r="A652" s="269"/>
      <c r="B652" s="278"/>
      <c r="C652" s="27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  <c r="AA652" s="269"/>
    </row>
    <row r="653">
      <c r="A653" s="269"/>
      <c r="B653" s="278"/>
      <c r="C653" s="27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  <c r="AA653" s="269"/>
    </row>
    <row r="654">
      <c r="A654" s="269"/>
      <c r="B654" s="278"/>
      <c r="C654" s="27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  <c r="AA654" s="269"/>
    </row>
    <row r="655">
      <c r="A655" s="269"/>
      <c r="B655" s="278"/>
      <c r="C655" s="27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  <c r="AA655" s="269"/>
    </row>
    <row r="656">
      <c r="A656" s="269"/>
      <c r="B656" s="278"/>
      <c r="C656" s="27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  <c r="AA656" s="269"/>
    </row>
    <row r="657">
      <c r="A657" s="269"/>
      <c r="B657" s="278"/>
      <c r="C657" s="27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  <c r="AA657" s="269"/>
    </row>
    <row r="658">
      <c r="A658" s="269"/>
      <c r="B658" s="278"/>
      <c r="C658" s="27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  <c r="AA658" s="269"/>
    </row>
    <row r="659">
      <c r="A659" s="269"/>
      <c r="B659" s="278"/>
      <c r="C659" s="27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  <c r="AA659" s="269"/>
    </row>
    <row r="660">
      <c r="A660" s="269"/>
      <c r="B660" s="278"/>
      <c r="C660" s="27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  <c r="AA660" s="269"/>
    </row>
    <row r="661">
      <c r="A661" s="269"/>
      <c r="B661" s="278"/>
      <c r="C661" s="27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  <c r="AA661" s="269"/>
    </row>
    <row r="662">
      <c r="A662" s="269"/>
      <c r="B662" s="278"/>
      <c r="C662" s="27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  <c r="AA662" s="269"/>
    </row>
    <row r="663">
      <c r="A663" s="269"/>
      <c r="B663" s="278"/>
      <c r="C663" s="27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  <c r="AA663" s="269"/>
    </row>
    <row r="664">
      <c r="A664" s="269"/>
      <c r="B664" s="278"/>
      <c r="C664" s="27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  <c r="AA664" s="269"/>
    </row>
    <row r="665">
      <c r="A665" s="269"/>
      <c r="B665" s="278"/>
      <c r="C665" s="27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  <c r="AA665" s="269"/>
    </row>
    <row r="666">
      <c r="A666" s="269"/>
      <c r="B666" s="278"/>
      <c r="C666" s="27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  <c r="AA666" s="269"/>
    </row>
    <row r="667">
      <c r="A667" s="269"/>
      <c r="B667" s="278"/>
      <c r="C667" s="27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  <c r="AA667" s="269"/>
    </row>
    <row r="668">
      <c r="A668" s="269"/>
      <c r="B668" s="278"/>
      <c r="C668" s="27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  <c r="AA668" s="269"/>
    </row>
    <row r="669">
      <c r="A669" s="269"/>
      <c r="B669" s="278"/>
      <c r="C669" s="27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  <c r="AA669" s="269"/>
    </row>
    <row r="670">
      <c r="A670" s="269"/>
      <c r="B670" s="278"/>
      <c r="C670" s="27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  <c r="AA670" s="269"/>
    </row>
    <row r="671">
      <c r="A671" s="269"/>
      <c r="B671" s="278"/>
      <c r="C671" s="27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  <c r="AA671" s="269"/>
    </row>
    <row r="672">
      <c r="A672" s="269"/>
      <c r="B672" s="278"/>
      <c r="C672" s="27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  <c r="AA672" s="269"/>
    </row>
    <row r="673">
      <c r="A673" s="269"/>
      <c r="B673" s="278"/>
      <c r="C673" s="27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  <c r="AA673" s="269"/>
    </row>
    <row r="674">
      <c r="A674" s="269"/>
      <c r="B674" s="278"/>
      <c r="C674" s="27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  <c r="AA674" s="269"/>
    </row>
    <row r="675">
      <c r="A675" s="269"/>
      <c r="B675" s="278"/>
      <c r="C675" s="27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  <c r="AA675" s="269"/>
    </row>
    <row r="676">
      <c r="A676" s="269"/>
      <c r="B676" s="278"/>
      <c r="C676" s="27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  <c r="AA676" s="269"/>
    </row>
    <row r="677">
      <c r="A677" s="269"/>
      <c r="B677" s="278"/>
      <c r="C677" s="27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  <c r="AA677" s="269"/>
    </row>
    <row r="678">
      <c r="A678" s="269"/>
      <c r="B678" s="278"/>
      <c r="C678" s="27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  <c r="AA678" s="269"/>
    </row>
    <row r="679">
      <c r="A679" s="269"/>
      <c r="B679" s="278"/>
      <c r="C679" s="27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  <c r="AA679" s="269"/>
    </row>
    <row r="680">
      <c r="A680" s="269"/>
      <c r="B680" s="278"/>
      <c r="C680" s="27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  <c r="AA680" s="269"/>
    </row>
    <row r="681">
      <c r="A681" s="269"/>
      <c r="B681" s="278"/>
      <c r="C681" s="27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  <c r="AA681" s="269"/>
    </row>
    <row r="682">
      <c r="A682" s="269"/>
      <c r="B682" s="278"/>
      <c r="C682" s="27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  <c r="AA682" s="269"/>
    </row>
    <row r="683">
      <c r="A683" s="269"/>
      <c r="B683" s="278"/>
      <c r="C683" s="27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  <c r="AA683" s="269"/>
    </row>
    <row r="684">
      <c r="A684" s="269"/>
      <c r="B684" s="278"/>
      <c r="C684" s="27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  <c r="AA684" s="269"/>
    </row>
    <row r="685">
      <c r="A685" s="269"/>
      <c r="B685" s="278"/>
      <c r="C685" s="27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  <c r="AA685" s="269"/>
    </row>
    <row r="686">
      <c r="A686" s="269"/>
      <c r="B686" s="278"/>
      <c r="C686" s="27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  <c r="AA686" s="269"/>
    </row>
    <row r="687">
      <c r="A687" s="269"/>
      <c r="B687" s="278"/>
      <c r="C687" s="27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  <c r="AA687" s="269"/>
    </row>
    <row r="688">
      <c r="A688" s="269"/>
      <c r="B688" s="278"/>
      <c r="C688" s="27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  <c r="AA688" s="269"/>
    </row>
    <row r="689">
      <c r="A689" s="269"/>
      <c r="B689" s="278"/>
      <c r="C689" s="27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  <c r="AA689" s="269"/>
    </row>
    <row r="690">
      <c r="A690" s="269"/>
      <c r="B690" s="278"/>
      <c r="C690" s="27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  <c r="AA690" s="269"/>
    </row>
    <row r="691">
      <c r="A691" s="269"/>
      <c r="B691" s="278"/>
      <c r="C691" s="27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  <c r="AA691" s="269"/>
    </row>
    <row r="692">
      <c r="A692" s="269"/>
      <c r="B692" s="278"/>
      <c r="C692" s="27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  <c r="AA692" s="269"/>
    </row>
    <row r="693">
      <c r="A693" s="269"/>
      <c r="B693" s="278"/>
      <c r="C693" s="27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  <c r="AA693" s="269"/>
    </row>
    <row r="694">
      <c r="A694" s="269"/>
      <c r="B694" s="278"/>
      <c r="C694" s="27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  <c r="AA694" s="269"/>
    </row>
    <row r="695">
      <c r="A695" s="269"/>
      <c r="B695" s="278"/>
      <c r="C695" s="27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  <c r="AA695" s="269"/>
    </row>
    <row r="696">
      <c r="A696" s="269"/>
      <c r="B696" s="278"/>
      <c r="C696" s="27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  <c r="AA696" s="269"/>
    </row>
    <row r="697">
      <c r="A697" s="269"/>
      <c r="B697" s="278"/>
      <c r="C697" s="27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  <c r="AA697" s="269"/>
    </row>
    <row r="698">
      <c r="A698" s="269"/>
      <c r="B698" s="278"/>
      <c r="C698" s="27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  <c r="AA698" s="269"/>
    </row>
    <row r="699">
      <c r="A699" s="269"/>
      <c r="B699" s="278"/>
      <c r="C699" s="27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  <c r="AA699" s="269"/>
    </row>
    <row r="700">
      <c r="A700" s="269"/>
      <c r="B700" s="278"/>
      <c r="C700" s="27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  <c r="AA700" s="269"/>
    </row>
    <row r="701">
      <c r="A701" s="269"/>
      <c r="B701" s="278"/>
      <c r="C701" s="27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  <c r="AA701" s="269"/>
    </row>
    <row r="702">
      <c r="A702" s="269"/>
      <c r="B702" s="278"/>
      <c r="C702" s="27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  <c r="AA702" s="269"/>
    </row>
    <row r="703">
      <c r="A703" s="269"/>
      <c r="B703" s="278"/>
      <c r="C703" s="27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  <c r="AA703" s="269"/>
    </row>
    <row r="704">
      <c r="A704" s="269"/>
      <c r="B704" s="278"/>
      <c r="C704" s="27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  <c r="AA704" s="269"/>
    </row>
    <row r="705">
      <c r="A705" s="269"/>
      <c r="B705" s="278"/>
      <c r="C705" s="27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  <c r="AA705" s="269"/>
    </row>
    <row r="706">
      <c r="A706" s="269"/>
      <c r="B706" s="278"/>
      <c r="C706" s="27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  <c r="AA706" s="269"/>
    </row>
    <row r="707">
      <c r="A707" s="269"/>
      <c r="B707" s="278"/>
      <c r="C707" s="27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  <c r="AA707" s="269"/>
    </row>
    <row r="708">
      <c r="A708" s="269"/>
      <c r="B708" s="278"/>
      <c r="C708" s="27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  <c r="AA708" s="269"/>
    </row>
    <row r="709">
      <c r="A709" s="269"/>
      <c r="B709" s="278"/>
      <c r="C709" s="27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  <c r="AA709" s="269"/>
    </row>
    <row r="710">
      <c r="A710" s="269"/>
      <c r="B710" s="278"/>
      <c r="C710" s="27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  <c r="AA710" s="269"/>
    </row>
    <row r="711">
      <c r="A711" s="269"/>
      <c r="B711" s="278"/>
      <c r="C711" s="27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  <c r="AA711" s="269"/>
    </row>
    <row r="712">
      <c r="A712" s="269"/>
      <c r="B712" s="278"/>
      <c r="C712" s="27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  <c r="AA712" s="269"/>
    </row>
    <row r="713">
      <c r="A713" s="269"/>
      <c r="B713" s="278"/>
      <c r="C713" s="27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  <c r="AA713" s="269"/>
    </row>
    <row r="714">
      <c r="A714" s="269"/>
      <c r="B714" s="278"/>
      <c r="C714" s="27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  <c r="AA714" s="269"/>
    </row>
    <row r="715">
      <c r="A715" s="269"/>
      <c r="B715" s="278"/>
      <c r="C715" s="27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  <c r="AA715" s="269"/>
    </row>
    <row r="716">
      <c r="A716" s="269"/>
      <c r="B716" s="278"/>
      <c r="C716" s="27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  <c r="AA716" s="269"/>
    </row>
    <row r="717">
      <c r="A717" s="269"/>
      <c r="B717" s="278"/>
      <c r="C717" s="27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  <c r="AA717" s="269"/>
    </row>
    <row r="718">
      <c r="A718" s="269"/>
      <c r="B718" s="278"/>
      <c r="C718" s="27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  <c r="AA718" s="269"/>
    </row>
    <row r="719">
      <c r="A719" s="269"/>
      <c r="B719" s="278"/>
      <c r="C719" s="27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  <c r="AA719" s="269"/>
    </row>
    <row r="720">
      <c r="A720" s="269"/>
      <c r="B720" s="278"/>
      <c r="C720" s="27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  <c r="AA720" s="269"/>
    </row>
    <row r="721">
      <c r="A721" s="269"/>
      <c r="B721" s="278"/>
      <c r="C721" s="27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  <c r="AA721" s="269"/>
    </row>
    <row r="722">
      <c r="A722" s="269"/>
      <c r="B722" s="278"/>
      <c r="C722" s="27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  <c r="AA722" s="269"/>
    </row>
    <row r="723">
      <c r="A723" s="269"/>
      <c r="B723" s="278"/>
      <c r="C723" s="27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  <c r="AA723" s="269"/>
    </row>
    <row r="724">
      <c r="A724" s="269"/>
      <c r="B724" s="278"/>
      <c r="C724" s="27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  <c r="AA724" s="269"/>
    </row>
    <row r="725">
      <c r="A725" s="269"/>
      <c r="B725" s="278"/>
      <c r="C725" s="27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  <c r="AA725" s="269"/>
    </row>
    <row r="726">
      <c r="A726" s="269"/>
      <c r="B726" s="278"/>
      <c r="C726" s="27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  <c r="AA726" s="269"/>
    </row>
    <row r="727">
      <c r="A727" s="269"/>
      <c r="B727" s="278"/>
      <c r="C727" s="27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  <c r="AA727" s="269"/>
    </row>
    <row r="728">
      <c r="A728" s="269"/>
      <c r="B728" s="278"/>
      <c r="C728" s="27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  <c r="AA728" s="269"/>
    </row>
    <row r="729">
      <c r="A729" s="269"/>
      <c r="B729" s="278"/>
      <c r="C729" s="27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  <c r="AA729" s="269"/>
    </row>
    <row r="730">
      <c r="A730" s="269"/>
      <c r="B730" s="278"/>
      <c r="C730" s="27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  <c r="AA730" s="269"/>
    </row>
    <row r="731">
      <c r="A731" s="269"/>
      <c r="B731" s="278"/>
      <c r="C731" s="27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  <c r="AA731" s="269"/>
    </row>
    <row r="732">
      <c r="A732" s="269"/>
      <c r="B732" s="278"/>
      <c r="C732" s="27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  <c r="AA732" s="269"/>
    </row>
    <row r="733">
      <c r="A733" s="269"/>
      <c r="B733" s="278"/>
      <c r="C733" s="27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  <c r="AA733" s="269"/>
    </row>
    <row r="734">
      <c r="A734" s="269"/>
      <c r="B734" s="278"/>
      <c r="C734" s="27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  <c r="AA734" s="269"/>
    </row>
    <row r="735">
      <c r="A735" s="269"/>
      <c r="B735" s="278"/>
      <c r="C735" s="27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  <c r="AA735" s="269"/>
    </row>
    <row r="736">
      <c r="A736" s="269"/>
      <c r="B736" s="278"/>
      <c r="C736" s="27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  <c r="AA736" s="269"/>
    </row>
    <row r="737">
      <c r="A737" s="269"/>
      <c r="B737" s="278"/>
      <c r="C737" s="27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  <c r="AA737" s="269"/>
    </row>
    <row r="738">
      <c r="A738" s="269"/>
      <c r="B738" s="278"/>
      <c r="C738" s="27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  <c r="AA738" s="269"/>
    </row>
    <row r="739">
      <c r="A739" s="269"/>
      <c r="B739" s="278"/>
      <c r="C739" s="27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  <c r="AA739" s="269"/>
    </row>
    <row r="740">
      <c r="A740" s="269"/>
      <c r="B740" s="278"/>
      <c r="C740" s="27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  <c r="AA740" s="269"/>
    </row>
    <row r="741">
      <c r="A741" s="269"/>
      <c r="B741" s="278"/>
      <c r="C741" s="27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  <c r="AA741" s="269"/>
    </row>
    <row r="742">
      <c r="A742" s="269"/>
      <c r="B742" s="278"/>
      <c r="C742" s="27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  <c r="AA742" s="269"/>
    </row>
    <row r="743">
      <c r="A743" s="269"/>
      <c r="B743" s="278"/>
      <c r="C743" s="27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  <c r="AA743" s="269"/>
    </row>
    <row r="744">
      <c r="A744" s="269"/>
      <c r="B744" s="278"/>
      <c r="C744" s="27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  <c r="AA744" s="269"/>
    </row>
    <row r="745">
      <c r="A745" s="269"/>
      <c r="B745" s="278"/>
      <c r="C745" s="27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  <c r="AA745" s="269"/>
    </row>
    <row r="746">
      <c r="A746" s="269"/>
      <c r="B746" s="278"/>
      <c r="C746" s="27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  <c r="AA746" s="269"/>
    </row>
    <row r="747">
      <c r="A747" s="269"/>
      <c r="B747" s="278"/>
      <c r="C747" s="27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  <c r="AA747" s="269"/>
    </row>
    <row r="748">
      <c r="A748" s="269"/>
      <c r="B748" s="278"/>
      <c r="C748" s="27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  <c r="AA748" s="269"/>
    </row>
    <row r="749">
      <c r="A749" s="269"/>
      <c r="B749" s="278"/>
      <c r="C749" s="27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  <c r="AA749" s="269"/>
    </row>
    <row r="750">
      <c r="A750" s="269"/>
      <c r="B750" s="278"/>
      <c r="C750" s="27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  <c r="AA750" s="269"/>
    </row>
    <row r="751">
      <c r="A751" s="269"/>
      <c r="B751" s="278"/>
      <c r="C751" s="27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  <c r="AA751" s="269"/>
    </row>
    <row r="752">
      <c r="A752" s="269"/>
      <c r="B752" s="278"/>
      <c r="C752" s="27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  <c r="AA752" s="269"/>
    </row>
    <row r="753">
      <c r="A753" s="269"/>
      <c r="B753" s="278"/>
      <c r="C753" s="27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  <c r="AA753" s="269"/>
    </row>
    <row r="754">
      <c r="A754" s="269"/>
      <c r="B754" s="278"/>
      <c r="C754" s="27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  <c r="AA754" s="269"/>
    </row>
    <row r="755">
      <c r="A755" s="269"/>
      <c r="B755" s="278"/>
      <c r="C755" s="27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  <c r="AA755" s="269"/>
    </row>
    <row r="756">
      <c r="A756" s="269"/>
      <c r="B756" s="278"/>
      <c r="C756" s="27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  <c r="AA756" s="269"/>
    </row>
    <row r="757">
      <c r="A757" s="269"/>
      <c r="B757" s="278"/>
      <c r="C757" s="27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  <c r="AA757" s="269"/>
    </row>
    <row r="758">
      <c r="A758" s="269"/>
      <c r="B758" s="278"/>
      <c r="C758" s="27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  <c r="AA758" s="269"/>
    </row>
    <row r="759">
      <c r="A759" s="269"/>
      <c r="B759" s="278"/>
      <c r="C759" s="27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  <c r="AA759" s="269"/>
    </row>
    <row r="760">
      <c r="A760" s="269"/>
      <c r="B760" s="278"/>
      <c r="C760" s="27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  <c r="AA760" s="269"/>
    </row>
    <row r="761">
      <c r="A761" s="269"/>
      <c r="B761" s="278"/>
      <c r="C761" s="27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  <c r="AA761" s="269"/>
    </row>
    <row r="762">
      <c r="A762" s="269"/>
      <c r="B762" s="278"/>
      <c r="C762" s="27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  <c r="AA762" s="269"/>
    </row>
    <row r="763">
      <c r="A763" s="269"/>
      <c r="B763" s="278"/>
      <c r="C763" s="27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  <c r="AA763" s="269"/>
    </row>
    <row r="764">
      <c r="A764" s="269"/>
      <c r="B764" s="278"/>
      <c r="C764" s="27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  <c r="AA764" s="269"/>
    </row>
    <row r="765">
      <c r="A765" s="269"/>
      <c r="B765" s="278"/>
      <c r="C765" s="27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  <c r="AA765" s="269"/>
    </row>
    <row r="766">
      <c r="A766" s="269"/>
      <c r="B766" s="278"/>
      <c r="C766" s="27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  <c r="AA766" s="269"/>
    </row>
    <row r="767">
      <c r="A767" s="269"/>
      <c r="B767" s="278"/>
      <c r="C767" s="27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  <c r="AA767" s="269"/>
    </row>
    <row r="768">
      <c r="A768" s="269"/>
      <c r="B768" s="278"/>
      <c r="C768" s="27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  <c r="AA768" s="269"/>
    </row>
    <row r="769">
      <c r="A769" s="269"/>
      <c r="B769" s="278"/>
      <c r="C769" s="27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  <c r="AA769" s="269"/>
    </row>
    <row r="770">
      <c r="A770" s="269"/>
      <c r="B770" s="278"/>
      <c r="C770" s="27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  <c r="AA770" s="269"/>
    </row>
    <row r="771">
      <c r="A771" s="269"/>
      <c r="B771" s="278"/>
      <c r="C771" s="27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  <c r="AA771" s="269"/>
    </row>
    <row r="772">
      <c r="A772" s="269"/>
      <c r="B772" s="278"/>
      <c r="C772" s="27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  <c r="AA772" s="269"/>
    </row>
    <row r="773">
      <c r="A773" s="269"/>
      <c r="B773" s="278"/>
      <c r="C773" s="27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  <c r="AA773" s="269"/>
    </row>
    <row r="774">
      <c r="A774" s="269"/>
      <c r="B774" s="278"/>
      <c r="C774" s="27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  <c r="AA774" s="269"/>
    </row>
    <row r="775">
      <c r="A775" s="269"/>
      <c r="B775" s="278"/>
      <c r="C775" s="27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  <c r="AA775" s="269"/>
    </row>
    <row r="776">
      <c r="A776" s="269"/>
      <c r="B776" s="278"/>
      <c r="C776" s="27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  <c r="AA776" s="269"/>
    </row>
    <row r="777">
      <c r="A777" s="269"/>
      <c r="B777" s="278"/>
      <c r="C777" s="27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  <c r="AA777" s="269"/>
    </row>
    <row r="778">
      <c r="A778" s="269"/>
      <c r="B778" s="278"/>
      <c r="C778" s="27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  <c r="AA778" s="269"/>
    </row>
    <row r="779">
      <c r="A779" s="269"/>
      <c r="B779" s="278"/>
      <c r="C779" s="27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  <c r="AA779" s="269"/>
    </row>
    <row r="780">
      <c r="A780" s="269"/>
      <c r="B780" s="278"/>
      <c r="C780" s="27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  <c r="AA780" s="269"/>
    </row>
    <row r="781">
      <c r="A781" s="269"/>
      <c r="B781" s="278"/>
      <c r="C781" s="27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  <c r="AA781" s="269"/>
    </row>
    <row r="782">
      <c r="A782" s="269"/>
      <c r="B782" s="278"/>
      <c r="C782" s="27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  <c r="AA782" s="269"/>
    </row>
    <row r="783">
      <c r="A783" s="269"/>
      <c r="B783" s="278"/>
      <c r="C783" s="27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  <c r="AA783" s="269"/>
    </row>
    <row r="784">
      <c r="A784" s="269"/>
      <c r="B784" s="278"/>
      <c r="C784" s="27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  <c r="AA784" s="269"/>
    </row>
    <row r="785">
      <c r="A785" s="269"/>
      <c r="B785" s="278"/>
      <c r="C785" s="27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  <c r="AA785" s="269"/>
    </row>
    <row r="786">
      <c r="A786" s="269"/>
      <c r="B786" s="278"/>
      <c r="C786" s="27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  <c r="AA786" s="269"/>
    </row>
    <row r="787">
      <c r="A787" s="269"/>
      <c r="B787" s="278"/>
      <c r="C787" s="27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  <c r="AA787" s="269"/>
    </row>
    <row r="788">
      <c r="A788" s="269"/>
      <c r="B788" s="278"/>
      <c r="C788" s="27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  <c r="AA788" s="269"/>
    </row>
    <row r="789">
      <c r="A789" s="269"/>
      <c r="B789" s="278"/>
      <c r="C789" s="27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  <c r="AA789" s="269"/>
    </row>
    <row r="790">
      <c r="A790" s="269"/>
      <c r="B790" s="278"/>
      <c r="C790" s="27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  <c r="AA790" s="269"/>
    </row>
    <row r="791">
      <c r="A791" s="269"/>
      <c r="B791" s="278"/>
      <c r="C791" s="27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  <c r="AA791" s="269"/>
    </row>
    <row r="792">
      <c r="A792" s="269"/>
      <c r="B792" s="278"/>
      <c r="C792" s="27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  <c r="AA792" s="269"/>
    </row>
    <row r="793">
      <c r="A793" s="269"/>
      <c r="B793" s="278"/>
      <c r="C793" s="27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  <c r="AA793" s="269"/>
    </row>
    <row r="794">
      <c r="A794" s="269"/>
      <c r="B794" s="278"/>
      <c r="C794" s="27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  <c r="AA794" s="269"/>
    </row>
    <row r="795">
      <c r="A795" s="269"/>
      <c r="B795" s="278"/>
      <c r="C795" s="27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  <c r="AA795" s="269"/>
    </row>
    <row r="796">
      <c r="A796" s="269"/>
      <c r="B796" s="278"/>
      <c r="C796" s="27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  <c r="AA796" s="269"/>
    </row>
    <row r="797">
      <c r="A797" s="269"/>
      <c r="B797" s="278"/>
      <c r="C797" s="27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  <c r="AA797" s="269"/>
    </row>
    <row r="798">
      <c r="A798" s="269"/>
      <c r="B798" s="278"/>
      <c r="C798" s="27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  <c r="AA798" s="269"/>
    </row>
    <row r="799">
      <c r="A799" s="269"/>
      <c r="B799" s="278"/>
      <c r="C799" s="27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  <c r="AA799" s="269"/>
    </row>
    <row r="800">
      <c r="A800" s="269"/>
      <c r="B800" s="278"/>
      <c r="C800" s="27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  <c r="AA800" s="269"/>
    </row>
    <row r="801">
      <c r="A801" s="269"/>
      <c r="B801" s="278"/>
      <c r="C801" s="27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  <c r="AA801" s="269"/>
    </row>
    <row r="802">
      <c r="A802" s="269"/>
      <c r="B802" s="278"/>
      <c r="C802" s="27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  <c r="AA802" s="269"/>
    </row>
    <row r="803">
      <c r="A803" s="269"/>
      <c r="B803" s="278"/>
      <c r="C803" s="27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  <c r="AA803" s="269"/>
    </row>
    <row r="804">
      <c r="A804" s="269"/>
      <c r="B804" s="278"/>
      <c r="C804" s="27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  <c r="AA804" s="269"/>
    </row>
    <row r="805">
      <c r="A805" s="269"/>
      <c r="B805" s="278"/>
      <c r="C805" s="27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  <c r="AA805" s="269"/>
    </row>
    <row r="806">
      <c r="A806" s="269"/>
      <c r="B806" s="278"/>
      <c r="C806" s="27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  <c r="AA806" s="269"/>
    </row>
    <row r="807">
      <c r="A807" s="269"/>
      <c r="B807" s="278"/>
      <c r="C807" s="27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  <c r="AA807" s="269"/>
    </row>
    <row r="808">
      <c r="A808" s="269"/>
      <c r="B808" s="278"/>
      <c r="C808" s="27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  <c r="AA808" s="269"/>
    </row>
    <row r="809">
      <c r="A809" s="269"/>
      <c r="B809" s="278"/>
      <c r="C809" s="27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  <c r="AA809" s="269"/>
    </row>
    <row r="810">
      <c r="A810" s="269"/>
      <c r="B810" s="278"/>
      <c r="C810" s="27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  <c r="AA810" s="269"/>
    </row>
    <row r="811">
      <c r="A811" s="269"/>
      <c r="B811" s="278"/>
      <c r="C811" s="27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  <c r="AA811" s="269"/>
    </row>
    <row r="812">
      <c r="A812" s="269"/>
      <c r="B812" s="278"/>
      <c r="C812" s="27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  <c r="AA812" s="269"/>
    </row>
    <row r="813">
      <c r="A813" s="269"/>
      <c r="B813" s="278"/>
      <c r="C813" s="27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  <c r="AA813" s="269"/>
    </row>
    <row r="814">
      <c r="A814" s="269"/>
      <c r="B814" s="278"/>
      <c r="C814" s="27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  <c r="AA814" s="269"/>
    </row>
    <row r="815">
      <c r="A815" s="269"/>
      <c r="B815" s="278"/>
      <c r="C815" s="27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  <c r="AA815" s="269"/>
    </row>
    <row r="816">
      <c r="A816" s="269"/>
      <c r="B816" s="278"/>
      <c r="C816" s="27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  <c r="AA816" s="269"/>
    </row>
    <row r="817">
      <c r="A817" s="269"/>
      <c r="B817" s="278"/>
      <c r="C817" s="27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  <c r="AA817" s="269"/>
    </row>
    <row r="818">
      <c r="A818" s="269"/>
      <c r="B818" s="278"/>
      <c r="C818" s="27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  <c r="AA818" s="269"/>
    </row>
    <row r="819">
      <c r="A819" s="269"/>
      <c r="B819" s="278"/>
      <c r="C819" s="27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  <c r="AA819" s="269"/>
    </row>
    <row r="820">
      <c r="A820" s="269"/>
      <c r="B820" s="278"/>
      <c r="C820" s="27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  <c r="AA820" s="269"/>
    </row>
    <row r="821">
      <c r="A821" s="269"/>
      <c r="B821" s="278"/>
      <c r="C821" s="27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  <c r="AA821" s="269"/>
    </row>
    <row r="822">
      <c r="A822" s="269"/>
      <c r="B822" s="278"/>
      <c r="C822" s="27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  <c r="AA822" s="269"/>
    </row>
    <row r="823">
      <c r="A823" s="269"/>
      <c r="B823" s="278"/>
      <c r="C823" s="27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  <c r="AA823" s="269"/>
    </row>
    <row r="824">
      <c r="A824" s="269"/>
      <c r="B824" s="278"/>
      <c r="C824" s="27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  <c r="AA824" s="269"/>
    </row>
    <row r="825">
      <c r="A825" s="269"/>
      <c r="B825" s="278"/>
      <c r="C825" s="27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  <c r="AA825" s="269"/>
    </row>
    <row r="826">
      <c r="A826" s="269"/>
      <c r="B826" s="278"/>
      <c r="C826" s="27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  <c r="AA826" s="269"/>
    </row>
    <row r="827">
      <c r="A827" s="269"/>
      <c r="B827" s="278"/>
      <c r="C827" s="27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  <c r="AA827" s="269"/>
    </row>
    <row r="828">
      <c r="A828" s="269"/>
      <c r="B828" s="278"/>
      <c r="C828" s="27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  <c r="AA828" s="269"/>
    </row>
    <row r="829">
      <c r="A829" s="269"/>
      <c r="B829" s="278"/>
      <c r="C829" s="27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  <c r="AA829" s="269"/>
    </row>
    <row r="830">
      <c r="A830" s="269"/>
      <c r="B830" s="278"/>
      <c r="C830" s="27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  <c r="AA830" s="269"/>
    </row>
    <row r="831">
      <c r="A831" s="269"/>
      <c r="B831" s="278"/>
      <c r="C831" s="27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  <c r="AA831" s="269"/>
    </row>
    <row r="832">
      <c r="A832" s="269"/>
      <c r="B832" s="278"/>
      <c r="C832" s="27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  <c r="AA832" s="269"/>
    </row>
    <row r="833">
      <c r="A833" s="269"/>
      <c r="B833" s="278"/>
      <c r="C833" s="27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  <c r="AA833" s="269"/>
    </row>
    <row r="834">
      <c r="A834" s="269"/>
      <c r="B834" s="278"/>
      <c r="C834" s="27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  <c r="AA834" s="269"/>
    </row>
    <row r="835">
      <c r="A835" s="269"/>
      <c r="B835" s="278"/>
      <c r="C835" s="27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  <c r="AA835" s="269"/>
    </row>
    <row r="836">
      <c r="A836" s="269"/>
      <c r="B836" s="278"/>
      <c r="C836" s="27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  <c r="AA836" s="269"/>
    </row>
    <row r="837">
      <c r="A837" s="269"/>
      <c r="B837" s="278"/>
      <c r="C837" s="27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  <c r="AA837" s="269"/>
    </row>
    <row r="838">
      <c r="A838" s="269"/>
      <c r="B838" s="278"/>
      <c r="C838" s="27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  <c r="AA838" s="269"/>
    </row>
    <row r="839">
      <c r="A839" s="269"/>
      <c r="B839" s="278"/>
      <c r="C839" s="27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  <c r="AA839" s="269"/>
    </row>
    <row r="840">
      <c r="A840" s="269"/>
      <c r="B840" s="278"/>
      <c r="C840" s="27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  <c r="AA840" s="269"/>
    </row>
    <row r="841">
      <c r="A841" s="269"/>
      <c r="B841" s="278"/>
      <c r="C841" s="27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  <c r="AA841" s="269"/>
    </row>
    <row r="842">
      <c r="A842" s="269"/>
      <c r="B842" s="278"/>
      <c r="C842" s="27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  <c r="AA842" s="269"/>
    </row>
    <row r="843">
      <c r="A843" s="269"/>
      <c r="B843" s="278"/>
      <c r="C843" s="27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  <c r="AA843" s="269"/>
    </row>
    <row r="844">
      <c r="A844" s="269"/>
      <c r="B844" s="278"/>
      <c r="C844" s="27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  <c r="AA844" s="269"/>
    </row>
    <row r="845">
      <c r="A845" s="269"/>
      <c r="B845" s="278"/>
      <c r="C845" s="27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  <c r="AA845" s="269"/>
    </row>
    <row r="846">
      <c r="A846" s="269"/>
      <c r="B846" s="278"/>
      <c r="C846" s="27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  <c r="AA846" s="269"/>
    </row>
    <row r="847">
      <c r="A847" s="269"/>
      <c r="B847" s="278"/>
      <c r="C847" s="27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  <c r="AA847" s="269"/>
    </row>
    <row r="848">
      <c r="A848" s="269"/>
      <c r="B848" s="278"/>
      <c r="C848" s="27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  <c r="AA848" s="269"/>
    </row>
    <row r="849">
      <c r="A849" s="269"/>
      <c r="B849" s="278"/>
      <c r="C849" s="27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  <c r="AA849" s="269"/>
    </row>
    <row r="850">
      <c r="A850" s="269"/>
      <c r="B850" s="278"/>
      <c r="C850" s="27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  <c r="AA850" s="269"/>
    </row>
    <row r="851">
      <c r="A851" s="269"/>
      <c r="B851" s="278"/>
      <c r="C851" s="27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  <c r="AA851" s="269"/>
    </row>
    <row r="852">
      <c r="A852" s="269"/>
      <c r="B852" s="278"/>
      <c r="C852" s="27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  <c r="AA852" s="269"/>
    </row>
    <row r="853">
      <c r="A853" s="269"/>
      <c r="B853" s="278"/>
      <c r="C853" s="27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  <c r="AA853" s="269"/>
    </row>
    <row r="854">
      <c r="A854" s="269"/>
      <c r="B854" s="278"/>
      <c r="C854" s="27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  <c r="AA854" s="269"/>
    </row>
    <row r="855">
      <c r="A855" s="269"/>
      <c r="B855" s="278"/>
      <c r="C855" s="27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  <c r="AA855" s="269"/>
    </row>
    <row r="856">
      <c r="A856" s="269"/>
      <c r="B856" s="278"/>
      <c r="C856" s="27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  <c r="AA856" s="269"/>
    </row>
    <row r="857">
      <c r="A857" s="269"/>
      <c r="B857" s="278"/>
      <c r="C857" s="27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  <c r="AA857" s="269"/>
    </row>
    <row r="858">
      <c r="A858" s="269"/>
      <c r="B858" s="278"/>
      <c r="C858" s="27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  <c r="AA858" s="269"/>
    </row>
    <row r="859">
      <c r="A859" s="269"/>
      <c r="B859" s="278"/>
      <c r="C859" s="27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  <c r="AA859" s="269"/>
    </row>
    <row r="860">
      <c r="A860" s="269"/>
      <c r="B860" s="278"/>
      <c r="C860" s="27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  <c r="AA860" s="269"/>
    </row>
    <row r="861">
      <c r="A861" s="269"/>
      <c r="B861" s="278"/>
      <c r="C861" s="27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  <c r="AA861" s="269"/>
    </row>
    <row r="862">
      <c r="A862" s="269"/>
      <c r="B862" s="278"/>
      <c r="C862" s="27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  <c r="AA862" s="269"/>
    </row>
    <row r="863">
      <c r="A863" s="269"/>
      <c r="B863" s="278"/>
      <c r="C863" s="27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  <c r="AA863" s="269"/>
    </row>
    <row r="864">
      <c r="A864" s="269"/>
      <c r="B864" s="278"/>
      <c r="C864" s="27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  <c r="AA864" s="269"/>
    </row>
    <row r="865">
      <c r="A865" s="269"/>
      <c r="B865" s="278"/>
      <c r="C865" s="27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  <c r="AA865" s="269"/>
    </row>
    <row r="866">
      <c r="A866" s="269"/>
      <c r="B866" s="278"/>
      <c r="C866" s="27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  <c r="AA866" s="269"/>
    </row>
    <row r="867">
      <c r="A867" s="269"/>
      <c r="B867" s="278"/>
      <c r="C867" s="27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  <c r="AA867" s="269"/>
    </row>
    <row r="868">
      <c r="A868" s="269"/>
      <c r="B868" s="278"/>
      <c r="C868" s="27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  <c r="AA868" s="269"/>
    </row>
    <row r="869">
      <c r="A869" s="269"/>
      <c r="B869" s="278"/>
      <c r="C869" s="27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  <c r="AA869" s="269"/>
    </row>
    <row r="870">
      <c r="A870" s="269"/>
      <c r="B870" s="278"/>
      <c r="C870" s="27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  <c r="AA870" s="269"/>
    </row>
    <row r="871">
      <c r="A871" s="269"/>
      <c r="B871" s="278"/>
      <c r="C871" s="27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  <c r="AA871" s="269"/>
    </row>
    <row r="872">
      <c r="A872" s="269"/>
      <c r="B872" s="278"/>
      <c r="C872" s="27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  <c r="AA872" s="269"/>
    </row>
    <row r="873">
      <c r="A873" s="269"/>
      <c r="B873" s="278"/>
      <c r="C873" s="27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  <c r="AA873" s="269"/>
    </row>
    <row r="874">
      <c r="A874" s="269"/>
      <c r="B874" s="278"/>
      <c r="C874" s="27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  <c r="AA874" s="269"/>
    </row>
    <row r="875">
      <c r="A875" s="269"/>
      <c r="B875" s="278"/>
      <c r="C875" s="27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  <c r="AA875" s="269"/>
    </row>
    <row r="876">
      <c r="A876" s="269"/>
      <c r="B876" s="278"/>
      <c r="C876" s="27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  <c r="AA876" s="269"/>
    </row>
    <row r="877">
      <c r="A877" s="269"/>
      <c r="B877" s="278"/>
      <c r="C877" s="27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  <c r="AA877" s="269"/>
    </row>
    <row r="878">
      <c r="A878" s="269"/>
      <c r="B878" s="278"/>
      <c r="C878" s="27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  <c r="AA878" s="269"/>
    </row>
    <row r="879">
      <c r="A879" s="269"/>
      <c r="B879" s="278"/>
      <c r="C879" s="27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  <c r="AA879" s="269"/>
    </row>
    <row r="880">
      <c r="A880" s="269"/>
      <c r="B880" s="278"/>
      <c r="C880" s="27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  <c r="AA880" s="269"/>
    </row>
    <row r="881">
      <c r="A881" s="269"/>
      <c r="B881" s="278"/>
      <c r="C881" s="27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  <c r="AA881" s="269"/>
    </row>
    <row r="882">
      <c r="A882" s="269"/>
      <c r="B882" s="278"/>
      <c r="C882" s="27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  <c r="AA882" s="269"/>
    </row>
    <row r="883">
      <c r="A883" s="269"/>
      <c r="B883" s="278"/>
      <c r="C883" s="27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  <c r="AA883" s="269"/>
    </row>
    <row r="884">
      <c r="A884" s="269"/>
      <c r="B884" s="278"/>
      <c r="C884" s="27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  <c r="AA884" s="269"/>
    </row>
    <row r="885">
      <c r="A885" s="269"/>
      <c r="B885" s="278"/>
      <c r="C885" s="27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  <c r="AA885" s="269"/>
    </row>
    <row r="886">
      <c r="A886" s="269"/>
      <c r="B886" s="278"/>
      <c r="C886" s="27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  <c r="AA886" s="269"/>
    </row>
    <row r="887">
      <c r="A887" s="269"/>
      <c r="B887" s="278"/>
      <c r="C887" s="27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  <c r="AA887" s="269"/>
    </row>
    <row r="888">
      <c r="A888" s="269"/>
      <c r="B888" s="278"/>
      <c r="C888" s="27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  <c r="AA888" s="269"/>
    </row>
    <row r="889">
      <c r="A889" s="269"/>
      <c r="B889" s="278"/>
      <c r="C889" s="27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  <c r="AA889" s="269"/>
    </row>
    <row r="890">
      <c r="A890" s="269"/>
      <c r="B890" s="278"/>
      <c r="C890" s="27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  <c r="AA890" s="269"/>
    </row>
    <row r="891">
      <c r="A891" s="269"/>
      <c r="B891" s="278"/>
      <c r="C891" s="27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  <c r="AA891" s="269"/>
    </row>
    <row r="892">
      <c r="A892" s="269"/>
      <c r="B892" s="278"/>
      <c r="C892" s="27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  <c r="AA892" s="269"/>
    </row>
    <row r="893">
      <c r="A893" s="269"/>
      <c r="B893" s="278"/>
      <c r="C893" s="27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  <c r="AA893" s="269"/>
    </row>
    <row r="894">
      <c r="A894" s="269"/>
      <c r="B894" s="278"/>
      <c r="C894" s="27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  <c r="AA894" s="269"/>
    </row>
    <row r="895">
      <c r="A895" s="269"/>
      <c r="B895" s="278"/>
      <c r="C895" s="27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  <c r="AA895" s="269"/>
    </row>
    <row r="896">
      <c r="A896" s="269"/>
      <c r="B896" s="278"/>
      <c r="C896" s="27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  <c r="AA896" s="269"/>
    </row>
    <row r="897">
      <c r="A897" s="269"/>
      <c r="B897" s="278"/>
      <c r="C897" s="27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  <c r="AA897" s="269"/>
    </row>
    <row r="898">
      <c r="A898" s="269"/>
      <c r="B898" s="278"/>
      <c r="C898" s="27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  <c r="AA898" s="269"/>
    </row>
    <row r="899">
      <c r="A899" s="269"/>
      <c r="B899" s="278"/>
      <c r="C899" s="27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  <c r="AA899" s="269"/>
    </row>
    <row r="900">
      <c r="A900" s="269"/>
      <c r="B900" s="278"/>
      <c r="C900" s="27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  <c r="AA900" s="269"/>
    </row>
    <row r="901">
      <c r="A901" s="269"/>
      <c r="B901" s="278"/>
      <c r="C901" s="27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  <c r="AA901" s="269"/>
    </row>
    <row r="902">
      <c r="A902" s="269"/>
      <c r="B902" s="278"/>
      <c r="C902" s="27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  <c r="AA902" s="269"/>
    </row>
    <row r="903">
      <c r="A903" s="269"/>
      <c r="B903" s="278"/>
      <c r="C903" s="27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  <c r="AA903" s="269"/>
    </row>
    <row r="904">
      <c r="A904" s="269"/>
      <c r="B904" s="278"/>
      <c r="C904" s="27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  <c r="AA904" s="269"/>
    </row>
    <row r="905">
      <c r="A905" s="269"/>
      <c r="B905" s="278"/>
      <c r="C905" s="27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  <c r="AA905" s="269"/>
    </row>
    <row r="906">
      <c r="A906" s="269"/>
      <c r="B906" s="278"/>
      <c r="C906" s="27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  <c r="AA906" s="269"/>
    </row>
    <row r="907">
      <c r="A907" s="269"/>
      <c r="B907" s="278"/>
      <c r="C907" s="27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  <c r="AA907" s="269"/>
    </row>
    <row r="908">
      <c r="A908" s="269"/>
      <c r="B908" s="278"/>
      <c r="C908" s="27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  <c r="AA908" s="269"/>
    </row>
    <row r="909">
      <c r="A909" s="269"/>
      <c r="B909" s="278"/>
      <c r="C909" s="27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  <c r="AA909" s="269"/>
    </row>
    <row r="910">
      <c r="A910" s="269"/>
      <c r="B910" s="278"/>
      <c r="C910" s="27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  <c r="AA910" s="269"/>
    </row>
    <row r="911">
      <c r="A911" s="269"/>
      <c r="B911" s="278"/>
      <c r="C911" s="27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  <c r="AA911" s="269"/>
    </row>
    <row r="912">
      <c r="A912" s="269"/>
      <c r="B912" s="278"/>
      <c r="C912" s="27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  <c r="AA912" s="269"/>
    </row>
    <row r="913">
      <c r="A913" s="269"/>
      <c r="B913" s="278"/>
      <c r="C913" s="27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  <c r="AA913" s="269"/>
    </row>
    <row r="914">
      <c r="A914" s="269"/>
      <c r="B914" s="278"/>
      <c r="C914" s="27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  <c r="AA914" s="269"/>
    </row>
    <row r="915">
      <c r="A915" s="269"/>
      <c r="B915" s="278"/>
      <c r="C915" s="27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  <c r="AA915" s="269"/>
    </row>
    <row r="916">
      <c r="A916" s="269"/>
      <c r="B916" s="278"/>
      <c r="C916" s="27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  <c r="AA916" s="269"/>
    </row>
    <row r="917">
      <c r="A917" s="269"/>
      <c r="B917" s="278"/>
      <c r="C917" s="27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  <c r="AA917" s="269"/>
    </row>
    <row r="918">
      <c r="A918" s="269"/>
      <c r="B918" s="278"/>
      <c r="C918" s="27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  <c r="AA918" s="269"/>
    </row>
    <row r="919">
      <c r="A919" s="269"/>
      <c r="B919" s="278"/>
      <c r="C919" s="27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  <c r="AA919" s="269"/>
    </row>
    <row r="920">
      <c r="A920" s="269"/>
      <c r="B920" s="278"/>
      <c r="C920" s="27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  <c r="AA920" s="269"/>
    </row>
    <row r="921">
      <c r="A921" s="269"/>
      <c r="B921" s="278"/>
      <c r="C921" s="27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  <c r="AA921" s="269"/>
    </row>
    <row r="922">
      <c r="A922" s="269"/>
      <c r="B922" s="278"/>
      <c r="C922" s="27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  <c r="AA922" s="269"/>
    </row>
    <row r="923">
      <c r="A923" s="269"/>
      <c r="B923" s="278"/>
      <c r="C923" s="27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  <c r="AA923" s="269"/>
    </row>
    <row r="924">
      <c r="A924" s="269"/>
      <c r="B924" s="278"/>
      <c r="C924" s="27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  <c r="AA924" s="269"/>
    </row>
    <row r="925">
      <c r="A925" s="269"/>
      <c r="B925" s="278"/>
      <c r="C925" s="27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  <c r="AA925" s="269"/>
    </row>
    <row r="926">
      <c r="A926" s="269"/>
      <c r="B926" s="278"/>
      <c r="C926" s="27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  <c r="AA926" s="269"/>
    </row>
    <row r="927">
      <c r="A927" s="269"/>
      <c r="B927" s="278"/>
      <c r="C927" s="27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  <c r="AA927" s="269"/>
    </row>
    <row r="928">
      <c r="A928" s="269"/>
      <c r="B928" s="278"/>
      <c r="C928" s="27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  <c r="AA928" s="269"/>
    </row>
    <row r="929">
      <c r="A929" s="269"/>
      <c r="B929" s="278"/>
      <c r="C929" s="27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  <c r="AA929" s="269"/>
    </row>
    <row r="930">
      <c r="A930" s="269"/>
      <c r="B930" s="278"/>
      <c r="C930" s="27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  <c r="AA930" s="269"/>
    </row>
    <row r="931">
      <c r="A931" s="269"/>
      <c r="B931" s="278"/>
      <c r="C931" s="27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  <c r="AA931" s="269"/>
    </row>
    <row r="932">
      <c r="A932" s="269"/>
      <c r="B932" s="278"/>
      <c r="C932" s="27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  <c r="AA932" s="269"/>
    </row>
    <row r="933">
      <c r="A933" s="269"/>
      <c r="B933" s="278"/>
      <c r="C933" s="27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  <c r="AA933" s="269"/>
    </row>
    <row r="934">
      <c r="A934" s="269"/>
      <c r="B934" s="278"/>
      <c r="C934" s="27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  <c r="AA934" s="269"/>
    </row>
    <row r="935">
      <c r="A935" s="269"/>
      <c r="B935" s="278"/>
      <c r="C935" s="27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  <c r="AA935" s="269"/>
    </row>
    <row r="936">
      <c r="A936" s="269"/>
      <c r="B936" s="278"/>
      <c r="C936" s="27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  <c r="AA936" s="269"/>
    </row>
    <row r="937">
      <c r="A937" s="269"/>
      <c r="B937" s="278"/>
      <c r="C937" s="27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  <c r="AA937" s="269"/>
    </row>
    <row r="938">
      <c r="A938" s="269"/>
      <c r="B938" s="278"/>
      <c r="C938" s="27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  <c r="AA938" s="269"/>
    </row>
    <row r="939">
      <c r="A939" s="269"/>
      <c r="B939" s="278"/>
      <c r="C939" s="27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  <c r="AA939" s="269"/>
    </row>
    <row r="940">
      <c r="A940" s="269"/>
      <c r="B940" s="278"/>
      <c r="C940" s="27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  <c r="AA940" s="269"/>
    </row>
    <row r="941">
      <c r="A941" s="269"/>
      <c r="B941" s="278"/>
      <c r="C941" s="27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  <c r="AA941" s="269"/>
    </row>
    <row r="942">
      <c r="A942" s="269"/>
      <c r="B942" s="278"/>
      <c r="C942" s="27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  <c r="AA942" s="269"/>
    </row>
    <row r="943">
      <c r="A943" s="269"/>
      <c r="B943" s="278"/>
      <c r="C943" s="27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  <c r="AA943" s="269"/>
    </row>
    <row r="944">
      <c r="A944" s="269"/>
      <c r="B944" s="278"/>
      <c r="C944" s="27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  <c r="AA944" s="269"/>
    </row>
    <row r="945">
      <c r="A945" s="269"/>
      <c r="B945" s="278"/>
      <c r="C945" s="27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  <c r="AA945" s="269"/>
    </row>
    <row r="946">
      <c r="A946" s="269"/>
      <c r="B946" s="278"/>
      <c r="C946" s="27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  <c r="AA946" s="269"/>
    </row>
    <row r="947">
      <c r="A947" s="269"/>
      <c r="B947" s="278"/>
      <c r="C947" s="27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  <c r="AA947" s="269"/>
    </row>
    <row r="948">
      <c r="A948" s="269"/>
      <c r="B948" s="278"/>
      <c r="C948" s="27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  <c r="AA948" s="269"/>
    </row>
    <row r="949">
      <c r="A949" s="269"/>
      <c r="B949" s="278"/>
      <c r="C949" s="27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  <c r="AA949" s="269"/>
    </row>
    <row r="950">
      <c r="A950" s="269"/>
      <c r="B950" s="278"/>
      <c r="C950" s="27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  <c r="AA950" s="269"/>
    </row>
    <row r="951">
      <c r="A951" s="269"/>
      <c r="B951" s="278"/>
      <c r="C951" s="27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  <c r="AA951" s="269"/>
    </row>
    <row r="952">
      <c r="A952" s="269"/>
      <c r="B952" s="278"/>
      <c r="C952" s="27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  <c r="AA952" s="269"/>
    </row>
    <row r="953">
      <c r="A953" s="269"/>
      <c r="B953" s="278"/>
      <c r="C953" s="27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  <c r="AA953" s="269"/>
    </row>
    <row r="954">
      <c r="A954" s="269"/>
      <c r="B954" s="278"/>
      <c r="C954" s="27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  <c r="AA954" s="269"/>
    </row>
    <row r="955">
      <c r="A955" s="269"/>
      <c r="B955" s="278"/>
      <c r="C955" s="27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  <c r="AA955" s="269"/>
    </row>
    <row r="956">
      <c r="A956" s="269"/>
      <c r="B956" s="278"/>
      <c r="C956" s="27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  <c r="AA956" s="269"/>
    </row>
    <row r="957">
      <c r="A957" s="269"/>
      <c r="B957" s="278"/>
      <c r="C957" s="27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  <c r="AA957" s="269"/>
    </row>
    <row r="958">
      <c r="A958" s="269"/>
      <c r="B958" s="278"/>
      <c r="C958" s="27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  <c r="AA958" s="269"/>
    </row>
    <row r="959">
      <c r="A959" s="269"/>
      <c r="B959" s="278"/>
      <c r="C959" s="27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  <c r="AA959" s="269"/>
    </row>
    <row r="960">
      <c r="A960" s="269"/>
      <c r="B960" s="278"/>
      <c r="C960" s="27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  <c r="AA960" s="269"/>
    </row>
    <row r="961">
      <c r="A961" s="269"/>
      <c r="B961" s="278"/>
      <c r="C961" s="27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  <c r="AA961" s="269"/>
    </row>
    <row r="962">
      <c r="A962" s="269"/>
      <c r="B962" s="278"/>
      <c r="C962" s="27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  <c r="AA962" s="269"/>
    </row>
    <row r="963">
      <c r="A963" s="269"/>
      <c r="B963" s="278"/>
      <c r="C963" s="27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  <c r="AA963" s="269"/>
    </row>
    <row r="964">
      <c r="A964" s="269"/>
      <c r="B964" s="278"/>
      <c r="C964" s="27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  <c r="AA964" s="269"/>
    </row>
    <row r="965">
      <c r="A965" s="269"/>
      <c r="B965" s="278"/>
      <c r="C965" s="27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  <c r="AA965" s="269"/>
    </row>
    <row r="966">
      <c r="A966" s="269"/>
      <c r="B966" s="278"/>
      <c r="C966" s="27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  <c r="AA966" s="269"/>
    </row>
    <row r="967">
      <c r="A967" s="269"/>
      <c r="B967" s="278"/>
      <c r="C967" s="27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  <c r="AA967" s="269"/>
    </row>
    <row r="968">
      <c r="A968" s="269"/>
      <c r="B968" s="278"/>
      <c r="C968" s="27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  <c r="AA968" s="269"/>
    </row>
    <row r="969">
      <c r="A969" s="269"/>
      <c r="B969" s="278"/>
      <c r="C969" s="27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  <c r="AA969" s="269"/>
    </row>
    <row r="970">
      <c r="A970" s="269"/>
      <c r="B970" s="278"/>
      <c r="C970" s="27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  <c r="AA970" s="269"/>
    </row>
    <row r="971">
      <c r="A971" s="269"/>
      <c r="B971" s="278"/>
      <c r="C971" s="27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  <c r="AA971" s="269"/>
    </row>
    <row r="972">
      <c r="A972" s="269"/>
      <c r="B972" s="278"/>
      <c r="C972" s="27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  <c r="AA972" s="269"/>
    </row>
    <row r="973">
      <c r="A973" s="269"/>
      <c r="B973" s="278"/>
      <c r="C973" s="27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  <c r="AA973" s="269"/>
    </row>
    <row r="974">
      <c r="A974" s="269"/>
      <c r="B974" s="278"/>
      <c r="C974" s="27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  <c r="AA974" s="269"/>
    </row>
    <row r="975">
      <c r="A975" s="269"/>
      <c r="B975" s="278"/>
      <c r="C975" s="27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  <c r="AA975" s="269"/>
    </row>
    <row r="976">
      <c r="A976" s="269"/>
      <c r="B976" s="278"/>
      <c r="C976" s="27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  <c r="AA976" s="269"/>
    </row>
    <row r="977">
      <c r="A977" s="269"/>
      <c r="B977" s="278"/>
      <c r="C977" s="27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  <c r="AA977" s="269"/>
    </row>
    <row r="978">
      <c r="A978" s="269"/>
      <c r="B978" s="278"/>
      <c r="C978" s="27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  <c r="AA978" s="269"/>
    </row>
    <row r="979">
      <c r="A979" s="269"/>
      <c r="B979" s="278"/>
      <c r="C979" s="27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  <c r="AA979" s="269"/>
    </row>
    <row r="980">
      <c r="A980" s="269"/>
      <c r="B980" s="278"/>
      <c r="C980" s="27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  <c r="AA980" s="269"/>
    </row>
    <row r="981">
      <c r="A981" s="269"/>
      <c r="B981" s="278"/>
      <c r="C981" s="27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  <c r="AA981" s="269"/>
    </row>
    <row r="982">
      <c r="A982" s="269"/>
      <c r="B982" s="278"/>
      <c r="C982" s="27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  <c r="AA982" s="269"/>
    </row>
    <row r="983">
      <c r="A983" s="269"/>
      <c r="B983" s="278"/>
      <c r="C983" s="27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  <c r="AA983" s="269"/>
    </row>
    <row r="984">
      <c r="A984" s="269"/>
      <c r="B984" s="278"/>
      <c r="C984" s="27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  <c r="AA984" s="269"/>
    </row>
    <row r="985">
      <c r="A985" s="269"/>
      <c r="B985" s="278"/>
      <c r="C985" s="27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  <c r="AA985" s="269"/>
    </row>
    <row r="986">
      <c r="A986" s="269"/>
      <c r="B986" s="278"/>
      <c r="C986" s="27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  <c r="AA986" s="269"/>
    </row>
    <row r="987">
      <c r="A987" s="269"/>
      <c r="B987" s="278"/>
      <c r="C987" s="27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  <c r="AA987" s="269"/>
    </row>
    <row r="988">
      <c r="A988" s="269"/>
      <c r="B988" s="278"/>
      <c r="C988" s="27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  <c r="AA988" s="269"/>
    </row>
    <row r="989">
      <c r="A989" s="269"/>
      <c r="B989" s="278"/>
      <c r="C989" s="27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  <c r="AA989" s="269"/>
    </row>
    <row r="990">
      <c r="A990" s="269"/>
      <c r="B990" s="278"/>
      <c r="C990" s="27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  <c r="AA990" s="269"/>
    </row>
    <row r="991">
      <c r="A991" s="269"/>
      <c r="B991" s="278"/>
      <c r="C991" s="27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  <c r="AA991" s="269"/>
    </row>
    <row r="992">
      <c r="A992" s="269"/>
      <c r="B992" s="278"/>
      <c r="C992" s="27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  <c r="AA992" s="269"/>
    </row>
    <row r="993">
      <c r="A993" s="269"/>
      <c r="B993" s="278"/>
      <c r="C993" s="27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  <c r="AA993" s="269"/>
    </row>
    <row r="994">
      <c r="A994" s="269"/>
      <c r="B994" s="278"/>
      <c r="C994" s="27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  <c r="AA994" s="269"/>
    </row>
    <row r="995">
      <c r="A995" s="269"/>
      <c r="B995" s="278"/>
      <c r="C995" s="27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  <c r="AA995" s="269"/>
    </row>
    <row r="996">
      <c r="A996" s="269"/>
      <c r="B996" s="278"/>
      <c r="C996" s="27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  <c r="AA996" s="269"/>
    </row>
    <row r="997">
      <c r="A997" s="269"/>
      <c r="B997" s="278"/>
      <c r="C997" s="27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  <c r="AA997" s="269"/>
    </row>
    <row r="998">
      <c r="A998" s="269"/>
      <c r="B998" s="278"/>
      <c r="C998" s="27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  <c r="AA998" s="269"/>
    </row>
    <row r="999">
      <c r="A999" s="269"/>
      <c r="B999" s="278"/>
      <c r="C999" s="27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  <c r="AA999" s="269"/>
    </row>
    <row r="1000">
      <c r="A1000" s="269"/>
      <c r="B1000" s="278"/>
      <c r="C1000" s="27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  <c r="AA1000" s="269"/>
    </row>
  </sheetData>
  <hyperlinks>
    <hyperlink r:id="rId1" ref="D2"/>
  </hyperlinks>
  <drawing r:id="rId2"/>
</worksheet>
</file>